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rober\Downloads\"/>
    </mc:Choice>
  </mc:AlternateContent>
  <xr:revisionPtr revIDLastSave="0" documentId="8_{BF146BD2-08CE-4E8B-B1E9-87FFF4B4E6B6}" xr6:coauthVersionLast="47" xr6:coauthVersionMax="47" xr10:uidLastSave="{00000000-0000-0000-0000-000000000000}"/>
  <bookViews>
    <workbookView xWindow="-110" yWindow="-110" windowWidth="19420" windowHeight="11500" activeTab="3" xr2:uid="{00000000-000D-0000-FFFF-FFFF00000000}"/>
  </bookViews>
  <sheets>
    <sheet name="Raw_Data" sheetId="1" r:id="rId1"/>
    <sheet name="Data" sheetId="2" r:id="rId2"/>
    <sheet name="Bad_Dashboard" sheetId="3" r:id="rId3"/>
    <sheet name="Revision_Dashboard" sheetId="5" r:id="rId4"/>
  </sheets>
  <definedNames>
    <definedName name="Slicer_Region">#N/A</definedName>
  </definedNames>
  <calcPr calcId="0"/>
  <pivotCaches>
    <pivotCache cacheId="8"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uri="GoogleSheetsCustomDataVersion2">
      <go:sheetsCustomData xmlns:go="http://customooxmlschemas.google.com/" r:id="rId7" roundtripDataChecksum="I/zrFFCMBeuawVSLJ0Sg0+mBFXW2tjLmZdUe6fjCTpw="/>
    </ext>
  </extLst>
</workbook>
</file>

<file path=xl/sharedStrings.xml><?xml version="1.0" encoding="utf-8"?>
<sst xmlns="http://schemas.openxmlformats.org/spreadsheetml/2006/main" count="122" uniqueCount="35">
  <si>
    <t>Quarter</t>
  </si>
  <si>
    <t>Region</t>
  </si>
  <si>
    <t>Sales Amount ($)</t>
  </si>
  <si>
    <t>Product Category</t>
  </si>
  <si>
    <t>Cost of Goods Sold ($)</t>
  </si>
  <si>
    <t>Gross Profit ($)</t>
  </si>
  <si>
    <t>Marketing Spend ($)</t>
  </si>
  <si>
    <t>Customer Segment</t>
  </si>
  <si>
    <t>Q1</t>
  </si>
  <si>
    <t>Midwest</t>
  </si>
  <si>
    <t>Laptops</t>
  </si>
  <si>
    <t>Enterprise</t>
  </si>
  <si>
    <t>Office Furniture</t>
  </si>
  <si>
    <t>SMB</t>
  </si>
  <si>
    <t>South</t>
  </si>
  <si>
    <t>Cloud Software Subscriptions</t>
  </si>
  <si>
    <t>West</t>
  </si>
  <si>
    <t>Smartphones</t>
  </si>
  <si>
    <t>Retail</t>
  </si>
  <si>
    <t>Q2</t>
  </si>
  <si>
    <t>Northeast</t>
  </si>
  <si>
    <t>Q3</t>
  </si>
  <si>
    <t>Data Analytics Software</t>
  </si>
  <si>
    <t>Q4</t>
  </si>
  <si>
    <t>Sales Data 2024 - 2025</t>
  </si>
  <si>
    <t>2024-Q1</t>
  </si>
  <si>
    <t>2024-Q2</t>
  </si>
  <si>
    <t>2024-Q3</t>
  </si>
  <si>
    <t>2024-Q4</t>
  </si>
  <si>
    <t>2025-Q1</t>
  </si>
  <si>
    <t>SALES DASHBOARD 2024–2025</t>
  </si>
  <si>
    <t>Row Labels</t>
  </si>
  <si>
    <t>Grand Total</t>
  </si>
  <si>
    <t>Sum of Sales Amount ($)</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</si>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</sst>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sz val="11"/>
      <color theme="1"/>
      <name val="Calibri"/>
      <scheme val="minor"/>
    </font>
    <font>
      <b/>
      <sz val="18"/>
      <color theme="1"/>
      <name val="Calibri"/>
      <scheme val="minor"/>
    </font>
    <font>
      <b/>
      <sz val="11"/>
      <color theme="1"/>
      <name val="Calibri"/>
      <scheme val="minor"/>
    </font>
    <font>
      <b/>
      <sz val="18"/>
      <color theme="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i="0">
                <a:solidFill>
                  <a:srgbClr val="757575"/>
                </a:solidFill>
                <a:latin typeface="+mn-lt"/>
              </a:defRPr>
            </a:pPr>
            <a:r>
              <a:rPr lang="en-ID" b="1" i="0">
                <a:solidFill>
                  <a:srgbClr val="757575"/>
                </a:solidFill>
                <a:latin typeface="+mn-lt"/>
              </a:rPr>
              <a:t>Sales, Marketing, and Profit Performance Trend Analysis</a:t>
            </a:r>
          </a:p>
        </c:rich>
      </c:tx>
      <c:overlay val="0"/>
    </c:title>
    <c:autoTitleDeleted val="0"/>
    <c:plotArea>
      <c:layout/>
      <c:barChart>
        <c:barDir val="col"/>
        <c:grouping val="clustered"/>
        <c:varyColors val="1"/>
        <c:ser>
          <c:idx val="0"/>
          <c:order val="0"/>
          <c:tx>
            <c:v>Sales Amount ($)</c:v>
          </c:tx>
          <c:spPr>
            <a:solidFill>
              <a:srgbClr val="4F81BD"/>
            </a:solidFill>
            <a:ln cmpd="sng">
              <a:solidFill>
                <a:srgbClr val="000000"/>
              </a:solidFill>
            </a:ln>
          </c:spPr>
          <c:invertIfNegative val="1"/>
          <c:cat>
            <c:strRef>
              <c:f>Data!$A$4:$A$8</c:f>
              <c:strCache>
                <c:ptCount val="5"/>
                <c:pt idx="0">
                  <c:v>2024-Q1</c:v>
                </c:pt>
                <c:pt idx="1">
                  <c:v>2024-Q2</c:v>
                </c:pt>
                <c:pt idx="2">
                  <c:v>2024-Q3</c:v>
                </c:pt>
                <c:pt idx="3">
                  <c:v>2024-Q4</c:v>
                </c:pt>
                <c:pt idx="4">
                  <c:v>2025-Q1</c:v>
                </c:pt>
              </c:strCache>
            </c:strRef>
          </c:cat>
          <c:val>
            <c:numRef>
              <c:f>Data!$B$4:$B$8</c:f>
              <c:numCache>
                <c:formatCode>General</c:formatCode>
                <c:ptCount val="5"/>
                <c:pt idx="0">
                  <c:v>1305000</c:v>
                </c:pt>
                <c:pt idx="1">
                  <c:v>1413000</c:v>
                </c:pt>
                <c:pt idx="2">
                  <c:v>1458000</c:v>
                </c:pt>
                <c:pt idx="3">
                  <c:v>1439000</c:v>
                </c:pt>
                <c:pt idx="4">
                  <c:v>1692000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9F77-4339-996C-C92A65B35656}"/>
            </c:ext>
          </c:extLst>
        </c:ser>
        <c:dLbls>
          <c:showLegendKey val="0"/>
          <c:showVal val="0"/>
          <c:showCatName val="0"/>
          <c:showSerName val="0"/>
          <c:showPercent val="0"/>
          <c:showBubbleSize val="0"/>
        </c:dLbls>
        <c:gapWidth val="150"/>
        <c:axId val="927253881"/>
        <c:axId val="1985684928"/>
      </c:barChart>
      <c:lineChart>
        <c:grouping val="standard"/>
        <c:varyColors val="1"/>
        <c:ser>
          <c:idx val="1"/>
          <c:order val="1"/>
          <c:tx>
            <c:v>Marketing Spend ($)</c:v>
          </c:tx>
          <c:spPr>
            <a:ln w="28575" cmpd="sng">
              <a:solidFill>
                <a:srgbClr val="C0504D"/>
              </a:solidFill>
              <a:prstDash val="solid"/>
            </a:ln>
          </c:spPr>
          <c:marker>
            <c:symbol val="circle"/>
            <c:size val="9"/>
            <c:spPr>
              <a:solidFill>
                <a:srgbClr val="C0504D"/>
              </a:solidFill>
              <a:ln cmpd="sng">
                <a:solidFill>
                  <a:srgbClr val="C0504D"/>
                </a:solidFill>
              </a:ln>
            </c:spPr>
          </c:marker>
          <c:cat>
            <c:strRef>
              <c:f>Data!$A$4:$A$8</c:f>
              <c:strCache>
                <c:ptCount val="5"/>
                <c:pt idx="0">
                  <c:v>2024-Q1</c:v>
                </c:pt>
                <c:pt idx="1">
                  <c:v>2024-Q2</c:v>
                </c:pt>
                <c:pt idx="2">
                  <c:v>2024-Q3</c:v>
                </c:pt>
                <c:pt idx="3">
                  <c:v>2024-Q4</c:v>
                </c:pt>
                <c:pt idx="4">
                  <c:v>2025-Q1</c:v>
                </c:pt>
              </c:strCache>
            </c:strRef>
          </c:cat>
          <c:val>
            <c:numRef>
              <c:f>Data!$C$4:$C$8</c:f>
              <c:numCache>
                <c:formatCode>General</c:formatCode>
                <c:ptCount val="5"/>
                <c:pt idx="0">
                  <c:v>138000</c:v>
                </c:pt>
                <c:pt idx="1">
                  <c:v>146000</c:v>
                </c:pt>
                <c:pt idx="2">
                  <c:v>150000</c:v>
                </c:pt>
                <c:pt idx="3">
                  <c:v>187000</c:v>
                </c:pt>
                <c:pt idx="4">
                  <c:v>214000</c:v>
                </c:pt>
              </c:numCache>
            </c:numRef>
          </c:val>
          <c:smooth val="1"/>
          <c:extLst>
            <c:ext xmlns:c16="http://schemas.microsoft.com/office/drawing/2014/chart" uri="{C3380CC4-5D6E-409C-BE32-E72D297353CC}">
              <c16:uniqueId val="{00000001-9F77-4339-996C-C92A65B35656}"/>
            </c:ext>
          </c:extLst>
        </c:ser>
        <c:ser>
          <c:idx val="2"/>
          <c:order val="2"/>
          <c:tx>
            <c:v>Gross Profit ($)</c:v>
          </c:tx>
          <c:spPr>
            <a:ln w="28575" cmpd="sng">
              <a:solidFill>
                <a:srgbClr val="9BBB59"/>
              </a:solidFill>
              <a:prstDash val="solid"/>
            </a:ln>
          </c:spPr>
          <c:marker>
            <c:symbol val="circle"/>
            <c:size val="9"/>
            <c:spPr>
              <a:solidFill>
                <a:srgbClr val="9BBB59"/>
              </a:solidFill>
              <a:ln cmpd="sng">
                <a:solidFill>
                  <a:srgbClr val="9BBB59"/>
                </a:solidFill>
              </a:ln>
            </c:spPr>
          </c:marker>
          <c:cat>
            <c:strRef>
              <c:f>Data!$A$4:$A$8</c:f>
              <c:strCache>
                <c:ptCount val="5"/>
                <c:pt idx="0">
                  <c:v>2024-Q1</c:v>
                </c:pt>
                <c:pt idx="1">
                  <c:v>2024-Q2</c:v>
                </c:pt>
                <c:pt idx="2">
                  <c:v>2024-Q3</c:v>
                </c:pt>
                <c:pt idx="3">
                  <c:v>2024-Q4</c:v>
                </c:pt>
                <c:pt idx="4">
                  <c:v>2025-Q1</c:v>
                </c:pt>
              </c:strCache>
            </c:strRef>
          </c:cat>
          <c:val>
            <c:numRef>
              <c:f>Data!$D$4:$D$8</c:f>
              <c:numCache>
                <c:formatCode>General</c:formatCode>
                <c:ptCount val="5"/>
                <c:pt idx="0">
                  <c:v>477300</c:v>
                </c:pt>
                <c:pt idx="1">
                  <c:v>516000</c:v>
                </c:pt>
                <c:pt idx="2">
                  <c:v>511800</c:v>
                </c:pt>
                <c:pt idx="3">
                  <c:v>606000</c:v>
                </c:pt>
                <c:pt idx="4">
                  <c:v>684000</c:v>
                </c:pt>
              </c:numCache>
            </c:numRef>
          </c:val>
          <c:smooth val="1"/>
          <c:extLst>
            <c:ext xmlns:c16="http://schemas.microsoft.com/office/drawing/2014/chart" uri="{C3380CC4-5D6E-409C-BE32-E72D297353CC}">
              <c16:uniqueId val="{00000002-9F77-4339-996C-C92A65B35656}"/>
            </c:ext>
          </c:extLst>
        </c:ser>
        <c:dLbls>
          <c:showLegendKey val="0"/>
          <c:showVal val="0"/>
          <c:showCatName val="0"/>
          <c:showSerName val="0"/>
          <c:showPercent val="0"/>
          <c:showBubbleSize val="0"/>
        </c:dLbls>
        <c:marker val="1"/>
        <c:smooth val="0"/>
        <c:axId val="927253881"/>
        <c:axId val="1985684928"/>
      </c:lineChart>
      <c:catAx>
        <c:axId val="927253881"/>
        <c:scaling>
          <c:orientation val="minMax"/>
        </c:scaling>
        <c:delete val="0"/>
        <c:axPos val="b"/>
        <c:title>
          <c:tx>
            <c:rich>
              <a:bodyPr/>
              <a:lstStyle/>
              <a:p>
                <a:pPr lvl="0">
                  <a:defRPr b="1" i="0">
                    <a:solidFill>
                      <a:srgbClr val="000000"/>
                    </a:solidFill>
                    <a:latin typeface="+mn-lt"/>
                  </a:defRPr>
                </a:pPr>
                <a:r>
                  <a:rPr lang="en-ID" b="1" i="0">
                    <a:solidFill>
                      <a:srgbClr val="000000"/>
                    </a:solidFill>
                    <a:latin typeface="+mn-lt"/>
                  </a:rPr>
                  <a:t>Quarter</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985684928"/>
        <c:crosses val="autoZero"/>
        <c:auto val="1"/>
        <c:lblAlgn val="ctr"/>
        <c:lblOffset val="100"/>
        <c:noMultiLvlLbl val="1"/>
      </c:catAx>
      <c:valAx>
        <c:axId val="1985684928"/>
        <c:scaling>
          <c:orientation val="minMax"/>
        </c:scaling>
        <c:delete val="0"/>
        <c:axPos val="l"/>
        <c:majorGridlines>
          <c:spPr>
            <a:ln>
              <a:solidFill>
                <a:srgbClr val="B7B7B7"/>
              </a:solidFill>
            </a:ln>
          </c:spPr>
        </c:majorGridlines>
        <c:title>
          <c:tx>
            <c:rich>
              <a:bodyPr/>
              <a:lstStyle/>
              <a:p>
                <a:pPr lvl="0">
                  <a:defRPr b="1" i="0">
                    <a:solidFill>
                      <a:srgbClr val="000000"/>
                    </a:solidFill>
                    <a:latin typeface="+mn-lt"/>
                  </a:defRPr>
                </a:pPr>
                <a:r>
                  <a:rPr lang="en-ID" b="1" i="0">
                    <a:solidFill>
                      <a:srgbClr val="000000"/>
                    </a:solidFill>
                    <a:latin typeface="+mn-lt"/>
                  </a:rPr>
                  <a:t>Sales Amount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927253881"/>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i="0">
                <a:solidFill>
                  <a:srgbClr val="757575"/>
                </a:solidFill>
                <a:latin typeface="+mn-lt"/>
              </a:defRPr>
            </a:pPr>
            <a:r>
              <a:rPr lang="en-ID" b="1" i="0">
                <a:solidFill>
                  <a:srgbClr val="757575"/>
                </a:solidFill>
                <a:latin typeface="+mn-lt"/>
              </a:rPr>
              <a:t>Quarterly Sales by Region (All Regions Shown)</a:t>
            </a:r>
          </a:p>
        </c:rich>
      </c:tx>
      <c:overlay val="0"/>
    </c:title>
    <c:autoTitleDeleted val="0"/>
    <c:plotArea>
      <c:layout/>
      <c:lineChart>
        <c:grouping val="standard"/>
        <c:varyColors val="1"/>
        <c:ser>
          <c:idx val="0"/>
          <c:order val="0"/>
          <c:tx>
            <c:v>Midwest</c:v>
          </c:tx>
          <c:spPr>
            <a:ln w="19050" cmpd="sng">
              <a:solidFill>
                <a:srgbClr val="4F81BD"/>
              </a:solidFill>
              <a:prstDash val="solid"/>
            </a:ln>
          </c:spPr>
          <c:marker>
            <c:symbol val="circle"/>
            <c:size val="8"/>
            <c:spPr>
              <a:solidFill>
                <a:srgbClr val="4F81BD"/>
              </a:solidFill>
              <a:ln cmpd="sng">
                <a:solidFill>
                  <a:srgbClr val="4F81BD"/>
                </a:solidFill>
              </a:ln>
            </c:spPr>
          </c:marker>
          <c:cat>
            <c:strRef>
              <c:f>Data!$A$12:$A$16</c:f>
              <c:strCache>
                <c:ptCount val="5"/>
                <c:pt idx="0">
                  <c:v>2024-Q1</c:v>
                </c:pt>
                <c:pt idx="1">
                  <c:v>2024-Q2</c:v>
                </c:pt>
                <c:pt idx="2">
                  <c:v>2024-Q3</c:v>
                </c:pt>
                <c:pt idx="3">
                  <c:v>2024-Q4</c:v>
                </c:pt>
                <c:pt idx="4">
                  <c:v>2025-Q1</c:v>
                </c:pt>
              </c:strCache>
            </c:strRef>
          </c:cat>
          <c:val>
            <c:numRef>
              <c:f>Data!$B$12:$B$16</c:f>
              <c:numCache>
                <c:formatCode>General</c:formatCode>
                <c:ptCount val="5"/>
                <c:pt idx="0">
                  <c:v>690000</c:v>
                </c:pt>
                <c:pt idx="1">
                  <c:v>552000</c:v>
                </c:pt>
                <c:pt idx="2">
                  <c:v>210000</c:v>
                </c:pt>
                <c:pt idx="3">
                  <c:v>294000</c:v>
                </c:pt>
                <c:pt idx="4">
                  <c:v>432000</c:v>
                </c:pt>
              </c:numCache>
            </c:numRef>
          </c:val>
          <c:smooth val="1"/>
          <c:extLst>
            <c:ext xmlns:c16="http://schemas.microsoft.com/office/drawing/2014/chart" uri="{C3380CC4-5D6E-409C-BE32-E72D297353CC}">
              <c16:uniqueId val="{00000000-8F19-4DBB-9BD2-8C3E898B8E58}"/>
            </c:ext>
          </c:extLst>
        </c:ser>
        <c:ser>
          <c:idx val="1"/>
          <c:order val="1"/>
          <c:tx>
            <c:v>Northeast</c:v>
          </c:tx>
          <c:spPr>
            <a:ln w="19050" cmpd="sng">
              <a:solidFill>
                <a:srgbClr val="C0504D"/>
              </a:solidFill>
              <a:prstDash val="solid"/>
            </a:ln>
          </c:spPr>
          <c:marker>
            <c:symbol val="circle"/>
            <c:size val="8"/>
            <c:spPr>
              <a:solidFill>
                <a:srgbClr val="C0504D"/>
              </a:solidFill>
              <a:ln cmpd="sng">
                <a:solidFill>
                  <a:srgbClr val="C0504D"/>
                </a:solidFill>
              </a:ln>
            </c:spPr>
          </c:marker>
          <c:cat>
            <c:strRef>
              <c:f>Data!$A$12:$A$16</c:f>
              <c:strCache>
                <c:ptCount val="5"/>
                <c:pt idx="0">
                  <c:v>2024-Q1</c:v>
                </c:pt>
                <c:pt idx="1">
                  <c:v>2024-Q2</c:v>
                </c:pt>
                <c:pt idx="2">
                  <c:v>2024-Q3</c:v>
                </c:pt>
                <c:pt idx="3">
                  <c:v>2024-Q4</c:v>
                </c:pt>
                <c:pt idx="4">
                  <c:v>2025-Q1</c:v>
                </c:pt>
              </c:strCache>
            </c:strRef>
          </c:cat>
          <c:val>
            <c:numRef>
              <c:f>Data!$C$12:$C$16</c:f>
              <c:numCache>
                <c:formatCode>General</c:formatCode>
                <c:ptCount val="5"/>
                <c:pt idx="0">
                  <c:v>0</c:v>
                </c:pt>
                <c:pt idx="1">
                  <c:v>384000</c:v>
                </c:pt>
                <c:pt idx="2">
                  <c:v>420000</c:v>
                </c:pt>
                <c:pt idx="3">
                  <c:v>252000</c:v>
                </c:pt>
                <c:pt idx="4">
                  <c:v>672000</c:v>
                </c:pt>
              </c:numCache>
            </c:numRef>
          </c:val>
          <c:smooth val="1"/>
          <c:extLst>
            <c:ext xmlns:c16="http://schemas.microsoft.com/office/drawing/2014/chart" uri="{C3380CC4-5D6E-409C-BE32-E72D297353CC}">
              <c16:uniqueId val="{00000001-8F19-4DBB-9BD2-8C3E898B8E58}"/>
            </c:ext>
          </c:extLst>
        </c:ser>
        <c:ser>
          <c:idx val="2"/>
          <c:order val="2"/>
          <c:tx>
            <c:v>South</c:v>
          </c:tx>
          <c:spPr>
            <a:ln w="19050" cmpd="sng">
              <a:solidFill>
                <a:srgbClr val="9BBB59"/>
              </a:solidFill>
              <a:prstDash val="solid"/>
            </a:ln>
          </c:spPr>
          <c:marker>
            <c:symbol val="circle"/>
            <c:size val="8"/>
            <c:spPr>
              <a:solidFill>
                <a:srgbClr val="9BBB59"/>
              </a:solidFill>
              <a:ln cmpd="sng">
                <a:solidFill>
                  <a:srgbClr val="9BBB59"/>
                </a:solidFill>
              </a:ln>
            </c:spPr>
          </c:marker>
          <c:cat>
            <c:strRef>
              <c:f>Data!$A$12:$A$16</c:f>
              <c:strCache>
                <c:ptCount val="5"/>
                <c:pt idx="0">
                  <c:v>2024-Q1</c:v>
                </c:pt>
                <c:pt idx="1">
                  <c:v>2024-Q2</c:v>
                </c:pt>
                <c:pt idx="2">
                  <c:v>2024-Q3</c:v>
                </c:pt>
                <c:pt idx="3">
                  <c:v>2024-Q4</c:v>
                </c:pt>
                <c:pt idx="4">
                  <c:v>2025-Q1</c:v>
                </c:pt>
              </c:strCache>
            </c:strRef>
          </c:cat>
          <c:val>
            <c:numRef>
              <c:f>Data!$D$12:$D$16</c:f>
              <c:numCache>
                <c:formatCode>General</c:formatCode>
                <c:ptCount val="5"/>
                <c:pt idx="0">
                  <c:v>255000</c:v>
                </c:pt>
                <c:pt idx="1">
                  <c:v>204000</c:v>
                </c:pt>
                <c:pt idx="2">
                  <c:v>600000</c:v>
                </c:pt>
                <c:pt idx="3">
                  <c:v>245000</c:v>
                </c:pt>
                <c:pt idx="4">
                  <c:v>315000</c:v>
                </c:pt>
              </c:numCache>
            </c:numRef>
          </c:val>
          <c:smooth val="1"/>
          <c:extLst>
            <c:ext xmlns:c16="http://schemas.microsoft.com/office/drawing/2014/chart" uri="{C3380CC4-5D6E-409C-BE32-E72D297353CC}">
              <c16:uniqueId val="{00000002-8F19-4DBB-9BD2-8C3E898B8E58}"/>
            </c:ext>
          </c:extLst>
        </c:ser>
        <c:ser>
          <c:idx val="3"/>
          <c:order val="3"/>
          <c:tx>
            <c:v>West</c:v>
          </c:tx>
          <c:spPr>
            <a:ln w="19050" cmpd="sng">
              <a:solidFill>
                <a:srgbClr val="8064A2"/>
              </a:solidFill>
              <a:prstDash val="solid"/>
            </a:ln>
          </c:spPr>
          <c:marker>
            <c:symbol val="circle"/>
            <c:size val="8"/>
            <c:spPr>
              <a:solidFill>
                <a:srgbClr val="8064A2"/>
              </a:solidFill>
              <a:ln cmpd="sng">
                <a:solidFill>
                  <a:srgbClr val="8064A2"/>
                </a:solidFill>
              </a:ln>
            </c:spPr>
          </c:marker>
          <c:cat>
            <c:strRef>
              <c:f>Data!$A$12:$A$16</c:f>
              <c:strCache>
                <c:ptCount val="5"/>
                <c:pt idx="0">
                  <c:v>2024-Q1</c:v>
                </c:pt>
                <c:pt idx="1">
                  <c:v>2024-Q2</c:v>
                </c:pt>
                <c:pt idx="2">
                  <c:v>2024-Q3</c:v>
                </c:pt>
                <c:pt idx="3">
                  <c:v>2024-Q4</c:v>
                </c:pt>
                <c:pt idx="4">
                  <c:v>2025-Q1</c:v>
                </c:pt>
              </c:strCache>
            </c:strRef>
          </c:cat>
          <c:val>
            <c:numRef>
              <c:f>Data!$E$12:$E$16</c:f>
              <c:numCache>
                <c:formatCode>General</c:formatCode>
                <c:ptCount val="5"/>
                <c:pt idx="0">
                  <c:v>360000</c:v>
                </c:pt>
                <c:pt idx="1">
                  <c:v>273000</c:v>
                </c:pt>
                <c:pt idx="2">
                  <c:v>228000</c:v>
                </c:pt>
                <c:pt idx="3">
                  <c:v>648000</c:v>
                </c:pt>
                <c:pt idx="4">
                  <c:v>273000</c:v>
                </c:pt>
              </c:numCache>
            </c:numRef>
          </c:val>
          <c:smooth val="1"/>
          <c:extLst>
            <c:ext xmlns:c16="http://schemas.microsoft.com/office/drawing/2014/chart" uri="{C3380CC4-5D6E-409C-BE32-E72D297353CC}">
              <c16:uniqueId val="{00000003-8F19-4DBB-9BD2-8C3E898B8E58}"/>
            </c:ext>
          </c:extLst>
        </c:ser>
        <c:dLbls>
          <c:showLegendKey val="0"/>
          <c:showVal val="0"/>
          <c:showCatName val="0"/>
          <c:showSerName val="0"/>
          <c:showPercent val="0"/>
          <c:showBubbleSize val="0"/>
        </c:dLbls>
        <c:marker val="1"/>
        <c:smooth val="0"/>
        <c:axId val="1435665594"/>
        <c:axId val="1386872607"/>
      </c:lineChart>
      <c:catAx>
        <c:axId val="1435665594"/>
        <c:scaling>
          <c:orientation val="minMax"/>
        </c:scaling>
        <c:delete val="0"/>
        <c:axPos val="b"/>
        <c:title>
          <c:tx>
            <c:rich>
              <a:bodyPr/>
              <a:lstStyle/>
              <a:p>
                <a:pPr lvl="0">
                  <a:defRPr b="1" i="0">
                    <a:solidFill>
                      <a:srgbClr val="000000"/>
                    </a:solidFill>
                    <a:latin typeface="+mn-lt"/>
                  </a:defRPr>
                </a:pPr>
                <a:r>
                  <a:rPr lang="en-ID" b="1" i="0">
                    <a:solidFill>
                      <a:srgbClr val="000000"/>
                    </a:solidFill>
                    <a:latin typeface="+mn-lt"/>
                  </a:rPr>
                  <a:t>Quarter</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386872607"/>
        <c:crosses val="autoZero"/>
        <c:auto val="1"/>
        <c:lblAlgn val="ctr"/>
        <c:lblOffset val="100"/>
        <c:noMultiLvlLbl val="1"/>
      </c:catAx>
      <c:valAx>
        <c:axId val="1386872607"/>
        <c:scaling>
          <c:orientation val="minMax"/>
        </c:scaling>
        <c:delete val="0"/>
        <c:axPos val="l"/>
        <c:majorGridlines>
          <c:spPr>
            <a:ln>
              <a:solidFill>
                <a:srgbClr val="B7B7B7"/>
              </a:solidFill>
            </a:ln>
          </c:spPr>
        </c:majorGridlines>
        <c:title>
          <c:tx>
            <c:rich>
              <a:bodyPr/>
              <a:lstStyle/>
              <a:p>
                <a:pPr lvl="0">
                  <a:defRPr b="1" i="0">
                    <a:solidFill>
                      <a:srgbClr val="000000"/>
                    </a:solidFill>
                    <a:latin typeface="+mn-lt"/>
                  </a:defRPr>
                </a:pPr>
                <a:r>
                  <a:rPr lang="en-ID" b="1" i="0">
                    <a:solidFill>
                      <a:srgbClr val="000000"/>
                    </a:solidFill>
                    <a:latin typeface="+mn-lt"/>
                  </a:rPr>
                  <a:t>Sales Amount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435665594"/>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[Submission8.xlsx]Revision_Dashboard!PivotTable2</c:name>
    <c:fmtId val="8"/>
  </c:pivotSource>
  <c:chart>
    <c:title>
      <c:tx>
        <c:rich>
          <a:bodyPr rot="0" spcFirstLastPara="1" vertOverflow="ellipsis" vert="horz" wrap="square" anchor="ctr" anchorCtr="1"/>
          <a:lstStyle/>
          <a:p>
            <a:pPr>
              <a:defRPr sz="1400" b="1" i="0" u="none" strike="noStrike" kern="1200" cap="none" spc="0" normalizeH="0" baseline="0">
                <a:solidFill>
                  <a:schemeClr val="tx1">
                    <a:lumMod val="65000"/>
                    <a:lumOff val="35000"/>
                  </a:schemeClr>
                </a:solidFill>
                <a:latin typeface="+mj-lt"/>
                <a:ea typeface="+mj-ea"/>
                <a:cs typeface="+mj-cs"/>
              </a:defRPr>
            </a:pPr>
            <a:r>
              <a:rPr lang="en-ID" sz="1400" b="1" i="0" u="none" strike="noStrike" kern="1200" baseline="0">
                <a:solidFill>
                  <a:srgbClr val="757575"/>
                </a:solidFill>
              </a:rPr>
              <a:t>Quarterly Sales by Region (All Regions Shown)</a:t>
            </a:r>
          </a:p>
        </c:rich>
      </c:tx>
      <c:overlay val="0"/>
      <c:spPr>
        <a:noFill/>
        <a:ln>
          <a:noFill/>
        </a:ln>
        <a:effectLst/>
      </c:spPr>
      <c:txPr>
        <a:bodyPr rot="0" spcFirstLastPara="1" vertOverflow="ellipsis" vert="horz" wrap="square" anchor="ctr" anchorCtr="1"/>
        <a:lstStyle/>
        <a:p>
          <a:pPr>
            <a:defRPr sz="1400" b="1"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pivotFmt>
      <c:pivotFmt>
        <c:idx val="1"/>
        <c:spPr>
          <a:ln w="38100" cap="rnd">
            <a:solidFill>
              <a:schemeClr val="accent1"/>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accent1"/>
            </a:solidFill>
            <a:round/>
          </a:ln>
          <a:effectLst/>
        </c:spPr>
        <c:marker>
          <c:symbol val="circle"/>
          <c:size val="8"/>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8100" cap="rnd">
            <a:solidFill>
              <a:schemeClr val="accent1"/>
            </a:solidFill>
            <a:round/>
          </a:ln>
          <a:effectLst/>
        </c:spPr>
        <c:marker>
          <c:symbol val="circle"/>
          <c:size val="8"/>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Revision_Dashboard!$B$3:$B$4</c:f>
              <c:strCache>
                <c:ptCount val="1"/>
                <c:pt idx="0">
                  <c:v>Midwest</c:v>
                </c:pt>
              </c:strCache>
            </c:strRef>
          </c:tx>
          <c:spPr>
            <a:ln w="38100" cap="rnd">
              <a:solidFill>
                <a:schemeClr val="accent1"/>
              </a:solidFill>
              <a:round/>
            </a:ln>
            <a:effectLst/>
          </c:spPr>
          <c:marker>
            <c:symbol val="circle"/>
            <c:size val="8"/>
            <c:spPr>
              <a:solidFill>
                <a:schemeClr val="accent1"/>
              </a:solidFill>
              <a:ln>
                <a:noFill/>
              </a:ln>
              <a:effectLst/>
            </c:spPr>
          </c:marker>
          <c:cat>
            <c:strRef>
              <c:f>Revision_Dashboard!$A$5:$A$9</c:f>
              <c:strCache>
                <c:ptCount val="4"/>
                <c:pt idx="0">
                  <c:v>Q1</c:v>
                </c:pt>
                <c:pt idx="1">
                  <c:v>Q2</c:v>
                </c:pt>
                <c:pt idx="2">
                  <c:v>Q3</c:v>
                </c:pt>
                <c:pt idx="3">
                  <c:v>Q4</c:v>
                </c:pt>
              </c:strCache>
            </c:strRef>
          </c:cat>
          <c:val>
            <c:numRef>
              <c:f>Revision_Dashboard!$B$5:$B$9</c:f>
              <c:numCache>
                <c:formatCode>General</c:formatCode>
                <c:ptCount val="4"/>
                <c:pt idx="0">
                  <c:v>1122000</c:v>
                </c:pt>
                <c:pt idx="1">
                  <c:v>552000</c:v>
                </c:pt>
                <c:pt idx="2">
                  <c:v>210000</c:v>
                </c:pt>
                <c:pt idx="3">
                  <c:v>294000</c:v>
                </c:pt>
              </c:numCache>
            </c:numRef>
          </c:val>
          <c:smooth val="1"/>
          <c:extLst>
            <c:ext xmlns:c16="http://schemas.microsoft.com/office/drawing/2014/chart" uri="{C3380CC4-5D6E-409C-BE32-E72D297353CC}">
              <c16:uniqueId val="{00000000-FDA0-4A5E-A9E0-DD30EA0712E9}"/>
            </c:ext>
          </c:extLst>
        </c:ser>
        <c:ser>
          <c:idx val="1"/>
          <c:order val="1"/>
          <c:tx>
            <c:strRef>
              <c:f>Revision_Dashboard!$C$3:$C$4</c:f>
              <c:strCache>
                <c:ptCount val="1"/>
                <c:pt idx="0">
                  <c:v>Northeast</c:v>
                </c:pt>
              </c:strCache>
            </c:strRef>
          </c:tx>
          <c:spPr>
            <a:ln w="38100" cap="rnd">
              <a:solidFill>
                <a:schemeClr val="accent2"/>
              </a:solidFill>
              <a:round/>
            </a:ln>
            <a:effectLst/>
          </c:spPr>
          <c:marker>
            <c:symbol val="circle"/>
            <c:size val="8"/>
            <c:spPr>
              <a:solidFill>
                <a:schemeClr val="accent2"/>
              </a:solidFill>
              <a:ln>
                <a:noFill/>
              </a:ln>
              <a:effectLst/>
            </c:spPr>
          </c:marker>
          <c:cat>
            <c:strRef>
              <c:f>Revision_Dashboard!$A$5:$A$9</c:f>
              <c:strCache>
                <c:ptCount val="4"/>
                <c:pt idx="0">
                  <c:v>Q1</c:v>
                </c:pt>
                <c:pt idx="1">
                  <c:v>Q2</c:v>
                </c:pt>
                <c:pt idx="2">
                  <c:v>Q3</c:v>
                </c:pt>
                <c:pt idx="3">
                  <c:v>Q4</c:v>
                </c:pt>
              </c:strCache>
            </c:strRef>
          </c:cat>
          <c:val>
            <c:numRef>
              <c:f>Revision_Dashboard!$C$5:$C$9</c:f>
              <c:numCache>
                <c:formatCode>General</c:formatCode>
                <c:ptCount val="4"/>
                <c:pt idx="0">
                  <c:v>672000</c:v>
                </c:pt>
                <c:pt idx="1">
                  <c:v>384000</c:v>
                </c:pt>
                <c:pt idx="2">
                  <c:v>420000</c:v>
                </c:pt>
                <c:pt idx="3">
                  <c:v>252000</c:v>
                </c:pt>
              </c:numCache>
            </c:numRef>
          </c:val>
          <c:smooth val="0"/>
          <c:extLst>
            <c:ext xmlns:c16="http://schemas.microsoft.com/office/drawing/2014/chart" uri="{C3380CC4-5D6E-409C-BE32-E72D297353CC}">
              <c16:uniqueId val="{0000001C-FDA0-4A5E-A9E0-DD30EA0712E9}"/>
            </c:ext>
          </c:extLst>
        </c:ser>
        <c:ser>
          <c:idx val="2"/>
          <c:order val="2"/>
          <c:tx>
            <c:strRef>
              <c:f>Revision_Dashboard!$D$3:$D$4</c:f>
              <c:strCache>
                <c:ptCount val="1"/>
                <c:pt idx="0">
                  <c:v>South</c:v>
                </c:pt>
              </c:strCache>
            </c:strRef>
          </c:tx>
          <c:spPr>
            <a:ln w="38100" cap="rnd">
              <a:solidFill>
                <a:schemeClr val="accent3"/>
              </a:solidFill>
              <a:round/>
            </a:ln>
            <a:effectLst/>
          </c:spPr>
          <c:marker>
            <c:symbol val="circle"/>
            <c:size val="8"/>
            <c:spPr>
              <a:solidFill>
                <a:schemeClr val="accent3"/>
              </a:solidFill>
              <a:ln>
                <a:noFill/>
              </a:ln>
              <a:effectLst/>
            </c:spPr>
          </c:marker>
          <c:cat>
            <c:strRef>
              <c:f>Revision_Dashboard!$A$5:$A$9</c:f>
              <c:strCache>
                <c:ptCount val="4"/>
                <c:pt idx="0">
                  <c:v>Q1</c:v>
                </c:pt>
                <c:pt idx="1">
                  <c:v>Q2</c:v>
                </c:pt>
                <c:pt idx="2">
                  <c:v>Q3</c:v>
                </c:pt>
                <c:pt idx="3">
                  <c:v>Q4</c:v>
                </c:pt>
              </c:strCache>
            </c:strRef>
          </c:cat>
          <c:val>
            <c:numRef>
              <c:f>Revision_Dashboard!$D$5:$D$9</c:f>
              <c:numCache>
                <c:formatCode>General</c:formatCode>
                <c:ptCount val="4"/>
                <c:pt idx="0">
                  <c:v>570000</c:v>
                </c:pt>
                <c:pt idx="1">
                  <c:v>204000</c:v>
                </c:pt>
                <c:pt idx="2">
                  <c:v>600000</c:v>
                </c:pt>
                <c:pt idx="3">
                  <c:v>245000</c:v>
                </c:pt>
              </c:numCache>
            </c:numRef>
          </c:val>
          <c:smooth val="0"/>
          <c:extLst>
            <c:ext xmlns:c16="http://schemas.microsoft.com/office/drawing/2014/chart" uri="{C3380CC4-5D6E-409C-BE32-E72D297353CC}">
              <c16:uniqueId val="{0000001D-FDA0-4A5E-A9E0-DD30EA0712E9}"/>
            </c:ext>
          </c:extLst>
        </c:ser>
        <c:ser>
          <c:idx val="3"/>
          <c:order val="3"/>
          <c:tx>
            <c:strRef>
              <c:f>Revision_Dashboard!$E$3:$E$4</c:f>
              <c:strCache>
                <c:ptCount val="1"/>
                <c:pt idx="0">
                  <c:v>West</c:v>
                </c:pt>
              </c:strCache>
            </c:strRef>
          </c:tx>
          <c:spPr>
            <a:ln w="38100" cap="rnd">
              <a:solidFill>
                <a:schemeClr val="accent4"/>
              </a:solidFill>
              <a:round/>
            </a:ln>
            <a:effectLst/>
          </c:spPr>
          <c:marker>
            <c:symbol val="circle"/>
            <c:size val="8"/>
            <c:spPr>
              <a:solidFill>
                <a:schemeClr val="accent4"/>
              </a:solidFill>
              <a:ln>
                <a:noFill/>
              </a:ln>
              <a:effectLst/>
            </c:spPr>
          </c:marker>
          <c:cat>
            <c:strRef>
              <c:f>Revision_Dashboard!$A$5:$A$9</c:f>
              <c:strCache>
                <c:ptCount val="4"/>
                <c:pt idx="0">
                  <c:v>Q1</c:v>
                </c:pt>
                <c:pt idx="1">
                  <c:v>Q2</c:v>
                </c:pt>
                <c:pt idx="2">
                  <c:v>Q3</c:v>
                </c:pt>
                <c:pt idx="3">
                  <c:v>Q4</c:v>
                </c:pt>
              </c:strCache>
            </c:strRef>
          </c:cat>
          <c:val>
            <c:numRef>
              <c:f>Revision_Dashboard!$E$5:$E$9</c:f>
              <c:numCache>
                <c:formatCode>General</c:formatCode>
                <c:ptCount val="4"/>
                <c:pt idx="0">
                  <c:v>633000</c:v>
                </c:pt>
                <c:pt idx="1">
                  <c:v>273000</c:v>
                </c:pt>
                <c:pt idx="2">
                  <c:v>228000</c:v>
                </c:pt>
                <c:pt idx="3">
                  <c:v>648000</c:v>
                </c:pt>
              </c:numCache>
            </c:numRef>
          </c:val>
          <c:smooth val="0"/>
          <c:extLst>
            <c:ext xmlns:c16="http://schemas.microsoft.com/office/drawing/2014/chart" uri="{C3380CC4-5D6E-409C-BE32-E72D297353CC}">
              <c16:uniqueId val="{0000001E-FDA0-4A5E-A9E0-DD30EA0712E9}"/>
            </c:ext>
          </c:extLst>
        </c:ser>
        <c:dLbls>
          <c:showLegendKey val="0"/>
          <c:showVal val="0"/>
          <c:showCatName val="0"/>
          <c:showSerName val="0"/>
          <c:showPercent val="0"/>
          <c:showBubbleSize val="0"/>
        </c:dLbls>
        <c:marker val="1"/>
        <c:smooth val="0"/>
        <c:axId val="518339824"/>
        <c:axId val="518341264"/>
      </c:lineChart>
      <c:catAx>
        <c:axId val="518339824"/>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D"/>
                  <a:t>Quarter</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518341264"/>
        <c:crosses val="autoZero"/>
        <c:auto val="1"/>
        <c:lblAlgn val="ctr"/>
        <c:lblOffset val="100"/>
        <c:noMultiLvlLbl val="0"/>
      </c:catAx>
      <c:valAx>
        <c:axId val="518341264"/>
        <c:scaling>
          <c:orientation val="minMax"/>
        </c:scaling>
        <c:delete val="0"/>
        <c:axPos val="l"/>
        <c:majorGridlines>
          <c:spPr>
            <a:ln w="317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D" b="0"/>
                  <a:t>Sales</a:t>
                </a:r>
                <a:r>
                  <a:rPr lang="en-ID" b="0" baseline="0"/>
                  <a:t> amount</a:t>
                </a:r>
                <a:endParaRPr lang="en-ID" b="0"/>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339824"/>
        <c:crosses val="autoZero"/>
        <c:crossBetween val="between"/>
      </c:valAx>
      <c:spPr>
        <a:noFill/>
        <a:ln>
          <a:noFill/>
        </a:ln>
        <a:effectLst>
          <a:softEdge rad="0"/>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r>
              <a:rPr lang="en-ID" sz="1400"/>
              <a:t>Sales, Marketing, and Profit Performance Trend Analysis</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strRef>
              <c:f>Data!$B$3</c:f>
              <c:strCache>
                <c:ptCount val="1"/>
                <c:pt idx="0">
                  <c:v>Sales Amount ($)</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Data!$A$4:$A$8</c:f>
              <c:strCache>
                <c:ptCount val="5"/>
                <c:pt idx="0">
                  <c:v>2024-Q1</c:v>
                </c:pt>
                <c:pt idx="1">
                  <c:v>2024-Q2</c:v>
                </c:pt>
                <c:pt idx="2">
                  <c:v>2024-Q3</c:v>
                </c:pt>
                <c:pt idx="3">
                  <c:v>2024-Q4</c:v>
                </c:pt>
                <c:pt idx="4">
                  <c:v>2025-Q1</c:v>
                </c:pt>
              </c:strCache>
            </c:strRef>
          </c:cat>
          <c:val>
            <c:numRef>
              <c:f>Data!$B$4:$B$8</c:f>
              <c:numCache>
                <c:formatCode>General</c:formatCode>
                <c:ptCount val="5"/>
                <c:pt idx="0">
                  <c:v>1305000</c:v>
                </c:pt>
                <c:pt idx="1">
                  <c:v>1413000</c:v>
                </c:pt>
                <c:pt idx="2">
                  <c:v>1458000</c:v>
                </c:pt>
                <c:pt idx="3">
                  <c:v>1439000</c:v>
                </c:pt>
                <c:pt idx="4">
                  <c:v>1692000</c:v>
                </c:pt>
              </c:numCache>
            </c:numRef>
          </c:val>
          <c:extLst>
            <c:ext xmlns:c16="http://schemas.microsoft.com/office/drawing/2014/chart" uri="{C3380CC4-5D6E-409C-BE32-E72D297353CC}">
              <c16:uniqueId val="{00000000-78F6-4062-8EAC-F3E14D146D17}"/>
            </c:ext>
          </c:extLst>
        </c:ser>
        <c:ser>
          <c:idx val="1"/>
          <c:order val="1"/>
          <c:tx>
            <c:strRef>
              <c:f>Data!$C$3</c:f>
              <c:strCache>
                <c:ptCount val="1"/>
                <c:pt idx="0">
                  <c:v>Marketing Spend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dLbl>
              <c:idx val="0"/>
              <c:layout>
                <c:manualLayout>
                  <c:x val="-1.1458200967217994E-17"/>
                  <c:y val="5.83959364160899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8F6-4062-8EAC-F3E14D146D17}"/>
                </c:ext>
              </c:extLst>
            </c:dLbl>
            <c:dLbl>
              <c:idx val="1"/>
              <c:layout>
                <c:manualLayout>
                  <c:x val="0"/>
                  <c:y val="5.712162806371541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8F6-4062-8EAC-F3E14D146D17}"/>
                </c:ext>
              </c:extLst>
            </c:dLbl>
            <c:dLbl>
              <c:idx val="2"/>
              <c:layout>
                <c:manualLayout>
                  <c:x val="1.25E-3"/>
                  <c:y val="6.274752190422960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8F6-4062-8EAC-F3E14D146D1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Data!$A$4:$A$8</c:f>
              <c:strCache>
                <c:ptCount val="5"/>
                <c:pt idx="0">
                  <c:v>2024-Q1</c:v>
                </c:pt>
                <c:pt idx="1">
                  <c:v>2024-Q2</c:v>
                </c:pt>
                <c:pt idx="2">
                  <c:v>2024-Q3</c:v>
                </c:pt>
                <c:pt idx="3">
                  <c:v>2024-Q4</c:v>
                </c:pt>
                <c:pt idx="4">
                  <c:v>2025-Q1</c:v>
                </c:pt>
              </c:strCache>
            </c:strRef>
          </c:cat>
          <c:val>
            <c:numRef>
              <c:f>Data!$C$4:$C$8</c:f>
              <c:numCache>
                <c:formatCode>General</c:formatCode>
                <c:ptCount val="5"/>
                <c:pt idx="0">
                  <c:v>138000</c:v>
                </c:pt>
                <c:pt idx="1">
                  <c:v>146000</c:v>
                </c:pt>
                <c:pt idx="2">
                  <c:v>150000</c:v>
                </c:pt>
                <c:pt idx="3">
                  <c:v>187000</c:v>
                </c:pt>
                <c:pt idx="4">
                  <c:v>214000</c:v>
                </c:pt>
              </c:numCache>
            </c:numRef>
          </c:val>
          <c:extLst>
            <c:ext xmlns:c16="http://schemas.microsoft.com/office/drawing/2014/chart" uri="{C3380CC4-5D6E-409C-BE32-E72D297353CC}">
              <c16:uniqueId val="{00000001-78F6-4062-8EAC-F3E14D146D17}"/>
            </c:ext>
          </c:extLst>
        </c:ser>
        <c:ser>
          <c:idx val="2"/>
          <c:order val="2"/>
          <c:tx>
            <c:strRef>
              <c:f>Data!$D$3</c:f>
              <c:strCache>
                <c:ptCount val="1"/>
                <c:pt idx="0">
                  <c:v>Gross Profit ($)</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Data!$A$4:$A$8</c:f>
              <c:strCache>
                <c:ptCount val="5"/>
                <c:pt idx="0">
                  <c:v>2024-Q1</c:v>
                </c:pt>
                <c:pt idx="1">
                  <c:v>2024-Q2</c:v>
                </c:pt>
                <c:pt idx="2">
                  <c:v>2024-Q3</c:v>
                </c:pt>
                <c:pt idx="3">
                  <c:v>2024-Q4</c:v>
                </c:pt>
                <c:pt idx="4">
                  <c:v>2025-Q1</c:v>
                </c:pt>
              </c:strCache>
            </c:strRef>
          </c:cat>
          <c:val>
            <c:numRef>
              <c:f>Data!$D$4:$D$8</c:f>
              <c:numCache>
                <c:formatCode>General</c:formatCode>
                <c:ptCount val="5"/>
                <c:pt idx="0">
                  <c:v>477300</c:v>
                </c:pt>
                <c:pt idx="1">
                  <c:v>516000</c:v>
                </c:pt>
                <c:pt idx="2">
                  <c:v>511800</c:v>
                </c:pt>
                <c:pt idx="3">
                  <c:v>606000</c:v>
                </c:pt>
                <c:pt idx="4">
                  <c:v>684000</c:v>
                </c:pt>
              </c:numCache>
            </c:numRef>
          </c:val>
          <c:extLst>
            <c:ext xmlns:c16="http://schemas.microsoft.com/office/drawing/2014/chart" uri="{C3380CC4-5D6E-409C-BE32-E72D297353CC}">
              <c16:uniqueId val="{00000002-78F6-4062-8EAC-F3E14D146D17}"/>
            </c:ext>
          </c:extLst>
        </c:ser>
        <c:dLbls>
          <c:showLegendKey val="0"/>
          <c:showVal val="0"/>
          <c:showCatName val="0"/>
          <c:showSerName val="0"/>
          <c:showPercent val="0"/>
          <c:showBubbleSize val="0"/>
        </c:dLbls>
        <c:gapWidth val="100"/>
        <c:overlap val="-4"/>
        <c:axId val="592480656"/>
        <c:axId val="592491216"/>
      </c:barChart>
      <c:catAx>
        <c:axId val="59248065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92491216"/>
        <c:crosses val="autoZero"/>
        <c:auto val="1"/>
        <c:lblAlgn val="ctr"/>
        <c:lblOffset val="100"/>
        <c:noMultiLvlLbl val="0"/>
      </c:catAx>
      <c:valAx>
        <c:axId val="592491216"/>
        <c:scaling>
          <c:orientation val="minMax"/>
        </c:scaling>
        <c:delete val="1"/>
        <c:axPos val="l"/>
        <c:majorGridlines>
          <c:spPr>
            <a:ln w="3175" cap="flat" cmpd="sng" algn="ctr">
              <a:solidFill>
                <a:schemeClr val="tx2">
                  <a:lumMod val="15000"/>
                  <a:lumOff val="85000"/>
                </a:schemeClr>
              </a:solidFill>
              <a:round/>
            </a:ln>
            <a:effectLst/>
          </c:spPr>
        </c:majorGridlines>
        <c:numFmt formatCode="General" sourceLinked="1"/>
        <c:majorTickMark val="none"/>
        <c:minorTickMark val="none"/>
        <c:tickLblPos val="nextTo"/>
        <c:crossAx val="59248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0</xdr:col>
      <xdr:colOff>104775</xdr:colOff>
      <xdr:row>26</xdr:row>
      <xdr:rowOff>180975</xdr:rowOff>
    </xdr:from>
    <xdr:ext cx="8439150" cy="4457700"/>
    <xdr:graphicFrame macro="">
      <xdr:nvGraphicFramePr>
        <xdr:cNvPr id="532844666" name="Chart 1">
          <a:extLst>
            <a:ext uri="{FF2B5EF4-FFF2-40B4-BE49-F238E27FC236}">
              <a16:creationId xmlns:a16="http://schemas.microsoft.com/office/drawing/2014/main" id="{00000000-0008-0000-0200-00007A90C2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142875</xdr:colOff>
      <xdr:row>3</xdr:row>
      <xdr:rowOff>171450</xdr:rowOff>
    </xdr:from>
    <xdr:ext cx="8277225" cy="3924300"/>
    <xdr:graphicFrame macro="">
      <xdr:nvGraphicFramePr>
        <xdr:cNvPr id="1186804589" name="Chart 2">
          <a:extLst>
            <a:ext uri="{FF2B5EF4-FFF2-40B4-BE49-F238E27FC236}">
              <a16:creationId xmlns:a16="http://schemas.microsoft.com/office/drawing/2014/main" id="{00000000-0008-0000-0200-00006D33BD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twoCellAnchor>
    <xdr:from>
      <xdr:col>6</xdr:col>
      <xdr:colOff>120650</xdr:colOff>
      <xdr:row>0</xdr:row>
      <xdr:rowOff>127000</xdr:rowOff>
    </xdr:from>
    <xdr:to>
      <xdr:col>14</xdr:col>
      <xdr:colOff>336550</xdr:colOff>
      <xdr:row>15</xdr:row>
      <xdr:rowOff>107950</xdr:rowOff>
    </xdr:to>
    <xdr:graphicFrame macro="">
      <xdr:nvGraphicFramePr>
        <xdr:cNvPr id="2" name="Chart 1">
          <a:extLst>
            <a:ext uri="{FF2B5EF4-FFF2-40B4-BE49-F238E27FC236}">
              <a16:creationId xmlns:a16="http://schemas.microsoft.com/office/drawing/2014/main" id="{4C9DE4B8-63F3-C73E-0A05-D5135CFFB3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400050</xdr:colOff>
      <xdr:row>0</xdr:row>
      <xdr:rowOff>139701</xdr:rowOff>
    </xdr:from>
    <xdr:to>
      <xdr:col>16</xdr:col>
      <xdr:colOff>342900</xdr:colOff>
      <xdr:row>8</xdr:row>
      <xdr:rowOff>101601</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6B8ED5E8-9800-6C2B-650B-7B91D8C8141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490200" y="139701"/>
              <a:ext cx="1162050" cy="14351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76200</xdr:colOff>
      <xdr:row>14</xdr:row>
      <xdr:rowOff>107950</xdr:rowOff>
    </xdr:from>
    <xdr:to>
      <xdr:col>16</xdr:col>
      <xdr:colOff>107950</xdr:colOff>
      <xdr:row>32</xdr:row>
      <xdr:rowOff>88900</xdr:rowOff>
    </xdr:to>
    <xdr:graphicFrame macro="">
      <xdr:nvGraphicFramePr>
        <xdr:cNvPr id="5" name="Chart 4">
          <a:extLst>
            <a:ext uri="{FF2B5EF4-FFF2-40B4-BE49-F238E27FC236}">
              <a16:creationId xmlns:a16="http://schemas.microsoft.com/office/drawing/2014/main" id="{C9F0ECEF-94A7-4BF4-ACFE-3765255DD9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bert Bukit" refreshedDate="46094.953030671299" createdVersion="8" refreshedVersion="8" minRefreshableVersion="3" recordCount="20" xr:uid="{DAAFD4ED-0185-426F-A72B-F44D1A0BE085}">
  <cacheSource type="worksheet">
    <worksheetSource ref="A1:H21" sheet="Raw_Data"/>
  </cacheSource>
  <cacheFields count="8">
    <cacheField name="Quarter" numFmtId="0">
      <sharedItems count="4">
        <s v="Q1"/>
        <s v="Q2"/>
        <s v="Q3"/>
        <s v="Q4"/>
      </sharedItems>
    </cacheField>
    <cacheField name="Region" numFmtId="0">
      <sharedItems count="4">
        <s v="Midwest"/>
        <s v="South"/>
        <s v="West"/>
        <s v="Northeast"/>
      </sharedItems>
    </cacheField>
    <cacheField name="Sales Amount ($)" numFmtId="0">
      <sharedItems containsSemiMixedTypes="0" containsString="0" containsNumber="1" containsInteger="1" minValue="186000" maxValue="672000"/>
    </cacheField>
    <cacheField name="Product Category" numFmtId="0">
      <sharedItems/>
    </cacheField>
    <cacheField name="Cost of Goods Sold ($)" numFmtId="0">
      <sharedItems containsSemiMixedTypes="0" containsString="0" containsNumber="1" containsInteger="1" minValue="84000" maxValue="470400"/>
    </cacheField>
    <cacheField name="Gross Profit ($)" numFmtId="0">
      <sharedItems containsSemiMixedTypes="0" containsString="0" containsNumber="1" containsInteger="1" minValue="65100" maxValue="201600"/>
    </cacheField>
    <cacheField name="Marketing Spend ($)" numFmtId="0">
      <sharedItems containsSemiMixedTypes="0" containsString="0" containsNumber="1" containsInteger="1" minValue="18000" maxValue="65000"/>
    </cacheField>
    <cacheField name="Customer Segment" numFmtId="0">
      <sharedItems/>
    </cacheField>
  </cacheFields>
  <extLst>
    <ext xmlns:x14="http://schemas.microsoft.com/office/spreadsheetml/2009/9/main" uri="{725AE2AE-9491-48be-B2B4-4EB974FC3084}">
      <x14:pivotCacheDefinition pivotCacheId="15327790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n v="504000"/>
    <s v="Laptops"/>
    <n v="352800"/>
    <n v="151200"/>
    <n v="40000"/>
    <s v="Enterprise"/>
  </r>
  <r>
    <x v="0"/>
    <x v="0"/>
    <n v="186000"/>
    <s v="Office Furniture"/>
    <n v="120900"/>
    <n v="65100"/>
    <n v="18000"/>
    <s v="SMB"/>
  </r>
  <r>
    <x v="0"/>
    <x v="1"/>
    <n v="255000"/>
    <s v="Cloud Software Subscriptions"/>
    <n v="102000"/>
    <n v="153000"/>
    <n v="50000"/>
    <s v="Enterprise"/>
  </r>
  <r>
    <x v="0"/>
    <x v="2"/>
    <n v="360000"/>
    <s v="Smartphones"/>
    <n v="252000"/>
    <n v="108000"/>
    <n v="30000"/>
    <s v="Retail"/>
  </r>
  <r>
    <x v="1"/>
    <x v="0"/>
    <n v="552000"/>
    <s v="Laptops"/>
    <n v="386400"/>
    <n v="165600"/>
    <n v="42000"/>
    <s v="Enterprise"/>
  </r>
  <r>
    <x v="1"/>
    <x v="1"/>
    <n v="204000"/>
    <s v="Office Furniture"/>
    <n v="132600"/>
    <n v="71400"/>
    <n v="20000"/>
    <s v="SMB"/>
  </r>
  <r>
    <x v="1"/>
    <x v="2"/>
    <n v="273000"/>
    <s v="Cloud Software Subscriptions"/>
    <n v="109200"/>
    <n v="163800"/>
    <n v="52000"/>
    <s v="Enterprise"/>
  </r>
  <r>
    <x v="1"/>
    <x v="3"/>
    <n v="384000"/>
    <s v="Smartphones"/>
    <n v="268800"/>
    <n v="115200"/>
    <n v="32000"/>
    <s v="Retail"/>
  </r>
  <r>
    <x v="2"/>
    <x v="0"/>
    <n v="210000"/>
    <s v="Data Analytics Software"/>
    <n v="84000"/>
    <n v="126000"/>
    <n v="45000"/>
    <s v="Enterprise"/>
  </r>
  <r>
    <x v="2"/>
    <x v="1"/>
    <n v="600000"/>
    <s v="Laptops"/>
    <n v="420000"/>
    <n v="180000"/>
    <n v="48000"/>
    <s v="Enterprise"/>
  </r>
  <r>
    <x v="2"/>
    <x v="2"/>
    <n v="228000"/>
    <s v="Office Furniture"/>
    <n v="148200"/>
    <n v="79800"/>
    <n v="22000"/>
    <s v="SMB"/>
  </r>
  <r>
    <x v="2"/>
    <x v="3"/>
    <n v="420000"/>
    <s v="Smartphones"/>
    <n v="294000"/>
    <n v="126000"/>
    <n v="35000"/>
    <s v="Retail"/>
  </r>
  <r>
    <x v="3"/>
    <x v="0"/>
    <n v="294000"/>
    <s v="Cloud Software Subscriptions"/>
    <n v="117600"/>
    <n v="176400"/>
    <n v="60000"/>
    <s v="Enterprise"/>
  </r>
  <r>
    <x v="3"/>
    <x v="1"/>
    <n v="245000"/>
    <s v="Data Analytics Software"/>
    <n v="98000"/>
    <n v="147000"/>
    <n v="50000"/>
    <s v="Enterprise"/>
  </r>
  <r>
    <x v="3"/>
    <x v="2"/>
    <n v="648000"/>
    <s v="Laptops"/>
    <n v="453600"/>
    <n v="194400"/>
    <n v="52000"/>
    <s v="Enterprise"/>
  </r>
  <r>
    <x v="3"/>
    <x v="3"/>
    <n v="252000"/>
    <s v="Office Furniture"/>
    <n v="163800"/>
    <n v="88200"/>
    <n v="25000"/>
    <s v="SMB"/>
  </r>
  <r>
    <x v="0"/>
    <x v="0"/>
    <n v="432000"/>
    <s v="Smartphones"/>
    <n v="302400"/>
    <n v="129600"/>
    <n v="36000"/>
    <s v="Retail"/>
  </r>
  <r>
    <x v="0"/>
    <x v="1"/>
    <n v="315000"/>
    <s v="Cloud Software Subscriptions"/>
    <n v="126000"/>
    <n v="189000"/>
    <n v="65000"/>
    <s v="Enterprise"/>
  </r>
  <r>
    <x v="0"/>
    <x v="2"/>
    <n v="273000"/>
    <s v="Data Analytics Software"/>
    <n v="109200"/>
    <n v="163800"/>
    <n v="58000"/>
    <s v="Enterprise"/>
  </r>
  <r>
    <x v="0"/>
    <x v="3"/>
    <n v="672000"/>
    <s v="Laptops"/>
    <n v="470400"/>
    <n v="201600"/>
    <n v="55000"/>
    <s v="Enterpris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9EE38A-EBA5-4012-93D4-4ECB41DB3DEE}"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F9" firstHeaderRow="1" firstDataRow="2" firstDataCol="1"/>
  <pivotFields count="8">
    <pivotField axis="axisRow" showAll="0">
      <items count="5">
        <item x="0"/>
        <item x="1"/>
        <item x="2"/>
        <item x="3"/>
        <item t="default"/>
      </items>
    </pivotField>
    <pivotField axis="axisCol" showAll="0">
      <items count="5">
        <item x="0"/>
        <item x="3"/>
        <item x="1"/>
        <item x="2"/>
        <item t="default"/>
      </items>
    </pivotField>
    <pivotField dataField="1" showAll="0"/>
    <pivotField showAll="0"/>
    <pivotField showAll="0"/>
    <pivotField showAll="0"/>
    <pivotField showAll="0"/>
    <pivotField showAll="0"/>
  </pivotFields>
  <rowFields count="1">
    <field x="0"/>
  </rowFields>
  <rowItems count="5">
    <i>
      <x/>
    </i>
    <i>
      <x v="1"/>
    </i>
    <i>
      <x v="2"/>
    </i>
    <i>
      <x v="3"/>
    </i>
    <i t="grand">
      <x/>
    </i>
  </rowItems>
  <colFields count="1">
    <field x="1"/>
  </colFields>
  <colItems count="5">
    <i>
      <x/>
    </i>
    <i>
      <x v="1"/>
    </i>
    <i>
      <x v="2"/>
    </i>
    <i>
      <x v="3"/>
    </i>
    <i t="grand">
      <x/>
    </i>
  </colItems>
  <dataFields count="1">
    <dataField name="Sum of Sales Amount ($)" fld="2" baseField="0" baseItem="0"/>
  </dataFields>
  <chartFormats count="5">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2">
          <reference field="4294967294" count="1" selected="0">
            <x v="0"/>
          </reference>
          <reference field="1" count="1" selected="0">
            <x v="1"/>
          </reference>
        </references>
      </pivotArea>
    </chartFormat>
    <chartFormat chart="8" format="2" series="1">
      <pivotArea type="data" outline="0" fieldPosition="0">
        <references count="2">
          <reference field="4294967294" count="1" selected="0">
            <x v="0"/>
          </reference>
          <reference field="1" count="1" selected="0">
            <x v="2"/>
          </reference>
        </references>
      </pivotArea>
    </chartFormat>
    <chartFormat chart="8" format="3" series="1">
      <pivotArea type="data" outline="0" fieldPosition="0">
        <references count="2">
          <reference field="4294967294" count="1" selected="0">
            <x v="0"/>
          </reference>
          <reference field="1" count="1" selected="0">
            <x v="3"/>
          </reference>
        </references>
      </pivotArea>
    </chartFormat>
    <chartFormat chart="8" format="4" series="1">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0AD9AF8-58D5-47D8-BC00-32B0ADD7622B}" sourceName="Region">
  <pivotTables>
    <pivotTable tabId="5" name="PivotTable2"/>
  </pivotTables>
  <data>
    <tabular pivotCacheId="1532779000">
      <items count="4">
        <i x="0" s="1"/>
        <i x="3"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DB9D7AE-35A2-413A-8CF7-B2F30F53DEC3}" cache="Slicer_Region" caption="Region"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workbookViewId="0">
      <pane ySplit="1" topLeftCell="A2" activePane="bottomLeft" state="frozen"/>
      <selection pane="bottomLeft" sqref="A1:H21"/>
    </sheetView>
  </sheetViews>
  <sheetFormatPr defaultColWidth="14.453125" defaultRowHeight="15" customHeight="1" x14ac:dyDescent="0.35"/>
  <cols>
    <col min="1" max="8" width="20" customWidth="1"/>
    <col min="9" max="26" width="8.7265625" customWidth="1"/>
  </cols>
  <sheetData>
    <row r="1" spans="1:8" ht="14.5" x14ac:dyDescent="0.35">
      <c r="A1" s="1" t="s">
        <v>0</v>
      </c>
      <c r="B1" s="1" t="s">
        <v>1</v>
      </c>
      <c r="C1" s="1" t="s">
        <v>2</v>
      </c>
      <c r="D1" s="1" t="s">
        <v>3</v>
      </c>
      <c r="E1" s="1" t="s">
        <v>4</v>
      </c>
      <c r="F1" s="1" t="s">
        <v>5</v>
      </c>
      <c r="G1" s="1" t="s">
        <v>6</v>
      </c>
      <c r="H1" s="1" t="s">
        <v>7</v>
      </c>
    </row>
    <row r="2" spans="1:8" ht="14.5" x14ac:dyDescent="0.35">
      <c r="A2" s="1" t="s">
        <v>8</v>
      </c>
      <c r="B2" s="1" t="s">
        <v>9</v>
      </c>
      <c r="C2" s="1">
        <v>504000</v>
      </c>
      <c r="D2" s="1" t="s">
        <v>10</v>
      </c>
      <c r="E2" s="1">
        <v>352800</v>
      </c>
      <c r="F2" s="1">
        <v>151200</v>
      </c>
      <c r="G2" s="1">
        <v>40000</v>
      </c>
      <c r="H2" s="1" t="s">
        <v>11</v>
      </c>
    </row>
    <row r="3" spans="1:8" ht="14.5" x14ac:dyDescent="0.35">
      <c r="A3" s="1" t="s">
        <v>8</v>
      </c>
      <c r="B3" s="1" t="s">
        <v>9</v>
      </c>
      <c r="C3" s="1">
        <v>186000</v>
      </c>
      <c r="D3" s="1" t="s">
        <v>12</v>
      </c>
      <c r="E3" s="1">
        <v>120900</v>
      </c>
      <c r="F3" s="1">
        <v>65100</v>
      </c>
      <c r="G3" s="1">
        <v>18000</v>
      </c>
      <c r="H3" s="1" t="s">
        <v>13</v>
      </c>
    </row>
    <row r="4" spans="1:8" ht="14.5" x14ac:dyDescent="0.35">
      <c r="A4" s="1" t="s">
        <v>8</v>
      </c>
      <c r="B4" s="1" t="s">
        <v>14</v>
      </c>
      <c r="C4" s="1">
        <v>255000</v>
      </c>
      <c r="D4" s="1" t="s">
        <v>15</v>
      </c>
      <c r="E4" s="1">
        <v>102000</v>
      </c>
      <c r="F4" s="1">
        <v>153000</v>
      </c>
      <c r="G4" s="1">
        <v>50000</v>
      </c>
      <c r="H4" s="1" t="s">
        <v>11</v>
      </c>
    </row>
    <row r="5" spans="1:8" ht="14.5" x14ac:dyDescent="0.35">
      <c r="A5" s="1" t="s">
        <v>8</v>
      </c>
      <c r="B5" s="1" t="s">
        <v>16</v>
      </c>
      <c r="C5" s="1">
        <v>360000</v>
      </c>
      <c r="D5" s="1" t="s">
        <v>17</v>
      </c>
      <c r="E5" s="1">
        <v>252000</v>
      </c>
      <c r="F5" s="1">
        <v>108000</v>
      </c>
      <c r="G5" s="1">
        <v>30000</v>
      </c>
      <c r="H5" s="1" t="s">
        <v>18</v>
      </c>
    </row>
    <row r="6" spans="1:8" ht="14.5" x14ac:dyDescent="0.35">
      <c r="A6" s="1" t="s">
        <v>19</v>
      </c>
      <c r="B6" s="1" t="s">
        <v>9</v>
      </c>
      <c r="C6" s="1">
        <v>552000</v>
      </c>
      <c r="D6" s="1" t="s">
        <v>10</v>
      </c>
      <c r="E6" s="1">
        <v>386400</v>
      </c>
      <c r="F6" s="1">
        <v>165600</v>
      </c>
      <c r="G6" s="1">
        <v>42000</v>
      </c>
      <c r="H6" s="1" t="s">
        <v>11</v>
      </c>
    </row>
    <row r="7" spans="1:8" ht="14.5" x14ac:dyDescent="0.35">
      <c r="A7" s="1" t="s">
        <v>19</v>
      </c>
      <c r="B7" s="1" t="s">
        <v>14</v>
      </c>
      <c r="C7" s="1">
        <v>204000</v>
      </c>
      <c r="D7" s="1" t="s">
        <v>12</v>
      </c>
      <c r="E7" s="1">
        <v>132600</v>
      </c>
      <c r="F7" s="1">
        <v>71400</v>
      </c>
      <c r="G7" s="1">
        <v>20000</v>
      </c>
      <c r="H7" s="1" t="s">
        <v>13</v>
      </c>
    </row>
    <row r="8" spans="1:8" ht="14.5" x14ac:dyDescent="0.35">
      <c r="A8" s="1" t="s">
        <v>19</v>
      </c>
      <c r="B8" s="1" t="s">
        <v>16</v>
      </c>
      <c r="C8" s="1">
        <v>273000</v>
      </c>
      <c r="D8" s="1" t="s">
        <v>15</v>
      </c>
      <c r="E8" s="1">
        <v>109200</v>
      </c>
      <c r="F8" s="1">
        <v>163800</v>
      </c>
      <c r="G8" s="1">
        <v>52000</v>
      </c>
      <c r="H8" s="1" t="s">
        <v>11</v>
      </c>
    </row>
    <row r="9" spans="1:8" ht="14.5" x14ac:dyDescent="0.35">
      <c r="A9" s="1" t="s">
        <v>19</v>
      </c>
      <c r="B9" s="1" t="s">
        <v>20</v>
      </c>
      <c r="C9" s="1">
        <v>384000</v>
      </c>
      <c r="D9" s="1" t="s">
        <v>17</v>
      </c>
      <c r="E9" s="1">
        <v>268800</v>
      </c>
      <c r="F9" s="1">
        <v>115200</v>
      </c>
      <c r="G9" s="1">
        <v>32000</v>
      </c>
      <c r="H9" s="1" t="s">
        <v>18</v>
      </c>
    </row>
    <row r="10" spans="1:8" ht="14.5" x14ac:dyDescent="0.35">
      <c r="A10" s="1" t="s">
        <v>21</v>
      </c>
      <c r="B10" s="1" t="s">
        <v>9</v>
      </c>
      <c r="C10" s="1">
        <v>210000</v>
      </c>
      <c r="D10" s="1" t="s">
        <v>22</v>
      </c>
      <c r="E10" s="1">
        <v>84000</v>
      </c>
      <c r="F10" s="1">
        <v>126000</v>
      </c>
      <c r="G10" s="1">
        <v>45000</v>
      </c>
      <c r="H10" s="1" t="s">
        <v>11</v>
      </c>
    </row>
    <row r="11" spans="1:8" ht="14.5" x14ac:dyDescent="0.35">
      <c r="A11" s="1" t="s">
        <v>21</v>
      </c>
      <c r="B11" s="1" t="s">
        <v>14</v>
      </c>
      <c r="C11" s="1">
        <v>600000</v>
      </c>
      <c r="D11" s="1" t="s">
        <v>10</v>
      </c>
      <c r="E11" s="1">
        <v>420000</v>
      </c>
      <c r="F11" s="1">
        <v>180000</v>
      </c>
      <c r="G11" s="1">
        <v>48000</v>
      </c>
      <c r="H11" s="1" t="s">
        <v>11</v>
      </c>
    </row>
    <row r="12" spans="1:8" ht="14.5" x14ac:dyDescent="0.35">
      <c r="A12" s="1" t="s">
        <v>21</v>
      </c>
      <c r="B12" s="1" t="s">
        <v>16</v>
      </c>
      <c r="C12" s="1">
        <v>228000</v>
      </c>
      <c r="D12" s="1" t="s">
        <v>12</v>
      </c>
      <c r="E12" s="1">
        <v>148200</v>
      </c>
      <c r="F12" s="1">
        <v>79800</v>
      </c>
      <c r="G12" s="1">
        <v>22000</v>
      </c>
      <c r="H12" s="1" t="s">
        <v>13</v>
      </c>
    </row>
    <row r="13" spans="1:8" ht="14.5" x14ac:dyDescent="0.35">
      <c r="A13" s="1" t="s">
        <v>21</v>
      </c>
      <c r="B13" s="1" t="s">
        <v>20</v>
      </c>
      <c r="C13" s="1">
        <v>420000</v>
      </c>
      <c r="D13" s="1" t="s">
        <v>17</v>
      </c>
      <c r="E13" s="1">
        <v>294000</v>
      </c>
      <c r="F13" s="1">
        <v>126000</v>
      </c>
      <c r="G13" s="1">
        <v>35000</v>
      </c>
      <c r="H13" s="1" t="s">
        <v>18</v>
      </c>
    </row>
    <row r="14" spans="1:8" ht="14.5" x14ac:dyDescent="0.35">
      <c r="A14" s="1" t="s">
        <v>23</v>
      </c>
      <c r="B14" s="1" t="s">
        <v>9</v>
      </c>
      <c r="C14" s="1">
        <v>294000</v>
      </c>
      <c r="D14" s="1" t="s">
        <v>15</v>
      </c>
      <c r="E14" s="1">
        <v>117600</v>
      </c>
      <c r="F14" s="1">
        <v>176400</v>
      </c>
      <c r="G14" s="1">
        <v>60000</v>
      </c>
      <c r="H14" s="1" t="s">
        <v>11</v>
      </c>
    </row>
    <row r="15" spans="1:8" ht="14.5" x14ac:dyDescent="0.35">
      <c r="A15" s="1" t="s">
        <v>23</v>
      </c>
      <c r="B15" s="1" t="s">
        <v>14</v>
      </c>
      <c r="C15" s="1">
        <v>245000</v>
      </c>
      <c r="D15" s="1" t="s">
        <v>22</v>
      </c>
      <c r="E15" s="1">
        <v>98000</v>
      </c>
      <c r="F15" s="1">
        <v>147000</v>
      </c>
      <c r="G15" s="1">
        <v>50000</v>
      </c>
      <c r="H15" s="1" t="s">
        <v>11</v>
      </c>
    </row>
    <row r="16" spans="1:8" ht="14.5" x14ac:dyDescent="0.35">
      <c r="A16" s="1" t="s">
        <v>23</v>
      </c>
      <c r="B16" s="1" t="s">
        <v>16</v>
      </c>
      <c r="C16" s="1">
        <v>648000</v>
      </c>
      <c r="D16" s="1" t="s">
        <v>10</v>
      </c>
      <c r="E16" s="1">
        <v>453600</v>
      </c>
      <c r="F16" s="1">
        <v>194400</v>
      </c>
      <c r="G16" s="1">
        <v>52000</v>
      </c>
      <c r="H16" s="1" t="s">
        <v>11</v>
      </c>
    </row>
    <row r="17" spans="1:8" ht="14.5" x14ac:dyDescent="0.35">
      <c r="A17" s="1" t="s">
        <v>23</v>
      </c>
      <c r="B17" s="1" t="s">
        <v>20</v>
      </c>
      <c r="C17" s="1">
        <v>252000</v>
      </c>
      <c r="D17" s="1" t="s">
        <v>12</v>
      </c>
      <c r="E17" s="1">
        <v>163800</v>
      </c>
      <c r="F17" s="1">
        <v>88200</v>
      </c>
      <c r="G17" s="1">
        <v>25000</v>
      </c>
      <c r="H17" s="1" t="s">
        <v>13</v>
      </c>
    </row>
    <row r="18" spans="1:8" ht="14.5" x14ac:dyDescent="0.35">
      <c r="A18" s="1" t="s">
        <v>8</v>
      </c>
      <c r="B18" s="1" t="s">
        <v>9</v>
      </c>
      <c r="C18" s="1">
        <v>432000</v>
      </c>
      <c r="D18" s="1" t="s">
        <v>17</v>
      </c>
      <c r="E18" s="1">
        <v>302400</v>
      </c>
      <c r="F18" s="1">
        <v>129600</v>
      </c>
      <c r="G18" s="1">
        <v>36000</v>
      </c>
      <c r="H18" s="1" t="s">
        <v>18</v>
      </c>
    </row>
    <row r="19" spans="1:8" ht="14.5" x14ac:dyDescent="0.35">
      <c r="A19" s="1" t="s">
        <v>8</v>
      </c>
      <c r="B19" s="1" t="s">
        <v>14</v>
      </c>
      <c r="C19" s="1">
        <v>315000</v>
      </c>
      <c r="D19" s="1" t="s">
        <v>15</v>
      </c>
      <c r="E19" s="1">
        <v>126000</v>
      </c>
      <c r="F19" s="1">
        <v>189000</v>
      </c>
      <c r="G19" s="1">
        <v>65000</v>
      </c>
      <c r="H19" s="1" t="s">
        <v>11</v>
      </c>
    </row>
    <row r="20" spans="1:8" ht="14.5" x14ac:dyDescent="0.35">
      <c r="A20" s="1" t="s">
        <v>8</v>
      </c>
      <c r="B20" s="1" t="s">
        <v>16</v>
      </c>
      <c r="C20" s="1">
        <v>273000</v>
      </c>
      <c r="D20" s="1" t="s">
        <v>22</v>
      </c>
      <c r="E20" s="1">
        <v>109200</v>
      </c>
      <c r="F20" s="1">
        <v>163800</v>
      </c>
      <c r="G20" s="1">
        <v>58000</v>
      </c>
      <c r="H20" s="1" t="s">
        <v>11</v>
      </c>
    </row>
    <row r="21" spans="1:8" ht="15.75" customHeight="1" x14ac:dyDescent="0.35">
      <c r="A21" s="1" t="s">
        <v>8</v>
      </c>
      <c r="B21" s="1" t="s">
        <v>20</v>
      </c>
      <c r="C21" s="1">
        <v>672000</v>
      </c>
      <c r="D21" s="1" t="s">
        <v>10</v>
      </c>
      <c r="E21" s="1">
        <v>470400</v>
      </c>
      <c r="F21" s="1">
        <v>201600</v>
      </c>
      <c r="G21" s="1">
        <v>55000</v>
      </c>
      <c r="H21" s="1" t="s">
        <v>11</v>
      </c>
    </row>
    <row r="22" spans="1:8" ht="15.75" customHeight="1" x14ac:dyDescent="0.35"/>
    <row r="23" spans="1:8" ht="15.75" customHeight="1" x14ac:dyDescent="0.35"/>
    <row r="24" spans="1:8" ht="15.75" customHeight="1" x14ac:dyDescent="0.35"/>
    <row r="25" spans="1:8" ht="15.75" customHeight="1" x14ac:dyDescent="0.35"/>
    <row r="26" spans="1:8" ht="15.75" customHeight="1" x14ac:dyDescent="0.35"/>
    <row r="27" spans="1:8" ht="15.75" customHeight="1" x14ac:dyDescent="0.35"/>
    <row r="28" spans="1:8" ht="15.75" customHeight="1" x14ac:dyDescent="0.35"/>
    <row r="29" spans="1:8" ht="15.75" customHeight="1" x14ac:dyDescent="0.35"/>
    <row r="30" spans="1:8" ht="15.75" customHeight="1" x14ac:dyDescent="0.35"/>
    <row r="31" spans="1:8" ht="15.75" customHeight="1" x14ac:dyDescent="0.35"/>
    <row r="32" spans="1:8"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pane ySplit="1" topLeftCell="A3" activePane="bottomLeft" state="frozen"/>
      <selection pane="bottomLeft" activeCell="A3" sqref="A3:D8"/>
    </sheetView>
  </sheetViews>
  <sheetFormatPr defaultColWidth="14.453125" defaultRowHeight="15" customHeight="1" x14ac:dyDescent="0.35"/>
  <cols>
    <col min="1" max="6" width="22" customWidth="1"/>
    <col min="7" max="26" width="8.7265625" customWidth="1"/>
  </cols>
  <sheetData>
    <row r="1" spans="1:26" ht="23.5" x14ac:dyDescent="0.55000000000000004">
      <c r="A1" s="2" t="s">
        <v>24</v>
      </c>
    </row>
    <row r="3" spans="1:26" ht="14.5" x14ac:dyDescent="0.35">
      <c r="A3" s="3" t="s">
        <v>0</v>
      </c>
      <c r="B3" s="3" t="s">
        <v>2</v>
      </c>
      <c r="C3" s="3" t="s">
        <v>6</v>
      </c>
      <c r="D3" s="3" t="s">
        <v>5</v>
      </c>
      <c r="E3" s="3"/>
      <c r="F3" s="3"/>
      <c r="G3" s="3"/>
      <c r="H3" s="3"/>
      <c r="I3" s="3"/>
      <c r="J3" s="3"/>
      <c r="K3" s="3"/>
      <c r="L3" s="3"/>
      <c r="M3" s="3"/>
      <c r="N3" s="3"/>
      <c r="O3" s="3"/>
      <c r="P3" s="3"/>
      <c r="Q3" s="3"/>
      <c r="R3" s="3"/>
      <c r="S3" s="3"/>
      <c r="T3" s="3"/>
      <c r="U3" s="3"/>
      <c r="V3" s="3"/>
      <c r="W3" s="3"/>
      <c r="X3" s="3"/>
      <c r="Y3" s="3"/>
      <c r="Z3" s="3"/>
    </row>
    <row r="4" spans="1:26" ht="14.5" x14ac:dyDescent="0.35">
      <c r="A4" s="1" t="s">
        <v>25</v>
      </c>
      <c r="B4" s="1">
        <v>1305000</v>
      </c>
      <c r="C4" s="1">
        <v>138000</v>
      </c>
      <c r="D4" s="1">
        <v>477300</v>
      </c>
    </row>
    <row r="5" spans="1:26" ht="14.5" x14ac:dyDescent="0.35">
      <c r="A5" s="1" t="s">
        <v>26</v>
      </c>
      <c r="B5" s="1">
        <v>1413000</v>
      </c>
      <c r="C5" s="1">
        <v>146000</v>
      </c>
      <c r="D5" s="1">
        <v>516000</v>
      </c>
    </row>
    <row r="6" spans="1:26" ht="14.5" x14ac:dyDescent="0.35">
      <c r="A6" s="1" t="s">
        <v>27</v>
      </c>
      <c r="B6" s="1">
        <v>1458000</v>
      </c>
      <c r="C6" s="1">
        <v>150000</v>
      </c>
      <c r="D6" s="1">
        <v>511800</v>
      </c>
    </row>
    <row r="7" spans="1:26" ht="14.5" x14ac:dyDescent="0.35">
      <c r="A7" s="1" t="s">
        <v>28</v>
      </c>
      <c r="B7" s="1">
        <v>1439000</v>
      </c>
      <c r="C7" s="1">
        <v>187000</v>
      </c>
      <c r="D7" s="1">
        <v>606000</v>
      </c>
    </row>
    <row r="8" spans="1:26" ht="14.5" x14ac:dyDescent="0.35">
      <c r="A8" s="1" t="s">
        <v>29</v>
      </c>
      <c r="B8" s="1">
        <v>1692000</v>
      </c>
      <c r="C8" s="1">
        <v>214000</v>
      </c>
      <c r="D8" s="1">
        <v>684000</v>
      </c>
    </row>
    <row r="11" spans="1:26" ht="14.5" x14ac:dyDescent="0.35">
      <c r="A11" s="3" t="s">
        <v>0</v>
      </c>
      <c r="B11" s="3" t="s">
        <v>9</v>
      </c>
      <c r="C11" s="3" t="s">
        <v>20</v>
      </c>
      <c r="D11" s="3" t="s">
        <v>14</v>
      </c>
      <c r="E11" s="3" t="s">
        <v>16</v>
      </c>
      <c r="F11" s="3"/>
      <c r="G11" s="3"/>
      <c r="H11" s="3"/>
      <c r="I11" s="3"/>
      <c r="J11" s="3"/>
      <c r="K11" s="3"/>
      <c r="L11" s="3"/>
      <c r="M11" s="3"/>
      <c r="N11" s="3"/>
      <c r="O11" s="3"/>
      <c r="P11" s="3"/>
      <c r="Q11" s="3"/>
      <c r="R11" s="3"/>
      <c r="S11" s="3"/>
      <c r="T11" s="3"/>
      <c r="U11" s="3"/>
      <c r="V11" s="3"/>
      <c r="W11" s="3"/>
      <c r="X11" s="3"/>
      <c r="Y11" s="3"/>
      <c r="Z11" s="3"/>
    </row>
    <row r="12" spans="1:26" ht="14.5" x14ac:dyDescent="0.35">
      <c r="A12" s="1" t="s">
        <v>25</v>
      </c>
      <c r="B12" s="1">
        <v>690000</v>
      </c>
      <c r="C12" s="1">
        <v>0</v>
      </c>
      <c r="D12" s="1">
        <v>255000</v>
      </c>
      <c r="E12" s="1">
        <v>360000</v>
      </c>
    </row>
    <row r="13" spans="1:26" ht="14.5" x14ac:dyDescent="0.35">
      <c r="A13" s="1" t="s">
        <v>26</v>
      </c>
      <c r="B13" s="1">
        <v>552000</v>
      </c>
      <c r="C13" s="1">
        <v>384000</v>
      </c>
      <c r="D13" s="1">
        <v>204000</v>
      </c>
      <c r="E13" s="1">
        <v>273000</v>
      </c>
    </row>
    <row r="14" spans="1:26" ht="14.5" x14ac:dyDescent="0.35">
      <c r="A14" s="1" t="s">
        <v>27</v>
      </c>
      <c r="B14" s="1">
        <v>210000</v>
      </c>
      <c r="C14" s="1">
        <v>420000</v>
      </c>
      <c r="D14" s="1">
        <v>600000</v>
      </c>
      <c r="E14" s="1">
        <v>228000</v>
      </c>
    </row>
    <row r="15" spans="1:26" ht="14.5" x14ac:dyDescent="0.35">
      <c r="A15" s="1" t="s">
        <v>28</v>
      </c>
      <c r="B15" s="1">
        <v>294000</v>
      </c>
      <c r="C15" s="1">
        <v>252000</v>
      </c>
      <c r="D15" s="1">
        <v>245000</v>
      </c>
      <c r="E15" s="1">
        <v>648000</v>
      </c>
    </row>
    <row r="16" spans="1:26" ht="14.5" x14ac:dyDescent="0.35">
      <c r="A16" s="1" t="s">
        <v>29</v>
      </c>
      <c r="B16" s="1">
        <v>432000</v>
      </c>
      <c r="C16" s="1">
        <v>672000</v>
      </c>
      <c r="D16" s="1">
        <v>315000</v>
      </c>
      <c r="E16" s="1">
        <v>273000</v>
      </c>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000"/>
  <sheetViews>
    <sheetView showGridLines="0" topLeftCell="A24" zoomScale="90" zoomScaleNormal="90" workbookViewId="0">
      <selection activeCell="O11" sqref="O11"/>
    </sheetView>
  </sheetViews>
  <sheetFormatPr defaultColWidth="14.453125" defaultRowHeight="15" customHeight="1" x14ac:dyDescent="0.35"/>
  <cols>
    <col min="1" max="26" width="8.7265625" customWidth="1"/>
  </cols>
  <sheetData>
    <row r="1" spans="1:1" ht="23.5" x14ac:dyDescent="0.55000000000000004">
      <c r="A1" s="4" t="s">
        <v>30</v>
      </c>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8DDEA-9CBF-402F-858A-C540993A50F2}">
  <dimension ref="A3:F9"/>
  <sheetViews>
    <sheetView showGridLines="0" tabSelected="1" workbookViewId="0">
      <selection activeCell="C13" sqref="C13"/>
    </sheetView>
  </sheetViews>
  <sheetFormatPr defaultRowHeight="14.5" x14ac:dyDescent="0.35"/>
  <cols>
    <col min="1" max="1" width="12.36328125" bestFit="1" customWidth="1"/>
    <col min="2" max="2" width="21.54296875" bestFit="1" customWidth="1"/>
    <col min="3" max="6" width="7.81640625" bestFit="1" customWidth="1"/>
    <col min="7" max="7" width="10.7265625" bestFit="1" customWidth="1"/>
    <col min="8" max="8" width="8.6328125" bestFit="1" customWidth="1"/>
    <col min="9" max="9" width="11.54296875" bestFit="1" customWidth="1"/>
    <col min="10" max="10" width="8.6328125" bestFit="1" customWidth="1"/>
    <col min="11" max="11" width="11.54296875" bestFit="1" customWidth="1"/>
    <col min="12" max="12" width="10.7265625" bestFit="1" customWidth="1"/>
  </cols>
  <sheetData>
    <row r="3" spans="1:6" x14ac:dyDescent="0.35">
      <c r="A3" s="5" t="s">
        <v>33</v>
      </c>
      <c r="B3" s="5" t="s">
        <v>34</v>
      </c>
    </row>
    <row r="4" spans="1:6" x14ac:dyDescent="0.35">
      <c r="A4" s="5" t="s">
        <v>31</v>
      </c>
      <c r="B4" t="s">
        <v>9</v>
      </c>
      <c r="C4" t="s">
        <v>20</v>
      </c>
      <c r="D4" t="s">
        <v>14</v>
      </c>
      <c r="E4" t="s">
        <v>16</v>
      </c>
      <c r="F4" t="s">
        <v>32</v>
      </c>
    </row>
    <row r="5" spans="1:6" x14ac:dyDescent="0.35">
      <c r="A5" s="6" t="s">
        <v>8</v>
      </c>
      <c r="B5" s="7">
        <v>1122000</v>
      </c>
      <c r="C5" s="7">
        <v>672000</v>
      </c>
      <c r="D5" s="7">
        <v>570000</v>
      </c>
      <c r="E5" s="7">
        <v>633000</v>
      </c>
      <c r="F5" s="7">
        <v>2997000</v>
      </c>
    </row>
    <row r="6" spans="1:6" x14ac:dyDescent="0.35">
      <c r="A6" s="6" t="s">
        <v>19</v>
      </c>
      <c r="B6" s="7">
        <v>552000</v>
      </c>
      <c r="C6" s="7">
        <v>384000</v>
      </c>
      <c r="D6" s="7">
        <v>204000</v>
      </c>
      <c r="E6" s="7">
        <v>273000</v>
      </c>
      <c r="F6" s="7">
        <v>1413000</v>
      </c>
    </row>
    <row r="7" spans="1:6" x14ac:dyDescent="0.35">
      <c r="A7" s="6" t="s">
        <v>21</v>
      </c>
      <c r="B7" s="7">
        <v>210000</v>
      </c>
      <c r="C7" s="7">
        <v>420000</v>
      </c>
      <c r="D7" s="7">
        <v>600000</v>
      </c>
      <c r="E7" s="7">
        <v>228000</v>
      </c>
      <c r="F7" s="7">
        <v>1458000</v>
      </c>
    </row>
    <row r="8" spans="1:6" x14ac:dyDescent="0.35">
      <c r="A8" s="6" t="s">
        <v>23</v>
      </c>
      <c r="B8" s="7">
        <v>294000</v>
      </c>
      <c r="C8" s="7">
        <v>252000</v>
      </c>
      <c r="D8" s="7">
        <v>245000</v>
      </c>
      <c r="E8" s="7">
        <v>648000</v>
      </c>
      <c r="F8" s="7">
        <v>1439000</v>
      </c>
    </row>
    <row r="9" spans="1:6" x14ac:dyDescent="0.35">
      <c r="A9" s="6" t="s">
        <v>32</v>
      </c>
      <c r="B9" s="7">
        <v>2178000</v>
      </c>
      <c r="C9" s="7">
        <v>1728000</v>
      </c>
      <c r="D9" s="7">
        <v>1619000</v>
      </c>
      <c r="E9" s="7">
        <v>1782000</v>
      </c>
      <c r="F9" s="7">
        <v>7307000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Data</vt:lpstr>
      <vt:lpstr>Bad_Dashboard</vt:lpstr>
      <vt:lpstr>Revision_Dashboard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Robert Bukit</cp:lastModifiedBy>
  <dcterms:created xsi:type="dcterms:W3CDTF">2026-02-11T19:48:26Z</dcterms:created>
  <dcterms:modified xsi:type="dcterms:W3CDTF">2026-03-13T16:21:10Z</dcterms:modified>
</cp:coreProperties>
</file>