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8_{7CCD0598-4ED0-4026-BC51-E9C0CCF72F57}" xr6:coauthVersionLast="47" xr6:coauthVersionMax="47" xr10:uidLastSave="{00000000-0000-0000-0000-000000000000}"/>
  <bookViews>
    <workbookView xWindow="-110" yWindow="-110" windowWidth="19420" windowHeight="11500" tabRatio="858" firstSheet="1" activeTab="6" xr2:uid="{00000000-000D-0000-FFFF-FFFF00000000}"/>
  </bookViews>
  <sheets>
    <sheet name="Fact_Daily" sheetId="1" r:id="rId1"/>
    <sheet name="State_Sales" sheetId="2" r:id="rId2"/>
    <sheet name="Sales_Orders" sheetId="3" r:id="rId3"/>
    <sheet name="Campaign_Spend" sheetId="4" r:id="rId4"/>
    <sheet name="Web_Traffic" sheetId="5" r:id="rId5"/>
    <sheet name="Dashboard" sheetId="6" r:id="rId6"/>
    <sheet name="Revision Dashboard" sheetId="7" r:id="rId7"/>
    <sheet name="table_visualization_analysis" sheetId="9" r:id="rId8"/>
  </sheets>
  <definedNames>
    <definedName name="tabel3">Table3[#All]</definedName>
  </definedNames>
  <calcPr calcId="191029"/>
  <pivotCaches>
    <pivotCache cacheId="7" r:id="rId9"/>
    <pivotCache cacheId="123" r:id="rId10"/>
    <pivotCache cacheId="124" r:id="rId11"/>
    <pivotCache cacheId="136" r:id="rId12"/>
  </pivotCaches>
  <extLst>
    <ext xmlns:x15="http://schemas.microsoft.com/office/spreadsheetml/2010/11/main" uri="{FCE2AD5D-F65C-4FA6-A056-5C36A1767C68}">
      <x15:dataModel>
        <x15:modelTables>
          <x15:modelTable id="States_Sales_e2da2ced-217c-49f9-9acd-0d8b82c24f09" name="States_Sales" connection="Query - States_Sales"/>
          <x15:modelTable id="Sales_Orders_f2ba71b9-b289-4f07-9e89-9166a79a08a3" name="Sales_Orders" connection="Query - Sales_Orders"/>
          <x15:modelTable id="Campaign_Spend_b26ff541-5e13-47be-aafd-27ee73aa63b2" name="Campaign_Spend" connection="Query - Campaign_Spend"/>
          <x15:modelTable id="Web_Traffic_e19e59c4-3dd9-4723-9734-b9ff0a821c76" name="Web_Traffic" connection="Query - Web_Traffic"/>
        </x15:modelTables>
        <x15:modelRelationships>
          <x15:modelRelationship fromTable="Sales_Orders" fromColumn="State" toTable="States_Sales" toColumn="State"/>
          <x15:modelRelationship fromTable="Campaign_Spend" fromColumn="Spend_Date" toTable="Web_Traffic" toColumn="Visit_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Web_Traffic" columnName="Visit_Date" columnId="Visit_Date">
                <x16:calculatedTimeColumn columnName="Visit_Date (Month Index)" columnId="Visit_Date (Month Index)" contentType="monthsindex" isSelected="1"/>
                <x16:calculatedTimeColumn columnName="Visit_Date (Month)" columnId="Visit_Date (Month)" contentType="months" isSelected="1"/>
              </x16:modelTimeGrouping>
              <x16:modelTimeGrouping tableName="Campaign_Spend" columnName="Spend_Date" columnId="Spend_Date">
                <x16:calculatedTimeColumn columnName="Spend_Date (Month Index)" columnId="Spend_Date (Month Index)" contentType="monthsindex" isSelected="1"/>
                <x16:calculatedTimeColumn columnName="Spend_Date (Month)" columnId="Spend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6" l="1"/>
  <c r="B16" i="6"/>
  <c r="B15" i="6"/>
  <c r="B18" i="6" s="1"/>
  <c r="B1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158D3E-C234-4BE6-BE3B-EAC26F8DE60A}" name="Query - Campaign_Spend" description="Connection to the 'Campaign_Spend' query in the workbook." type="100" refreshedVersion="8" minRefreshableVersion="5">
    <extLst>
      <ext xmlns:x15="http://schemas.microsoft.com/office/spreadsheetml/2010/11/main" uri="{DE250136-89BD-433C-8126-D09CA5730AF9}">
        <x15:connection id="811b0dda-6959-4b99-a25e-2ce58d54c5ab"/>
      </ext>
    </extLst>
  </connection>
  <connection id="2" xr16:uid="{BE89C782-C5C4-4242-B427-5A9204689B72}" name="Query - Sales_Orders" description="Connection to the 'Sales_Orders' query in the workbook." type="100" refreshedVersion="8" minRefreshableVersion="5">
    <extLst>
      <ext xmlns:x15="http://schemas.microsoft.com/office/spreadsheetml/2010/11/main" uri="{DE250136-89BD-433C-8126-D09CA5730AF9}">
        <x15:connection id="d070119a-4eb1-421e-a075-7aaf9242c549"/>
      </ext>
    </extLst>
  </connection>
  <connection id="3" xr16:uid="{33ABBAF5-9C97-4918-9013-361C7AC481B7}" name="Query - States_Sales" description="Connection to the 'States_Sales' query in the workbook." type="100" refreshedVersion="8" minRefreshableVersion="5">
    <extLst>
      <ext xmlns:x15="http://schemas.microsoft.com/office/spreadsheetml/2010/11/main" uri="{DE250136-89BD-433C-8126-D09CA5730AF9}">
        <x15:connection id="33d5cf8a-c766-47eb-8b9d-ed79fca7e137"/>
      </ext>
    </extLst>
  </connection>
  <connection id="4" xr16:uid="{661F1AB7-D860-4387-866F-DEB8C45E3BDA}" name="Query - Web_Traffic" description="Connection to the 'Web_Traffic' query in the workbook." type="100" refreshedVersion="8" minRefreshableVersion="5">
    <extLst>
      <ext xmlns:x15="http://schemas.microsoft.com/office/spreadsheetml/2010/11/main" uri="{DE250136-89BD-433C-8126-D09CA5730AF9}">
        <x15:connection id="2dbfb9a7-9df8-4d7b-b524-86ee3f32cabc"/>
      </ext>
    </extLst>
  </connection>
  <connection id="5" xr16:uid="{F97F514F-14D2-43E7-A64E-4902C899D91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<sst xmlns="http://schemas.openxmlformats.org/spreadsheetml/2006/main" count="5468" uniqueCount="1421">
  <si>
    <t>Date</t>
  </si>
  <si>
    <t>Year</t>
  </si>
  <si>
    <t>Quarter</t>
  </si>
  <si>
    <t>Month</t>
  </si>
  <si>
    <t>Month_Number</t>
  </si>
  <si>
    <t>Total_Sales</t>
  </si>
  <si>
    <t>Sessions</t>
  </si>
  <si>
    <t>Page_Views</t>
  </si>
  <si>
    <t>Conversion_Rate</t>
  </si>
  <si>
    <t>Ad_Spend</t>
  </si>
  <si>
    <t>Impressions</t>
  </si>
  <si>
    <t>Clicks</t>
  </si>
  <si>
    <t>Q1</t>
  </si>
  <si>
    <t>Jan</t>
  </si>
  <si>
    <t>Feb</t>
  </si>
  <si>
    <t>Mar</t>
  </si>
  <si>
    <t>Q2</t>
  </si>
  <si>
    <t>Apr</t>
  </si>
  <si>
    <t>May</t>
  </si>
  <si>
    <t>Jun</t>
  </si>
  <si>
    <t>Q3</t>
  </si>
  <si>
    <t>Jul</t>
  </si>
  <si>
    <t>Aug</t>
  </si>
  <si>
    <t>Sep</t>
  </si>
  <si>
    <t>Q4</t>
  </si>
  <si>
    <t>Oct</t>
  </si>
  <si>
    <t>Nov</t>
  </si>
  <si>
    <t>Dec</t>
  </si>
  <si>
    <t>State</t>
  </si>
  <si>
    <t>Alabama</t>
  </si>
  <si>
    <t>Arizona</t>
  </si>
  <si>
    <t>California</t>
  </si>
  <si>
    <t>Colorado</t>
  </si>
  <si>
    <t>Connecticut</t>
  </si>
  <si>
    <t>Florida</t>
  </si>
  <si>
    <t>Georgia</t>
  </si>
  <si>
    <t>Illinois</t>
  </si>
  <si>
    <t>Indiana</t>
  </si>
  <si>
    <t>Kansas</t>
  </si>
  <si>
    <t>Louisiana</t>
  </si>
  <si>
    <t>Maine</t>
  </si>
  <si>
    <t>Massachusetts</t>
  </si>
  <si>
    <t>Michigan</t>
  </si>
  <si>
    <t>Minnesota</t>
  </si>
  <si>
    <t>Nevada</t>
  </si>
  <si>
    <t>New Hampshire</t>
  </si>
  <si>
    <t>New York</t>
  </si>
  <si>
    <t>Ohio</t>
  </si>
  <si>
    <t>Oregon</t>
  </si>
  <si>
    <t>South Carolina</t>
  </si>
  <si>
    <t>Texas</t>
  </si>
  <si>
    <t>Utah</t>
  </si>
  <si>
    <t>Vermont</t>
  </si>
  <si>
    <t>Washington</t>
  </si>
  <si>
    <t>Wisconsin</t>
  </si>
  <si>
    <t>Order_ID</t>
  </si>
  <si>
    <t>Customer_ID</t>
  </si>
  <si>
    <t>Order_Date</t>
  </si>
  <si>
    <t>Sale_Amount</t>
  </si>
  <si>
    <t>Region</t>
  </si>
  <si>
    <t>O00001</t>
  </si>
  <si>
    <t>C033</t>
  </si>
  <si>
    <t>Midwest</t>
  </si>
  <si>
    <t>O00002</t>
  </si>
  <si>
    <t>C020</t>
  </si>
  <si>
    <t>West</t>
  </si>
  <si>
    <t>O00003</t>
  </si>
  <si>
    <t>C147</t>
  </si>
  <si>
    <t>North</t>
  </si>
  <si>
    <t>O00004</t>
  </si>
  <si>
    <t>C006</t>
  </si>
  <si>
    <t>South</t>
  </si>
  <si>
    <t>O00005</t>
  </si>
  <si>
    <t>O00006</t>
  </si>
  <si>
    <t>C265</t>
  </si>
  <si>
    <t>O00007</t>
  </si>
  <si>
    <t>C185</t>
  </si>
  <si>
    <t>O00008</t>
  </si>
  <si>
    <t>C045</t>
  </si>
  <si>
    <t>O00009</t>
  </si>
  <si>
    <t>C203</t>
  </si>
  <si>
    <t>O00010</t>
  </si>
  <si>
    <t>C036</t>
  </si>
  <si>
    <t>O00011</t>
  </si>
  <si>
    <t>C299</t>
  </si>
  <si>
    <t>O00012</t>
  </si>
  <si>
    <t>C116</t>
  </si>
  <si>
    <t>O00013</t>
  </si>
  <si>
    <t>C003</t>
  </si>
  <si>
    <t>O00014</t>
  </si>
  <si>
    <t>C287</t>
  </si>
  <si>
    <t>O00015</t>
  </si>
  <si>
    <t>C263</t>
  </si>
  <si>
    <t>O00016</t>
  </si>
  <si>
    <t>C129</t>
  </si>
  <si>
    <t>O00017</t>
  </si>
  <si>
    <t>C174</t>
  </si>
  <si>
    <t>O00018</t>
  </si>
  <si>
    <t>C015</t>
  </si>
  <si>
    <t>O00019</t>
  </si>
  <si>
    <t>C325</t>
  </si>
  <si>
    <t>O00020</t>
  </si>
  <si>
    <t>C212</t>
  </si>
  <si>
    <t>O00021</t>
  </si>
  <si>
    <t>C135</t>
  </si>
  <si>
    <t>O00022</t>
  </si>
  <si>
    <t>C176</t>
  </si>
  <si>
    <t>O00023</t>
  </si>
  <si>
    <t>C161</t>
  </si>
  <si>
    <t>O00024</t>
  </si>
  <si>
    <t>C094</t>
  </si>
  <si>
    <t>O00025</t>
  </si>
  <si>
    <t>C124</t>
  </si>
  <si>
    <t>O00026</t>
  </si>
  <si>
    <t>C317</t>
  </si>
  <si>
    <t>O00027</t>
  </si>
  <si>
    <t>C041</t>
  </si>
  <si>
    <t>O00028</t>
  </si>
  <si>
    <t>C022</t>
  </si>
  <si>
    <t>O00029</t>
  </si>
  <si>
    <t>C295</t>
  </si>
  <si>
    <t>O00030</t>
  </si>
  <si>
    <t>C144</t>
  </si>
  <si>
    <t>O00031</t>
  </si>
  <si>
    <t>C028</t>
  </si>
  <si>
    <t>O00032</t>
  </si>
  <si>
    <t>C258</t>
  </si>
  <si>
    <t>O00033</t>
  </si>
  <si>
    <t>C235</t>
  </si>
  <si>
    <t>O00034</t>
  </si>
  <si>
    <t>C005</t>
  </si>
  <si>
    <t>O00035</t>
  </si>
  <si>
    <t>C052</t>
  </si>
  <si>
    <t>O00036</t>
  </si>
  <si>
    <t>C096</t>
  </si>
  <si>
    <t>O00037</t>
  </si>
  <si>
    <t>O00038</t>
  </si>
  <si>
    <t>C215</t>
  </si>
  <si>
    <t>O00039</t>
  </si>
  <si>
    <t>C231</t>
  </si>
  <si>
    <t>O00040</t>
  </si>
  <si>
    <t>C118</t>
  </si>
  <si>
    <t>O00041</t>
  </si>
  <si>
    <t>C285</t>
  </si>
  <si>
    <t>O00042</t>
  </si>
  <si>
    <t>C077</t>
  </si>
  <si>
    <t>O00043</t>
  </si>
  <si>
    <t>C256</t>
  </si>
  <si>
    <t>O00044</t>
  </si>
  <si>
    <t>C250</t>
  </si>
  <si>
    <t>O00045</t>
  </si>
  <si>
    <t>C025</t>
  </si>
  <si>
    <t>O00046</t>
  </si>
  <si>
    <t>C111</t>
  </si>
  <si>
    <t>O00047</t>
  </si>
  <si>
    <t>O00048</t>
  </si>
  <si>
    <t>C286</t>
  </si>
  <si>
    <t>O00049</t>
  </si>
  <si>
    <t>C180</t>
  </si>
  <si>
    <t>O00050</t>
  </si>
  <si>
    <t>C276</t>
  </si>
  <si>
    <t>O00051</t>
  </si>
  <si>
    <t>C262</t>
  </si>
  <si>
    <t>O00052</t>
  </si>
  <si>
    <t>C196</t>
  </si>
  <si>
    <t>O00053</t>
  </si>
  <si>
    <t>C086</t>
  </si>
  <si>
    <t>O00054</t>
  </si>
  <si>
    <t>C208</t>
  </si>
  <si>
    <t>O00055</t>
  </si>
  <si>
    <t>O00056</t>
  </si>
  <si>
    <t>C310</t>
  </si>
  <si>
    <t>O00057</t>
  </si>
  <si>
    <t>C301</t>
  </si>
  <si>
    <t>O00058</t>
  </si>
  <si>
    <t>C065</t>
  </si>
  <si>
    <t>O00059</t>
  </si>
  <si>
    <t>O00060</t>
  </si>
  <si>
    <t>O00061</t>
  </si>
  <si>
    <t>C269</t>
  </si>
  <si>
    <t>O00062</t>
  </si>
  <si>
    <t>C044</t>
  </si>
  <si>
    <t>O00063</t>
  </si>
  <si>
    <t>C227</t>
  </si>
  <si>
    <t>O00064</t>
  </si>
  <si>
    <t>O00065</t>
  </si>
  <si>
    <t>C244</t>
  </si>
  <si>
    <t>O00066</t>
  </si>
  <si>
    <t>C281</t>
  </si>
  <si>
    <t>O00067</t>
  </si>
  <si>
    <t>C277</t>
  </si>
  <si>
    <t>O00068</t>
  </si>
  <si>
    <t>C326</t>
  </si>
  <si>
    <t>O00069</t>
  </si>
  <si>
    <t>C159</t>
  </si>
  <si>
    <t>O00070</t>
  </si>
  <si>
    <t>O00071</t>
  </si>
  <si>
    <t>C156</t>
  </si>
  <si>
    <t>O00072</t>
  </si>
  <si>
    <t>C177</t>
  </si>
  <si>
    <t>O00073</t>
  </si>
  <si>
    <t>C252</t>
  </si>
  <si>
    <t>O00074</t>
  </si>
  <si>
    <t>C150</t>
  </si>
  <si>
    <t>O00075</t>
  </si>
  <si>
    <t>C211</t>
  </si>
  <si>
    <t>O00076</t>
  </si>
  <si>
    <t>C200</t>
  </si>
  <si>
    <t>O00077</t>
  </si>
  <si>
    <t>C321</t>
  </si>
  <si>
    <t>O00078</t>
  </si>
  <si>
    <t>C140</t>
  </si>
  <si>
    <t>O00079</t>
  </si>
  <si>
    <t>O00080</t>
  </si>
  <si>
    <t>C057</t>
  </si>
  <si>
    <t>O00081</t>
  </si>
  <si>
    <t>C319</t>
  </si>
  <si>
    <t>O00082</t>
  </si>
  <si>
    <t>C026</t>
  </si>
  <si>
    <t>O00083</t>
  </si>
  <si>
    <t>C138</t>
  </si>
  <si>
    <t>O00084</t>
  </si>
  <si>
    <t>C120</t>
  </si>
  <si>
    <t>O00085</t>
  </si>
  <si>
    <t>O00086</t>
  </si>
  <si>
    <t>C191</t>
  </si>
  <si>
    <t>O00087</t>
  </si>
  <si>
    <t>C042</t>
  </si>
  <si>
    <t>O00088</t>
  </si>
  <si>
    <t>C037</t>
  </si>
  <si>
    <t>O00089</t>
  </si>
  <si>
    <t>O00090</t>
  </si>
  <si>
    <t>C198</t>
  </si>
  <si>
    <t>O00091</t>
  </si>
  <si>
    <t>C102</t>
  </si>
  <si>
    <t>O00092</t>
  </si>
  <si>
    <t>C341</t>
  </si>
  <si>
    <t>O00093</t>
  </si>
  <si>
    <t>C166</t>
  </si>
  <si>
    <t>O00094</t>
  </si>
  <si>
    <t>C267</t>
  </si>
  <si>
    <t>O00095</t>
  </si>
  <si>
    <t>O00096</t>
  </si>
  <si>
    <t>C058</t>
  </si>
  <si>
    <t>O00097</t>
  </si>
  <si>
    <t>O00098</t>
  </si>
  <si>
    <t>O00099</t>
  </si>
  <si>
    <t>C306</t>
  </si>
  <si>
    <t>O00100</t>
  </si>
  <si>
    <t>C081</t>
  </si>
  <si>
    <t>O00101</t>
  </si>
  <si>
    <t>O00102</t>
  </si>
  <si>
    <t>C275</t>
  </si>
  <si>
    <t>O00103</t>
  </si>
  <si>
    <t>O00104</t>
  </si>
  <si>
    <t>C011</t>
  </si>
  <si>
    <t>O00105</t>
  </si>
  <si>
    <t>C021</t>
  </si>
  <si>
    <t>O00106</t>
  </si>
  <si>
    <t>C278</t>
  </si>
  <si>
    <t>O00107</t>
  </si>
  <si>
    <t>C179</t>
  </si>
  <si>
    <t>O00108</t>
  </si>
  <si>
    <t>C284</t>
  </si>
  <si>
    <t>O00109</t>
  </si>
  <si>
    <t>C152</t>
  </si>
  <si>
    <t>O00110</t>
  </si>
  <si>
    <t>C327</t>
  </si>
  <si>
    <t>O00111</t>
  </si>
  <si>
    <t>C318</t>
  </si>
  <si>
    <t>O00112</t>
  </si>
  <si>
    <t>O00113</t>
  </si>
  <si>
    <t>C283</t>
  </si>
  <si>
    <t>O00114</t>
  </si>
  <si>
    <t>C329</t>
  </si>
  <si>
    <t>O00115</t>
  </si>
  <si>
    <t>C035</t>
  </si>
  <si>
    <t>O00116</t>
  </si>
  <si>
    <t>C104</t>
  </si>
  <si>
    <t>O00117</t>
  </si>
  <si>
    <t>C293</t>
  </si>
  <si>
    <t>O00118</t>
  </si>
  <si>
    <t>C303</t>
  </si>
  <si>
    <t>O00119</t>
  </si>
  <si>
    <t>O00120</t>
  </si>
  <si>
    <t>C240</t>
  </si>
  <si>
    <t>O00121</t>
  </si>
  <si>
    <t>C189</t>
  </si>
  <si>
    <t>O00122</t>
  </si>
  <si>
    <t>O00123</t>
  </si>
  <si>
    <t>C050</t>
  </si>
  <si>
    <t>O00124</t>
  </si>
  <si>
    <t>C098</t>
  </si>
  <si>
    <t>O00125</t>
  </si>
  <si>
    <t>O00126</t>
  </si>
  <si>
    <t>C055</t>
  </si>
  <si>
    <t>O00127</t>
  </si>
  <si>
    <t>C219</t>
  </si>
  <si>
    <t>O00128</t>
  </si>
  <si>
    <t>C206</t>
  </si>
  <si>
    <t>O00129</t>
  </si>
  <si>
    <t>O00130</t>
  </si>
  <si>
    <t>O00131</t>
  </si>
  <si>
    <t>C312</t>
  </si>
  <si>
    <t>O00132</t>
  </si>
  <si>
    <t>C282</t>
  </si>
  <si>
    <t>O00133</t>
  </si>
  <si>
    <t>C204</t>
  </si>
  <si>
    <t>O00134</t>
  </si>
  <si>
    <t>O00135</t>
  </si>
  <si>
    <t>C004</t>
  </si>
  <si>
    <t>O00136</t>
  </si>
  <si>
    <t>C012</t>
  </si>
  <si>
    <t>O00137</t>
  </si>
  <si>
    <t>O00138</t>
  </si>
  <si>
    <t>C080</t>
  </si>
  <si>
    <t>O00139</t>
  </si>
  <si>
    <t>C128</t>
  </si>
  <si>
    <t>O00140</t>
  </si>
  <si>
    <t>O00141</t>
  </si>
  <si>
    <t>C167</t>
  </si>
  <si>
    <t>O00142</t>
  </si>
  <si>
    <t>C296</t>
  </si>
  <si>
    <t>O00143</t>
  </si>
  <si>
    <t>O00144</t>
  </si>
  <si>
    <t>O00145</t>
  </si>
  <si>
    <t>C117</t>
  </si>
  <si>
    <t>O00146</t>
  </si>
  <si>
    <t>O00147</t>
  </si>
  <si>
    <t>C290</t>
  </si>
  <si>
    <t>O00148</t>
  </si>
  <si>
    <t>C079</t>
  </si>
  <si>
    <t>O00149</t>
  </si>
  <si>
    <t>C229</t>
  </si>
  <si>
    <t>O00150</t>
  </si>
  <si>
    <t>C076</t>
  </si>
  <si>
    <t>O00151</t>
  </si>
  <si>
    <t>O00152</t>
  </si>
  <si>
    <t>C223</t>
  </si>
  <si>
    <t>O00153</t>
  </si>
  <si>
    <t>O00154</t>
  </si>
  <si>
    <t>C316</t>
  </si>
  <si>
    <t>O00155</t>
  </si>
  <si>
    <t>O00156</t>
  </si>
  <si>
    <t>C188</t>
  </si>
  <si>
    <t>O00157</t>
  </si>
  <si>
    <t>C336</t>
  </si>
  <si>
    <t>O00158</t>
  </si>
  <si>
    <t>O00159</t>
  </si>
  <si>
    <t>O00160</t>
  </si>
  <si>
    <t>O00161</t>
  </si>
  <si>
    <t>C148</t>
  </si>
  <si>
    <t>O00162</t>
  </si>
  <si>
    <t>C157</t>
  </si>
  <si>
    <t>O00163</t>
  </si>
  <si>
    <t>O00164</t>
  </si>
  <si>
    <t>O00165</t>
  </si>
  <si>
    <t>C343</t>
  </si>
  <si>
    <t>O00166</t>
  </si>
  <si>
    <t>C270</t>
  </si>
  <si>
    <t>O00167</t>
  </si>
  <si>
    <t>C103</t>
  </si>
  <si>
    <t>O00168</t>
  </si>
  <si>
    <t>O00169</t>
  </si>
  <si>
    <t>O00170</t>
  </si>
  <si>
    <t>O00171</t>
  </si>
  <si>
    <t>C051</t>
  </si>
  <si>
    <t>O00172</t>
  </si>
  <si>
    <t>C046</t>
  </si>
  <si>
    <t>O00173</t>
  </si>
  <si>
    <t>C288</t>
  </si>
  <si>
    <t>O00174</t>
  </si>
  <si>
    <t>O00175</t>
  </si>
  <si>
    <t>C010</t>
  </si>
  <si>
    <t>O00176</t>
  </si>
  <si>
    <t>C155</t>
  </si>
  <si>
    <t>O00177</t>
  </si>
  <si>
    <t>O00178</t>
  </si>
  <si>
    <t>O00179</t>
  </si>
  <si>
    <t>C337</t>
  </si>
  <si>
    <t>O00180</t>
  </si>
  <si>
    <t>C348</t>
  </si>
  <si>
    <t>O00181</t>
  </si>
  <si>
    <t>O00182</t>
  </si>
  <si>
    <t>C068</t>
  </si>
  <si>
    <t>O00183</t>
  </si>
  <si>
    <t>O00184</t>
  </si>
  <si>
    <t>C070</t>
  </si>
  <si>
    <t>O00185</t>
  </si>
  <si>
    <t>O00186</t>
  </si>
  <si>
    <t>C095</t>
  </si>
  <si>
    <t>O00187</t>
  </si>
  <si>
    <t>C164</t>
  </si>
  <si>
    <t>O00188</t>
  </si>
  <si>
    <t>C141</t>
  </si>
  <si>
    <t>O00189</t>
  </si>
  <si>
    <t>C014</t>
  </si>
  <si>
    <t>O00190</t>
  </si>
  <si>
    <t>O00191</t>
  </si>
  <si>
    <t>O00192</t>
  </si>
  <si>
    <t>C241</t>
  </si>
  <si>
    <t>O00193</t>
  </si>
  <si>
    <t>C243</t>
  </si>
  <si>
    <t>O00194</t>
  </si>
  <si>
    <t>C210</t>
  </si>
  <si>
    <t>O00195</t>
  </si>
  <si>
    <t>C344</t>
  </si>
  <si>
    <t>O00196</t>
  </si>
  <si>
    <t>O00197</t>
  </si>
  <si>
    <t>C127</t>
  </si>
  <si>
    <t>O00198</t>
  </si>
  <si>
    <t>C195</t>
  </si>
  <si>
    <t>O00199</t>
  </si>
  <si>
    <t>C305</t>
  </si>
  <si>
    <t>O00200</t>
  </si>
  <si>
    <t>O00201</t>
  </si>
  <si>
    <t>O00202</t>
  </si>
  <si>
    <t>O00203</t>
  </si>
  <si>
    <t>O00204</t>
  </si>
  <si>
    <t>O00205</t>
  </si>
  <si>
    <t>C047</t>
  </si>
  <si>
    <t>O00206</t>
  </si>
  <si>
    <t>C280</t>
  </si>
  <si>
    <t>O00207</t>
  </si>
  <si>
    <t>C013</t>
  </si>
  <si>
    <t>O00208</t>
  </si>
  <si>
    <t>O00209</t>
  </si>
  <si>
    <t>C333</t>
  </si>
  <si>
    <t>O00210</t>
  </si>
  <si>
    <t>C059</t>
  </si>
  <si>
    <t>O00211</t>
  </si>
  <si>
    <t>C197</t>
  </si>
  <si>
    <t>O00212</t>
  </si>
  <si>
    <t>C088</t>
  </si>
  <si>
    <t>O00213</t>
  </si>
  <si>
    <t>C084</t>
  </si>
  <si>
    <t>O00214</t>
  </si>
  <si>
    <t>O00215</t>
  </si>
  <si>
    <t>O00216</t>
  </si>
  <si>
    <t>C002</t>
  </si>
  <si>
    <t>O00217</t>
  </si>
  <si>
    <t>C279</t>
  </si>
  <si>
    <t>O00218</t>
  </si>
  <si>
    <t>C112</t>
  </si>
  <si>
    <t>O00219</t>
  </si>
  <si>
    <t>C308</t>
  </si>
  <si>
    <t>O00220</t>
  </si>
  <si>
    <t>O00221</t>
  </si>
  <si>
    <t>C335</t>
  </si>
  <si>
    <t>O00222</t>
  </si>
  <si>
    <t>C342</t>
  </si>
  <si>
    <t>O00223</t>
  </si>
  <si>
    <t>C056</t>
  </si>
  <si>
    <t>O00224</t>
  </si>
  <si>
    <t>C313</t>
  </si>
  <si>
    <t>O00225</t>
  </si>
  <si>
    <t>C019</t>
  </si>
  <si>
    <t>O00226</t>
  </si>
  <si>
    <t>O00227</t>
  </si>
  <si>
    <t>C242</t>
  </si>
  <si>
    <t>O00228</t>
  </si>
  <si>
    <t>C169</t>
  </si>
  <si>
    <t>O00229</t>
  </si>
  <si>
    <t>C314</t>
  </si>
  <si>
    <t>O00230</t>
  </si>
  <si>
    <t>C271</t>
  </si>
  <si>
    <t>O00231</t>
  </si>
  <si>
    <t>O00232</t>
  </si>
  <si>
    <t>O00233</t>
  </si>
  <si>
    <t>O00234</t>
  </si>
  <si>
    <t>O00235</t>
  </si>
  <si>
    <t>C239</t>
  </si>
  <si>
    <t>O00236</t>
  </si>
  <si>
    <t>C213</t>
  </si>
  <si>
    <t>O00237</t>
  </si>
  <si>
    <t>O00238</t>
  </si>
  <si>
    <t>C145</t>
  </si>
  <si>
    <t>O00239</t>
  </si>
  <si>
    <t>C260</t>
  </si>
  <si>
    <t>O00240</t>
  </si>
  <si>
    <t>C171</t>
  </si>
  <si>
    <t>O00241</t>
  </si>
  <si>
    <t>O00242</t>
  </si>
  <si>
    <t>C345</t>
  </si>
  <si>
    <t>O00243</t>
  </si>
  <si>
    <t>O00244</t>
  </si>
  <si>
    <t>C172</t>
  </si>
  <si>
    <t>O00245</t>
  </si>
  <si>
    <t>O00246</t>
  </si>
  <si>
    <t>O00247</t>
  </si>
  <si>
    <t>C182</t>
  </si>
  <si>
    <t>O00248</t>
  </si>
  <si>
    <t>O00249</t>
  </si>
  <si>
    <t>O00250</t>
  </si>
  <si>
    <t>C162</t>
  </si>
  <si>
    <t>O00251</t>
  </si>
  <si>
    <t>C122</t>
  </si>
  <si>
    <t>O00252</t>
  </si>
  <si>
    <t>O00253</t>
  </si>
  <si>
    <t>O00254</t>
  </si>
  <si>
    <t>C257</t>
  </si>
  <si>
    <t>O00255</t>
  </si>
  <si>
    <t>O00256</t>
  </si>
  <si>
    <t>O00257</t>
  </si>
  <si>
    <t>C199</t>
  </si>
  <si>
    <t>O00258</t>
  </si>
  <si>
    <t>O00259</t>
  </si>
  <si>
    <t>C053</t>
  </si>
  <si>
    <t>O00260</t>
  </si>
  <si>
    <t>C328</t>
  </si>
  <si>
    <t>O00261</t>
  </si>
  <si>
    <t>C142</t>
  </si>
  <si>
    <t>O00262</t>
  </si>
  <si>
    <t>O00263</t>
  </si>
  <si>
    <t>O00264</t>
  </si>
  <si>
    <t>O00265</t>
  </si>
  <si>
    <t>C294</t>
  </si>
  <si>
    <t>O00266</t>
  </si>
  <si>
    <t>O00267</t>
  </si>
  <si>
    <t>C346</t>
  </si>
  <si>
    <t>O00268</t>
  </si>
  <si>
    <t>O00269</t>
  </si>
  <si>
    <t>C323</t>
  </si>
  <si>
    <t>O00270</t>
  </si>
  <si>
    <t>O00271</t>
  </si>
  <si>
    <t>O00272</t>
  </si>
  <si>
    <t>O00273</t>
  </si>
  <si>
    <t>O00274</t>
  </si>
  <si>
    <t>O00275</t>
  </si>
  <si>
    <t>C233</t>
  </si>
  <si>
    <t>O00276</t>
  </si>
  <si>
    <t>O00277</t>
  </si>
  <si>
    <t>O00278</t>
  </si>
  <si>
    <t>O00279</t>
  </si>
  <si>
    <t>O00280</t>
  </si>
  <si>
    <t>C082</t>
  </si>
  <si>
    <t>O00281</t>
  </si>
  <si>
    <t>O00282</t>
  </si>
  <si>
    <t>O00283</t>
  </si>
  <si>
    <t>O00284</t>
  </si>
  <si>
    <t>O00285</t>
  </si>
  <si>
    <t>O00286</t>
  </si>
  <si>
    <t>C168</t>
  </si>
  <si>
    <t>O00287</t>
  </si>
  <si>
    <t>O00288</t>
  </si>
  <si>
    <t>C001</t>
  </si>
  <si>
    <t>O00289</t>
  </si>
  <si>
    <t>O00290</t>
  </si>
  <si>
    <t>C106</t>
  </si>
  <si>
    <t>O00291</t>
  </si>
  <si>
    <t>O00292</t>
  </si>
  <si>
    <t>O00293</t>
  </si>
  <si>
    <t>C066</t>
  </si>
  <si>
    <t>O00294</t>
  </si>
  <si>
    <t>O00295</t>
  </si>
  <si>
    <t>O00296</t>
  </si>
  <si>
    <t>O00297</t>
  </si>
  <si>
    <t>O00298</t>
  </si>
  <si>
    <t>C089</t>
  </si>
  <si>
    <t>O00299</t>
  </si>
  <si>
    <t>O00300</t>
  </si>
  <si>
    <t>O00301</t>
  </si>
  <si>
    <t>C074</t>
  </si>
  <si>
    <t>O00302</t>
  </si>
  <si>
    <t>O00303</t>
  </si>
  <si>
    <t>O00304</t>
  </si>
  <si>
    <t>C218</t>
  </si>
  <si>
    <t>O00305</t>
  </si>
  <si>
    <t>O00306</t>
  </si>
  <si>
    <t>O00307</t>
  </si>
  <si>
    <t>O00308</t>
  </si>
  <si>
    <t>O00309</t>
  </si>
  <si>
    <t>O00310</t>
  </si>
  <si>
    <t>O00311</t>
  </si>
  <si>
    <t>C126</t>
  </si>
  <si>
    <t>O00312</t>
  </si>
  <si>
    <t>C040</t>
  </si>
  <si>
    <t>O00313</t>
  </si>
  <si>
    <t>C274</t>
  </si>
  <si>
    <t>O00314</t>
  </si>
  <si>
    <t>O00315</t>
  </si>
  <si>
    <t>C149</t>
  </si>
  <si>
    <t>O00316</t>
  </si>
  <si>
    <t>O00317</t>
  </si>
  <si>
    <t>C087</t>
  </si>
  <si>
    <t>O00318</t>
  </si>
  <si>
    <t>O00319</t>
  </si>
  <si>
    <t>O00320</t>
  </si>
  <si>
    <t>O00321</t>
  </si>
  <si>
    <t>C090</t>
  </si>
  <si>
    <t>O00322</t>
  </si>
  <si>
    <t>C134</t>
  </si>
  <si>
    <t>O00323</t>
  </si>
  <si>
    <t>C017</t>
  </si>
  <si>
    <t>O00324</t>
  </si>
  <si>
    <t>O00325</t>
  </si>
  <si>
    <t>O00326</t>
  </si>
  <si>
    <t>O00327</t>
  </si>
  <si>
    <t>C027</t>
  </si>
  <si>
    <t>O00328</t>
  </si>
  <si>
    <t>O00329</t>
  </si>
  <si>
    <t>O00330</t>
  </si>
  <si>
    <t>C007</t>
  </si>
  <si>
    <t>O00331</t>
  </si>
  <si>
    <t>O00332</t>
  </si>
  <si>
    <t>O00333</t>
  </si>
  <si>
    <t>O00334</t>
  </si>
  <si>
    <t>O00335</t>
  </si>
  <si>
    <t>O00336</t>
  </si>
  <si>
    <t>C093</t>
  </si>
  <si>
    <t>O00337</t>
  </si>
  <si>
    <t>O00338</t>
  </si>
  <si>
    <t>O00339</t>
  </si>
  <si>
    <t>C099</t>
  </si>
  <si>
    <t>O00340</t>
  </si>
  <si>
    <t>O00341</t>
  </si>
  <si>
    <t>C062</t>
  </si>
  <si>
    <t>O00342</t>
  </si>
  <si>
    <t>C332</t>
  </si>
  <si>
    <t>O00343</t>
  </si>
  <si>
    <t>C151</t>
  </si>
  <si>
    <t>O00344</t>
  </si>
  <si>
    <t>O00345</t>
  </si>
  <si>
    <t>O00346</t>
  </si>
  <si>
    <t>C032</t>
  </si>
  <si>
    <t>O00347</t>
  </si>
  <si>
    <t>C133</t>
  </si>
  <si>
    <t>O00348</t>
  </si>
  <si>
    <t>O00349</t>
  </si>
  <si>
    <t>O00350</t>
  </si>
  <si>
    <t>O00351</t>
  </si>
  <si>
    <t>O00352</t>
  </si>
  <si>
    <t>O00353</t>
  </si>
  <si>
    <t>C078</t>
  </si>
  <si>
    <t>O00354</t>
  </si>
  <si>
    <t>O00355</t>
  </si>
  <si>
    <t>O00356</t>
  </si>
  <si>
    <t>C247</t>
  </si>
  <si>
    <t>O00357</t>
  </si>
  <si>
    <t>O00358</t>
  </si>
  <si>
    <t>O00359</t>
  </si>
  <si>
    <t>O00360</t>
  </si>
  <si>
    <t>O00361</t>
  </si>
  <si>
    <t>C339</t>
  </si>
  <si>
    <t>O00362</t>
  </si>
  <si>
    <t>O00363</t>
  </si>
  <si>
    <t>C225</t>
  </si>
  <si>
    <t>O00364</t>
  </si>
  <si>
    <t>C304</t>
  </si>
  <si>
    <t>O00365</t>
  </si>
  <si>
    <t>C330</t>
  </si>
  <si>
    <t>O00366</t>
  </si>
  <si>
    <t>C009</t>
  </si>
  <si>
    <t>O00367</t>
  </si>
  <si>
    <t>O00368</t>
  </si>
  <si>
    <t>C268</t>
  </si>
  <si>
    <t>O00369</t>
  </si>
  <si>
    <t>O00370</t>
  </si>
  <si>
    <t>C251</t>
  </si>
  <si>
    <t>O00371</t>
  </si>
  <si>
    <t>C024</t>
  </si>
  <si>
    <t>O00372</t>
  </si>
  <si>
    <t>O00373</t>
  </si>
  <si>
    <t>C234</t>
  </si>
  <si>
    <t>O00374</t>
  </si>
  <si>
    <t>O00375</t>
  </si>
  <si>
    <t>O00376</t>
  </si>
  <si>
    <t>O00377</t>
  </si>
  <si>
    <t>O00378</t>
  </si>
  <si>
    <t>O00379</t>
  </si>
  <si>
    <t>C073</t>
  </si>
  <si>
    <t>O00380</t>
  </si>
  <si>
    <t>C085</t>
  </si>
  <si>
    <t>O00381</t>
  </si>
  <si>
    <t>C069</t>
  </si>
  <si>
    <t>O00382</t>
  </si>
  <si>
    <t>O00383</t>
  </si>
  <si>
    <t>O00384</t>
  </si>
  <si>
    <t>O00385</t>
  </si>
  <si>
    <t>O00386</t>
  </si>
  <si>
    <t>O00387</t>
  </si>
  <si>
    <t>C322</t>
  </si>
  <si>
    <t>O00388</t>
  </si>
  <si>
    <t>C121</t>
  </si>
  <si>
    <t>O00389</t>
  </si>
  <si>
    <t>O00390</t>
  </si>
  <si>
    <t>O00391</t>
  </si>
  <si>
    <t>C107</t>
  </si>
  <si>
    <t>O00392</t>
  </si>
  <si>
    <t>O00393</t>
  </si>
  <si>
    <t>O00394</t>
  </si>
  <si>
    <t>O00395</t>
  </si>
  <si>
    <t>O00396</t>
  </si>
  <si>
    <t>C264</t>
  </si>
  <si>
    <t>O00397</t>
  </si>
  <si>
    <t>O00398</t>
  </si>
  <si>
    <t>O00399</t>
  </si>
  <si>
    <t>O00400</t>
  </si>
  <si>
    <t>C038</t>
  </si>
  <si>
    <t>O00401</t>
  </si>
  <si>
    <t>C075</t>
  </si>
  <si>
    <t>O00402</t>
  </si>
  <si>
    <t>C192</t>
  </si>
  <si>
    <t>O00403</t>
  </si>
  <si>
    <t>C184</t>
  </si>
  <si>
    <t>O00404</t>
  </si>
  <si>
    <t>C292</t>
  </si>
  <si>
    <t>O00405</t>
  </si>
  <si>
    <t>O00406</t>
  </si>
  <si>
    <t>O00407</t>
  </si>
  <si>
    <t>O00408</t>
  </si>
  <si>
    <t>O00409</t>
  </si>
  <si>
    <t>C143</t>
  </si>
  <si>
    <t>O00410</t>
  </si>
  <si>
    <t>O00411</t>
  </si>
  <si>
    <t>O00412</t>
  </si>
  <si>
    <t>O00413</t>
  </si>
  <si>
    <t>O00414</t>
  </si>
  <si>
    <t>O00415</t>
  </si>
  <si>
    <t>C123</t>
  </si>
  <si>
    <t>O00416</t>
  </si>
  <si>
    <t>C083</t>
  </si>
  <si>
    <t>O00417</t>
  </si>
  <si>
    <t>O00418</t>
  </si>
  <si>
    <t>O00419</t>
  </si>
  <si>
    <t>O00420</t>
  </si>
  <si>
    <t>O00421</t>
  </si>
  <si>
    <t>O00422</t>
  </si>
  <si>
    <t>C029</t>
  </si>
  <si>
    <t>O00423</t>
  </si>
  <si>
    <t>O00424</t>
  </si>
  <si>
    <t>O00425</t>
  </si>
  <si>
    <t>C071</t>
  </si>
  <si>
    <t>O00426</t>
  </si>
  <si>
    <t>C245</t>
  </si>
  <si>
    <t>O00427</t>
  </si>
  <si>
    <t>C181</t>
  </si>
  <si>
    <t>O00428</t>
  </si>
  <si>
    <t>O00429</t>
  </si>
  <si>
    <t>O00430</t>
  </si>
  <si>
    <t>C273</t>
  </si>
  <si>
    <t>O00431</t>
  </si>
  <si>
    <t>C034</t>
  </si>
  <si>
    <t>O00432</t>
  </si>
  <si>
    <t>C092</t>
  </si>
  <si>
    <t>O00433</t>
  </si>
  <si>
    <t>O00434</t>
  </si>
  <si>
    <t>O00435</t>
  </si>
  <si>
    <t>O00436</t>
  </si>
  <si>
    <t>C331</t>
  </si>
  <si>
    <t>O00437</t>
  </si>
  <si>
    <t>C119</t>
  </si>
  <si>
    <t>O00438</t>
  </si>
  <si>
    <t>O00439</t>
  </si>
  <si>
    <t>C272</t>
  </si>
  <si>
    <t>O00440</t>
  </si>
  <si>
    <t>O00441</t>
  </si>
  <si>
    <t>O00442</t>
  </si>
  <si>
    <t>O00443</t>
  </si>
  <si>
    <t>O00444</t>
  </si>
  <si>
    <t>C163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</si>
  <si>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</si>
  <si>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</si>
  <si>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</si>
  <si>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</si>
  <si>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</si>
  <si>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</si>
  <si>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</si>
  <si>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</si>
  <si>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C072</t>
  </si>
  <si>
    <t>O00453</t>
  </si>
  <si>
    <t>C113</t>
  </si>
  <si>
    <t>O00454</t>
  </si>
  <si>
    <t>O00455</t>
  </si>
  <si>
    <t>C101</t>
  </si>
  <si>
    <t>O00456</t>
  </si>
  <si>
    <t>C347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</si>
  <si>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</si>
  <si>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</si>
  <si>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</si>
  <si>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</si>
  <si>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</si>
  <si>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</si>
  <si>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</si>
  <si>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</si>
  <si>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</si>
  <si>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</si>
  <si>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</si>
  <si>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</si>
  <si>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</si>
  <si>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</si>
  <si>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</si>
  <si>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</si>
  <si>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C214</t>
  </si>
  <si>
    <t>O00473</t>
  </si>
  <si>
    <t>O00474</t>
  </si>
  <si>
    <t>O00475</t>
  </si>
  <si>
    <t>O00476</t>
  </si>
  <si>
    <t>O00477</t>
  </si>
  <si>
    <t>O00478</t>
  </si>
  <si>
    <t>C183</t>
  </si>
  <si>
    <t>O00479</t>
  </si>
  <si>
    <t>O00480</t>
  </si>
  <si>
    <t>O00481</t>
  </si>
  <si>
    <t>O00482</t>
  </si>
  <si>
    <t>O00483</t>
  </si>
  <si>
    <t>C139</t>
  </si>
  <si>
    <t>O00484</t>
  </si>
  <si>
    <t>O00485</t>
  </si>
  <si>
    <t>C249</t>
  </si>
  <si>
    <t>O00486</t>
  </si>
  <si>
    <t>O00487</t>
  </si>
  <si>
    <t>O00488</t>
  </si>
  <si>
    <t>C060</t>
  </si>
  <si>
    <t>O00489</t>
  </si>
  <si>
    <t>C186</t>
  </si>
  <si>
    <t>O00490</t>
  </si>
  <si>
    <t>O00491</t>
  </si>
  <si>
    <t>C061</t>
  </si>
  <si>
    <t>O00492</t>
  </si>
  <si>
    <t>O00493</t>
  </si>
  <si>
    <t>O00494</t>
  </si>
  <si>
    <t>C221</t>
  </si>
  <si>
    <t>O00495</t>
  </si>
  <si>
    <t>O00496</t>
  </si>
  <si>
    <t>C023</t>
  </si>
  <si>
    <t>O00497</t>
  </si>
  <si>
    <t>C064</t>
  </si>
  <si>
    <t>O00498</t>
  </si>
  <si>
    <t>O00499</t>
  </si>
  <si>
    <t>C297</t>
  </si>
  <si>
    <t>O00500</t>
  </si>
  <si>
    <t>O00501</t>
  </si>
  <si>
    <t>O00502</t>
  </si>
  <si>
    <t>O00503</t>
  </si>
  <si>
    <t>C110</t>
  </si>
  <si>
    <t>O00504</t>
  </si>
  <si>
    <t>C226</t>
  </si>
  <si>
    <t>O00505</t>
  </si>
  <si>
    <t>O00506</t>
  </si>
  <si>
    <t>O00507</t>
  </si>
  <si>
    <t>C254</t>
  </si>
  <si>
    <t>O00508</t>
  </si>
  <si>
    <t>C043</t>
  </si>
  <si>
    <t>O00509</t>
  </si>
  <si>
    <t>O00510</t>
  </si>
  <si>
    <t>O00511</t>
  </si>
  <si>
    <t>C097</t>
  </si>
  <si>
    <t>O00512</t>
  </si>
  <si>
    <t>O00513</t>
  </si>
  <si>
    <t>O00514</t>
  </si>
  <si>
    <t>O00515</t>
  </si>
  <si>
    <t>O00516</t>
  </si>
  <si>
    <t>O00517</t>
  </si>
  <si>
    <t>C063</t>
  </si>
  <si>
    <t>O00518</t>
  </si>
  <si>
    <t>C298</t>
  </si>
  <si>
    <t>O00519</t>
  </si>
  <si>
    <t>C205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</si>
  <si>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</si>
  <si>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</si>
  <si>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</si>
  <si>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</si>
  <si>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</si>
  <si>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</si>
  <si>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</si>
  <si>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</si>
  <si>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</si>
  <si>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</si>
  <si>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C236</t>
  </si>
  <si>
    <t>O00530</t>
  </si>
  <si>
    <t>O00531</t>
  </si>
  <si>
    <t>O00532</t>
  </si>
  <si>
    <t>O00533</t>
  </si>
  <si>
    <t>O00534</t>
  </si>
  <si>
    <t>C194</t>
  </si>
  <si>
    <t>O00535</t>
  </si>
  <si>
    <t>O00536</t>
  </si>
  <si>
    <t>O00537</t>
  </si>
  <si>
    <t>C220</t>
  </si>
  <si>
    <t>O00538</t>
  </si>
  <si>
    <t>O00539</t>
  </si>
  <si>
    <t>O00540</t>
  </si>
  <si>
    <t>O00541</t>
  </si>
  <si>
    <t>O00542</t>
  </si>
  <si>
    <t>O00543</t>
  </si>
  <si>
    <t>C302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</si>
  <si>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</si>
  <si>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</si>
  <si>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</si>
  <si>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</si>
  <si>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</si>
  <si>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</si>
  <si>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</si>
  <si>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</si>
  <si>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C291</t>
  </si>
  <si>
    <t>O00552</t>
  </si>
  <si>
    <t>C334</t>
  </si>
  <si>
    <t>O00553</t>
  </si>
  <si>
    <t>C340</t>
  </si>
  <si>
    <t>O00554</t>
  </si>
  <si>
    <t>C320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</si>
  <si>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</si>
  <si>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</si>
  <si>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</si>
  <si>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</si>
  <si>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</si>
  <si>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</si>
  <si>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</si>
  <si>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</si>
  <si>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</si>
  <si>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</si>
  <si>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C217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</si>
  <si>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</si>
  <si>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</si>
  <si>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</si>
  <si>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</si>
  <si>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</si>
  <si>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</si>
  <si>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</si>
  <si>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</si>
  <si>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</si>
  <si>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</si>
  <si>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</si>
  <si>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</si>
  <si>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</si>
  <si>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</si>
  <si>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C311</t>
  </si>
  <si>
    <t>O00579</t>
  </si>
  <si>
    <t>O00580</t>
  </si>
  <si>
    <t>O00581</t>
  </si>
  <si>
    <t>O00582</t>
  </si>
  <si>
    <t>C131</t>
  </si>
  <si>
    <t>O00583</t>
  </si>
  <si>
    <t>C153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</si>
  <si>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</si>
  <si>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</si>
  <si>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</si>
  <si>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</si>
  <si>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</si>
  <si>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</si>
  <si>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</si>
  <si>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</si>
  <si>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</si>
  <si>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</si>
  <si>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C232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</si>
  <si>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</si>
  <si>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</si>
  <si>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</si>
  <si>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</si>
  <si>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</si>
  <si>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</si>
  <si>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</si>
  <si>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</si>
  <si>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</si>
  <si>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</si>
  <si>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C067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</si>
  <si>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</si>
  <si>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</si>
  <si>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</si>
  <si>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</si>
  <si>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</si>
  <si>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</si>
  <si>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</si>
  <si>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</si>
  <si>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</si>
  <si>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</si>
  <si>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</si>
  <si>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</si>
  <si>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</si>
  <si>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</si>
  <si>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</si>
  <si>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</si>
  <si>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</si>
  <si>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</si>
  <si>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</si>
  <si>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</si>
  <si>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</si>
  <si>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</si>
  <si>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</si>
  <si>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</si>
  <si>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</si>
  <si>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C289</t>
  </si>
  <si>
    <t>O00629</t>
  </si>
  <si>
    <t>O00630</t>
  </si>
  <si>
    <t>O00631</t>
  </si>
  <si>
    <t>C349</t>
  </si>
  <si>
    <t>O00632</t>
  </si>
  <si>
    <t>O00633</t>
  </si>
  <si>
    <t>C338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</si>
  <si>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</si>
  <si>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</si>
  <si>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</si>
  <si>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</si>
  <si>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</si>
  <si>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</si>
  <si>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</si>
  <si>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</si>
  <si>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</si>
  <si>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</si>
  <si>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</si>
  <si>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</si>
  <si>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</si>
  <si>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</si>
  <si>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</si>
  <si>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</si>
  <si>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</si>
  <si>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C154</t>
  </si>
  <si>
    <t>O00651</t>
  </si>
  <si>
    <t>O00652</t>
  </si>
  <si>
    <t>O00653</t>
  </si>
  <si>
    <t>C130</t>
  </si>
  <si>
    <t>O00654</t>
  </si>
  <si>
    <t>O00655</t>
  </si>
  <si>
    <t>O00656</t>
  </si>
  <si>
    <t>O00657</t>
  </si>
  <si>
    <t>O00658</t>
  </si>
  <si>
    <t>C109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</si>
  <si>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</si>
  <si>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</si>
  <si>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</si>
  <si>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</si>
  <si>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</si>
  <si>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</si>
  <si>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</si>
  <si>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</si>
  <si>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</si>
  <si>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</si>
  <si>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</si>
  <si>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C228</t>
  </si>
  <si>
    <t>O00670</t>
  </si>
  <si>
    <t>C300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</si>
  <si>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</si>
  <si>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</si>
  <si>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</si>
  <si>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</si>
  <si>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</si>
  <si>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</si>
  <si>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</si>
  <si>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</si>
  <si>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</si>
  <si>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</si>
  <si>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</si>
  <si>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</si>
  <si>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</si>
  <si>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</si>
  <si>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</si>
  <si>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</si>
  <si>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</si>
  <si>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</si>
  <si>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</si>
  <si>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</si>
  <si>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</si>
  <si>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</si>
  <si>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</si>
  <si>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</si>
  <si>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</si>
  <si>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</si>
  <si>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</si>
  <si>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</si>
  <si>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</si>
  <si>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</si>
  <si>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</si>
  <si>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</si>
  <si>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C216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</si>
  <si>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</si>
  <si>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</si>
  <si>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</si>
  <si>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</si>
  <si>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</si>
  <si>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</si>
  <si>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</si>
  <si>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</si>
  <si>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</si>
  <si>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C207</t>
  </si>
  <si>
    <t>O00712</t>
  </si>
  <si>
    <t>O00713</t>
  </si>
  <si>
    <t>O00714</t>
  </si>
  <si>
    <t>O00715</t>
  </si>
  <si>
    <t>O00716</t>
  </si>
  <si>
    <t>C160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</si>
  <si>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</si>
  <si>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</si>
  <si>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</si>
  <si>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</si>
  <si>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</si>
  <si>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</si>
  <si>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</si>
  <si>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</si>
  <si>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C054</t>
  </si>
  <si>
    <t>O00725</t>
  </si>
  <si>
    <t>O00726</t>
  </si>
  <si>
    <t>O00727</t>
  </si>
  <si>
    <t>O00728</t>
  </si>
  <si>
    <t>O00729</t>
  </si>
  <si>
    <t>C136</t>
  </si>
  <si>
    <t>O00730</t>
  </si>
  <si>
    <t>O00731</t>
  </si>
  <si>
    <t>O00732</t>
  </si>
  <si>
    <t>O00733</t>
  </si>
  <si>
    <t>O00734</t>
  </si>
  <si>
    <t>C309</t>
  </si>
  <si>
    <t>O00735</t>
  </si>
  <si>
    <t>O00736</t>
  </si>
  <si>
    <t>O00737</t>
  </si>
  <si>
    <t>O00738</t>
  </si>
  <si>
    <t>C146</t>
  </si>
  <si>
    <t>O00739</t>
  </si>
  <si>
    <t>O00740</t>
  </si>
  <si>
    <t>O00741</t>
  </si>
  <si>
    <t>C173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</si>
  <si>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</si>
  <si>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</si>
  <si>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</si>
  <si>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</si>
  <si>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</si>
  <si>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</si>
  <si>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</si>
  <si>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</si>
  <si>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</si>
  <si>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</si>
  <si>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</si>
  <si>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</si>
  <si>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C165</t>
  </si>
  <si>
    <t>O00754</t>
  </si>
  <si>
    <t>C175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</si>
  <si>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</si>
  <si>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</si>
  <si>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</si>
  <si>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</si>
  <si>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</si>
  <si>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</si>
  <si>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</si>
  <si>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</si>
  <si>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</si>
  <si>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</si>
  <si>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C209</t>
  </si>
  <si>
    <t>O00765</t>
  </si>
  <si>
    <t>O00766</t>
  </si>
  <si>
    <t>O00767</t>
  </si>
  <si>
    <t>O00768</t>
  </si>
  <si>
    <t>O00769</t>
  </si>
  <si>
    <t>O00770</t>
  </si>
  <si>
    <t>C238</t>
  </si>
  <si>
    <t>O00771</t>
  </si>
  <si>
    <t>C031</t>
  </si>
  <si>
    <t>O00772</t>
  </si>
  <si>
    <t>O00773</t>
  </si>
  <si>
    <t>O00774</t>
  </si>
  <si>
    <t>O00775</t>
  </si>
  <si>
    <t>O00776</t>
  </si>
  <si>
    <t>C222</t>
  </si>
  <si>
    <t>O00777</t>
  </si>
  <si>
    <t>C350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</si>
  <si>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</si>
  <si>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</si>
  <si>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</si>
  <si>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</si>
  <si>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</si>
  <si>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</si>
  <si>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</si>
  <si>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</si>
  <si>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</si>
  <si>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</si>
  <si>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</si>
  <si>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</si>
  <si>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</si>
  <si>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C253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</si>
  <si>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</si>
  <si>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</si>
  <si>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</si>
  <si>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</si>
  <si>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</si>
  <si>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</si>
  <si>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</si>
  <si>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</si>
  <si>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</si>
  <si>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</si>
  <si>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</si>
  <si>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</si>
  <si>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</si>
  <si>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</si>
  <si>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</si>
  <si>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</si>
  <si>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C246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</si>
  <si>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</si>
  <si>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</si>
  <si>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</si>
  <si>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</si>
  <si>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</si>
  <si>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</si>
  <si>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</si>
  <si>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</si>
  <si>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</si>
  <si>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</si>
  <si>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</si>
  <si>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</si>
  <si>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</si>
  <si>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</si>
  <si>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</si>
  <si>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C132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</si>
  <si>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</si>
  <si>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</si>
  <si>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</si>
  <si>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</si>
  <si>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</si>
  <si>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</si>
  <si>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</si>
  <si>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</si>
  <si>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</si>
  <si>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</si>
  <si>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</si>
  <si>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</si>
  <si>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</si>
  <si>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</si>
  <si>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C170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</si>
  <si>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</si>
  <si>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</si>
  <si>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</si>
  <si>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</si>
  <si>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</si>
  <si>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</si>
  <si>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</si>
  <si>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</si>
  <si>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</si>
  <si>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</si>
  <si>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</si>
  <si>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</si>
  <si>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</si>
  <si>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</si>
  <si>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</si>
  <si>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</si>
  <si>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</si>
  <si>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C261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</si>
  <si>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</si>
  <si>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</si>
  <si>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</si>
  <si>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</si>
  <si>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</si>
  <si>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</si>
  <si>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</si>
  <si>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</si>
  <si>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</si>
  <si>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C255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</si>
  <si>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</si>
  <si>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</si>
  <si>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</si>
  <si>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</si>
  <si>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</si>
  <si>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</si>
  <si>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</si>
  <si>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</si>
  <si>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C178</t>
  </si>
  <si>
    <t>O00870</t>
  </si>
  <si>
    <t>O00871</t>
  </si>
  <si>
    <t>O00872</t>
  </si>
  <si>
    <t>O00873</t>
  </si>
  <si>
    <t>O00874</t>
  </si>
  <si>
    <t>O00875</t>
  </si>
  <si>
    <t>C108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</si>
  <si>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</si>
  <si>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</si>
  <si>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</si>
  <si>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</si>
  <si>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</si>
  <si>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</si>
  <si>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</si>
  <si>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</si>
  <si>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</si>
  <si>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</si>
  <si>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</si>
  <si>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</si>
  <si>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</si>
  <si>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</si>
  <si>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C201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</si>
  <si>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</si>
  <si>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</si>
  <si>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</si>
  <si>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</si>
  <si>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</si>
  <si>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</si>
  <si>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</si>
  <si>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</si>
  <si>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</si>
  <si>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</si>
  <si>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</si>
  <si>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</si>
  <si>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C049</t>
  </si>
  <si>
    <t>O00902</t>
  </si>
  <si>
    <t>O00903</t>
  </si>
  <si>
    <t>O00904</t>
  </si>
  <si>
    <t>O00905</t>
  </si>
  <si>
    <t>O00906</t>
  </si>
  <si>
    <t>O00907</t>
  </si>
  <si>
    <t>O00908</t>
  </si>
  <si>
    <t>C100</t>
  </si>
  <si>
    <t>O00909</t>
  </si>
  <si>
    <t>O00910</t>
  </si>
  <si>
    <t>C237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</si>
  <si>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</si>
  <si>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</si>
  <si>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</si>
  <si>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</si>
  <si>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</si>
  <si>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</si>
  <si>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</si>
  <si>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</si>
  <si>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</si>
  <si>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</si>
  <si>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</si>
  <si>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</si>
  <si>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</si>
  <si>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</si>
  <si>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</si>
  <si>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</si>
  <si>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</si>
  <si>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</si>
  <si>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</si>
  <si>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</si>
  <si>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</si>
  <si>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</si>
  <si>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</si>
  <si>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</si>
  <si>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</si>
  <si>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</si>
  <si>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</si>
  <si>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</si>
  <si>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</si>
  <si>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</si>
  <si>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</si>
  <si>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</si>
  <si>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</si>
  <si>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</si>
  <si>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</si>
  <si>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</si>
  <si>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</si>
  <si>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</si>
  <si>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</si>
  <si>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</si>
  <si>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</si>
  <si>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</si>
  <si>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</si>
  <si>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</si>
  <si>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</si>
  <si>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</si>
  <si>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</si>
  <si>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</si>
  <si>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</si>
  <si>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</si>
  <si>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</si>
  <si>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</si>
  <si>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</si>
  <si>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C030</t>
  </si>
  <si>
    <t>O00964</t>
  </si>
  <si>
    <t>O00965</t>
  </si>
  <si>
    <t>O00966</t>
  </si>
  <si>
    <t>O00967</t>
  </si>
  <si>
    <t>O00968</t>
  </si>
  <si>
    <t>O00969</t>
  </si>
  <si>
    <t>C266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</si>
  <si>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</si>
  <si>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</si>
  <si>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</si>
  <si>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</si>
  <si>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</si>
  <si>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</si>
  <si>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</si>
  <si>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</si>
  <si>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</si>
  <si>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</si>
  <si>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</si>
  <si>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</si>
  <si>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</si>
  <si>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C016</t>
  </si>
  <si>
    <t>O00983</t>
  </si>
  <si>
    <t>O00984</t>
  </si>
  <si>
    <t>O00985</t>
  </si>
  <si>
    <t>C193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</si>
  <si>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</si>
  <si>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</si>
  <si>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</si>
  <si>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</si>
  <si>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</si>
  <si>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</si>
  <si>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</si>
  <si>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</si>
  <si>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</si>
  <si>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</si>
  <si>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</si>
  <si>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</si>
  <si>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</si>
  <si>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</si>
  <si>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</si>
  <si>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Spend_Date</t>
  </si>
  <si>
    <t>Channel</t>
  </si>
  <si>
    <t>Search</t>
  </si>
  <si>
    <t>Display</t>
  </si>
  <si>
    <t>Email</t>
  </si>
  <si>
    <t>Social</t>
  </si>
  <si>
    <t>Visit_Date</t>
  </si>
  <si>
    <t>Interactive Multi-Source Dashboard (Student Starter)</t>
  </si>
  <si>
    <t>Tip: Use the filter dropdowns on Fact_Daily (or add Slicers) to change the time window. Charts update when rows are filtered.</t>
  </si>
  <si>
    <t>KPI Cards (Calculated from Fact_Daily)</t>
  </si>
  <si>
    <t>State Sales (for Map Chart)</t>
  </si>
  <si>
    <t>Create a Filled Map from the State_Sales sheet.</t>
  </si>
  <si>
    <t>Total Sales</t>
  </si>
  <si>
    <t>Total Ad Spend</t>
  </si>
  <si>
    <t>Total Page Views</t>
  </si>
  <si>
    <t>Average Conversion Rate</t>
  </si>
  <si>
    <t>ROI (Sales / Spend)</t>
  </si>
  <si>
    <t xml:space="preserve">                                                         Interactive Multi-Source Dashboard</t>
  </si>
  <si>
    <t>Fact_Daily</t>
  </si>
  <si>
    <t>Row Labels</t>
  </si>
  <si>
    <t>Grand Total</t>
  </si>
  <si>
    <t>Sum of Total_Sales</t>
  </si>
  <si>
    <t>Sum of Page_Views</t>
  </si>
  <si>
    <t>Sum of Sale_Amount</t>
  </si>
  <si>
    <t>Web Traffic</t>
  </si>
  <si>
    <t>Sum of Ad_Spend</t>
  </si>
  <si>
    <t>Campaign Spend</t>
  </si>
  <si>
    <t>Sales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</si>
</sst>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5" x14ac:knownFonts="1">
    <font>
      <sz val="11"/>
      <color theme="1"/>
      <name val="Calibri"/>
      <family val="2"/>
      <scheme val="minor"/>
    </font>
    <font>
      <i/>
      <sz val="10"/>
      <name val="Calibri"/>
    </font>
    <font>
      <b/>
      <sz val="16"/>
      <color rgb="FFFFFFFF"/>
      <name val="Calibri"/>
    </font>
    <font>
      <b/>
      <sz val="11"/>
      <name val="Calibri"/>
    </font>
    <font>
      <sz val="16"/>
      <color theme="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0" fontId="3" fillId="0" borderId="0" xfId="0" applyFont="1"/>
    <xf numFmtId="165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4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D"/>
              <a:t>Total Sales Over Time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Fact_Daily!$F$1</c:f>
              <c:strCache>
                <c:ptCount val="1"/>
                <c:pt idx="0">
                  <c:v>Total_Sales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Fact_Daily!$A$2:$A$366</c:f>
              <c:numCache>
                <c:formatCode>yyyy\-mm\-dd</c:formatCode>
                <c:ptCount val="36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</c:numCache>
            </c:numRef>
          </c:cat>
          <c:val>
            <c:numRef>
              <c:f>Fact_Daily!$F$2:$F$366</c:f>
              <c:numCache>
                <c:formatCode>General</c:formatCode>
                <c:ptCount val="365"/>
                <c:pt idx="0">
                  <c:v>1184.6199999999999</c:v>
                </c:pt>
                <c:pt idx="1">
                  <c:v>622.96</c:v>
                </c:pt>
                <c:pt idx="2">
                  <c:v>1271.98</c:v>
                </c:pt>
                <c:pt idx="3">
                  <c:v>957.31</c:v>
                </c:pt>
                <c:pt idx="4">
                  <c:v>811.09</c:v>
                </c:pt>
                <c:pt idx="5">
                  <c:v>1518.82</c:v>
                </c:pt>
                <c:pt idx="6">
                  <c:v>986.86</c:v>
                </c:pt>
                <c:pt idx="7">
                  <c:v>1226.95</c:v>
                </c:pt>
                <c:pt idx="8">
                  <c:v>876.81</c:v>
                </c:pt>
                <c:pt idx="9">
                  <c:v>867.73</c:v>
                </c:pt>
                <c:pt idx="10">
                  <c:v>724.81</c:v>
                </c:pt>
                <c:pt idx="11">
                  <c:v>1417.67</c:v>
                </c:pt>
                <c:pt idx="12">
                  <c:v>1140.27</c:v>
                </c:pt>
                <c:pt idx="13">
                  <c:v>0</c:v>
                </c:pt>
                <c:pt idx="14">
                  <c:v>1745.88</c:v>
                </c:pt>
                <c:pt idx="15">
                  <c:v>1285.8</c:v>
                </c:pt>
                <c:pt idx="16">
                  <c:v>3167.67</c:v>
                </c:pt>
                <c:pt idx="17">
                  <c:v>1189.21</c:v>
                </c:pt>
                <c:pt idx="18">
                  <c:v>105.73</c:v>
                </c:pt>
                <c:pt idx="19">
                  <c:v>860.96</c:v>
                </c:pt>
                <c:pt idx="20">
                  <c:v>3162.84</c:v>
                </c:pt>
                <c:pt idx="21">
                  <c:v>1154.3599999999999</c:v>
                </c:pt>
                <c:pt idx="22">
                  <c:v>2063.86</c:v>
                </c:pt>
                <c:pt idx="23">
                  <c:v>1574.13</c:v>
                </c:pt>
                <c:pt idx="24">
                  <c:v>0</c:v>
                </c:pt>
                <c:pt idx="25">
                  <c:v>414.01</c:v>
                </c:pt>
                <c:pt idx="26">
                  <c:v>1309.82</c:v>
                </c:pt>
                <c:pt idx="27">
                  <c:v>699.13</c:v>
                </c:pt>
                <c:pt idx="28">
                  <c:v>1611.25</c:v>
                </c:pt>
                <c:pt idx="29">
                  <c:v>1609.29</c:v>
                </c:pt>
                <c:pt idx="30">
                  <c:v>1678.49</c:v>
                </c:pt>
                <c:pt idx="31">
                  <c:v>582.6</c:v>
                </c:pt>
                <c:pt idx="32">
                  <c:v>306.08</c:v>
                </c:pt>
                <c:pt idx="33">
                  <c:v>561.12</c:v>
                </c:pt>
                <c:pt idx="34">
                  <c:v>546.79</c:v>
                </c:pt>
                <c:pt idx="35">
                  <c:v>1094.83</c:v>
                </c:pt>
                <c:pt idx="36">
                  <c:v>309.22000000000003</c:v>
                </c:pt>
                <c:pt idx="37">
                  <c:v>0</c:v>
                </c:pt>
                <c:pt idx="38">
                  <c:v>198.07</c:v>
                </c:pt>
                <c:pt idx="39">
                  <c:v>1593.91</c:v>
                </c:pt>
                <c:pt idx="40">
                  <c:v>2340.77</c:v>
                </c:pt>
                <c:pt idx="41">
                  <c:v>479.98</c:v>
                </c:pt>
                <c:pt idx="42">
                  <c:v>668.36</c:v>
                </c:pt>
                <c:pt idx="43">
                  <c:v>1485.35</c:v>
                </c:pt>
                <c:pt idx="44">
                  <c:v>609.95000000000005</c:v>
                </c:pt>
                <c:pt idx="45">
                  <c:v>2258.44</c:v>
                </c:pt>
                <c:pt idx="46">
                  <c:v>1102.1600000000001</c:v>
                </c:pt>
                <c:pt idx="47">
                  <c:v>1442.59</c:v>
                </c:pt>
                <c:pt idx="48">
                  <c:v>571.19000000000005</c:v>
                </c:pt>
                <c:pt idx="49">
                  <c:v>2234.9299999999998</c:v>
                </c:pt>
                <c:pt idx="50">
                  <c:v>2551.69</c:v>
                </c:pt>
                <c:pt idx="51">
                  <c:v>1896.08</c:v>
                </c:pt>
                <c:pt idx="52">
                  <c:v>1244.3</c:v>
                </c:pt>
                <c:pt idx="53">
                  <c:v>921.04</c:v>
                </c:pt>
                <c:pt idx="54">
                  <c:v>2188.87</c:v>
                </c:pt>
                <c:pt idx="55">
                  <c:v>1000.04</c:v>
                </c:pt>
                <c:pt idx="56">
                  <c:v>1325.81</c:v>
                </c:pt>
                <c:pt idx="57">
                  <c:v>831.07</c:v>
                </c:pt>
                <c:pt idx="58">
                  <c:v>1415.73</c:v>
                </c:pt>
                <c:pt idx="59">
                  <c:v>980.48</c:v>
                </c:pt>
                <c:pt idx="60">
                  <c:v>2116.96</c:v>
                </c:pt>
                <c:pt idx="61">
                  <c:v>1049.74</c:v>
                </c:pt>
                <c:pt idx="62">
                  <c:v>897.25</c:v>
                </c:pt>
                <c:pt idx="63">
                  <c:v>802.74</c:v>
                </c:pt>
                <c:pt idx="64">
                  <c:v>195.91</c:v>
                </c:pt>
                <c:pt idx="65">
                  <c:v>1463.21</c:v>
                </c:pt>
                <c:pt idx="66">
                  <c:v>818.73</c:v>
                </c:pt>
                <c:pt idx="67">
                  <c:v>680.99</c:v>
                </c:pt>
                <c:pt idx="68">
                  <c:v>877.78</c:v>
                </c:pt>
                <c:pt idx="69">
                  <c:v>2363.16</c:v>
                </c:pt>
                <c:pt idx="70">
                  <c:v>721.62</c:v>
                </c:pt>
                <c:pt idx="71">
                  <c:v>434.33</c:v>
                </c:pt>
                <c:pt idx="72">
                  <c:v>1212.68</c:v>
                </c:pt>
                <c:pt idx="73">
                  <c:v>918.99</c:v>
                </c:pt>
                <c:pt idx="74">
                  <c:v>1352.26</c:v>
                </c:pt>
                <c:pt idx="75">
                  <c:v>1463.77</c:v>
                </c:pt>
                <c:pt idx="76">
                  <c:v>1825.04</c:v>
                </c:pt>
                <c:pt idx="77">
                  <c:v>632.98</c:v>
                </c:pt>
                <c:pt idx="78">
                  <c:v>1405.53</c:v>
                </c:pt>
                <c:pt idx="79">
                  <c:v>1324.69</c:v>
                </c:pt>
                <c:pt idx="80">
                  <c:v>1412.85</c:v>
                </c:pt>
                <c:pt idx="81">
                  <c:v>0</c:v>
                </c:pt>
                <c:pt idx="82">
                  <c:v>858.49</c:v>
                </c:pt>
                <c:pt idx="83">
                  <c:v>2025.71</c:v>
                </c:pt>
                <c:pt idx="84">
                  <c:v>401.04</c:v>
                </c:pt>
                <c:pt idx="85">
                  <c:v>0</c:v>
                </c:pt>
                <c:pt idx="86">
                  <c:v>968.93</c:v>
                </c:pt>
                <c:pt idx="87">
                  <c:v>1017.5</c:v>
                </c:pt>
                <c:pt idx="88">
                  <c:v>0</c:v>
                </c:pt>
                <c:pt idx="89">
                  <c:v>1331.09</c:v>
                </c:pt>
                <c:pt idx="90">
                  <c:v>562.52</c:v>
                </c:pt>
                <c:pt idx="91">
                  <c:v>2357.46</c:v>
                </c:pt>
                <c:pt idx="92">
                  <c:v>767.97</c:v>
                </c:pt>
                <c:pt idx="93">
                  <c:v>1247.82</c:v>
                </c:pt>
                <c:pt idx="94">
                  <c:v>1252.8499999999999</c:v>
                </c:pt>
                <c:pt idx="95">
                  <c:v>933.11</c:v>
                </c:pt>
                <c:pt idx="96">
                  <c:v>506.89</c:v>
                </c:pt>
                <c:pt idx="97">
                  <c:v>872.95</c:v>
                </c:pt>
                <c:pt idx="98">
                  <c:v>2576.12</c:v>
                </c:pt>
                <c:pt idx="99">
                  <c:v>647.22</c:v>
                </c:pt>
                <c:pt idx="100">
                  <c:v>385.72</c:v>
                </c:pt>
                <c:pt idx="101">
                  <c:v>1875.97</c:v>
                </c:pt>
                <c:pt idx="102">
                  <c:v>768.02</c:v>
                </c:pt>
                <c:pt idx="103">
                  <c:v>1139.27</c:v>
                </c:pt>
                <c:pt idx="104">
                  <c:v>2495.9699999999998</c:v>
                </c:pt>
                <c:pt idx="105">
                  <c:v>687.52</c:v>
                </c:pt>
                <c:pt idx="106">
                  <c:v>689.26</c:v>
                </c:pt>
                <c:pt idx="107">
                  <c:v>3928.41</c:v>
                </c:pt>
                <c:pt idx="108">
                  <c:v>0</c:v>
                </c:pt>
                <c:pt idx="109">
                  <c:v>73.88</c:v>
                </c:pt>
                <c:pt idx="110">
                  <c:v>401.76</c:v>
                </c:pt>
                <c:pt idx="111">
                  <c:v>1223.53</c:v>
                </c:pt>
                <c:pt idx="112">
                  <c:v>1307.04</c:v>
                </c:pt>
                <c:pt idx="113">
                  <c:v>936.47</c:v>
                </c:pt>
                <c:pt idx="114">
                  <c:v>0</c:v>
                </c:pt>
                <c:pt idx="115">
                  <c:v>423.03</c:v>
                </c:pt>
                <c:pt idx="116">
                  <c:v>214.18</c:v>
                </c:pt>
                <c:pt idx="117">
                  <c:v>474.68</c:v>
                </c:pt>
                <c:pt idx="118">
                  <c:v>457.74</c:v>
                </c:pt>
                <c:pt idx="119">
                  <c:v>255.72</c:v>
                </c:pt>
                <c:pt idx="120">
                  <c:v>1170.7</c:v>
                </c:pt>
                <c:pt idx="121">
                  <c:v>1223.43</c:v>
                </c:pt>
                <c:pt idx="122">
                  <c:v>1279.5</c:v>
                </c:pt>
                <c:pt idx="123">
                  <c:v>242.51</c:v>
                </c:pt>
                <c:pt idx="124">
                  <c:v>2286.6999999999998</c:v>
                </c:pt>
                <c:pt idx="125">
                  <c:v>1077.3699999999999</c:v>
                </c:pt>
                <c:pt idx="126">
                  <c:v>1197.3499999999999</c:v>
                </c:pt>
                <c:pt idx="127">
                  <c:v>1459.55</c:v>
                </c:pt>
                <c:pt idx="128">
                  <c:v>1958.11</c:v>
                </c:pt>
                <c:pt idx="129">
                  <c:v>1056.32</c:v>
                </c:pt>
                <c:pt idx="130">
                  <c:v>2075.67</c:v>
                </c:pt>
                <c:pt idx="131">
                  <c:v>313.97000000000003</c:v>
                </c:pt>
                <c:pt idx="132">
                  <c:v>1313.6</c:v>
                </c:pt>
                <c:pt idx="133">
                  <c:v>523.79</c:v>
                </c:pt>
                <c:pt idx="134">
                  <c:v>376.02</c:v>
                </c:pt>
                <c:pt idx="135">
                  <c:v>1097.33</c:v>
                </c:pt>
                <c:pt idx="136">
                  <c:v>1342.66</c:v>
                </c:pt>
                <c:pt idx="137">
                  <c:v>2127.4299999999998</c:v>
                </c:pt>
                <c:pt idx="138">
                  <c:v>84.79</c:v>
                </c:pt>
                <c:pt idx="139">
                  <c:v>1808.46</c:v>
                </c:pt>
                <c:pt idx="140">
                  <c:v>673.13</c:v>
                </c:pt>
                <c:pt idx="141">
                  <c:v>1221.22</c:v>
                </c:pt>
                <c:pt idx="142">
                  <c:v>2845.19</c:v>
                </c:pt>
                <c:pt idx="143">
                  <c:v>2107.0100000000002</c:v>
                </c:pt>
                <c:pt idx="144">
                  <c:v>1449.47</c:v>
                </c:pt>
                <c:pt idx="145">
                  <c:v>2992.03</c:v>
                </c:pt>
                <c:pt idx="146">
                  <c:v>763.71</c:v>
                </c:pt>
                <c:pt idx="147">
                  <c:v>592.67999999999995</c:v>
                </c:pt>
                <c:pt idx="148">
                  <c:v>313.45</c:v>
                </c:pt>
                <c:pt idx="149">
                  <c:v>1032.54</c:v>
                </c:pt>
                <c:pt idx="150">
                  <c:v>1968.24</c:v>
                </c:pt>
                <c:pt idx="151">
                  <c:v>645.38</c:v>
                </c:pt>
                <c:pt idx="152">
                  <c:v>1188.1500000000001</c:v>
                </c:pt>
                <c:pt idx="153">
                  <c:v>1813.04</c:v>
                </c:pt>
                <c:pt idx="154">
                  <c:v>2145.4299999999998</c:v>
                </c:pt>
                <c:pt idx="155">
                  <c:v>366.68</c:v>
                </c:pt>
                <c:pt idx="156">
                  <c:v>2236.41</c:v>
                </c:pt>
                <c:pt idx="157">
                  <c:v>289.52999999999997</c:v>
                </c:pt>
                <c:pt idx="158">
                  <c:v>932.24</c:v>
                </c:pt>
                <c:pt idx="159">
                  <c:v>1696.71</c:v>
                </c:pt>
                <c:pt idx="160">
                  <c:v>1002.96</c:v>
                </c:pt>
                <c:pt idx="161">
                  <c:v>2836.78</c:v>
                </c:pt>
                <c:pt idx="162">
                  <c:v>779.19</c:v>
                </c:pt>
                <c:pt idx="163">
                  <c:v>680.76</c:v>
                </c:pt>
                <c:pt idx="164">
                  <c:v>1705.47</c:v>
                </c:pt>
                <c:pt idx="165">
                  <c:v>1078.6199999999999</c:v>
                </c:pt>
                <c:pt idx="166">
                  <c:v>2146.17</c:v>
                </c:pt>
                <c:pt idx="167">
                  <c:v>0</c:v>
                </c:pt>
                <c:pt idx="168">
                  <c:v>2218.9899999999998</c:v>
                </c:pt>
                <c:pt idx="169">
                  <c:v>566.97</c:v>
                </c:pt>
                <c:pt idx="170">
                  <c:v>1094.8399999999999</c:v>
                </c:pt>
                <c:pt idx="171">
                  <c:v>710.34</c:v>
                </c:pt>
                <c:pt idx="172">
                  <c:v>1065.01</c:v>
                </c:pt>
                <c:pt idx="173">
                  <c:v>778.95</c:v>
                </c:pt>
                <c:pt idx="174">
                  <c:v>1120.73</c:v>
                </c:pt>
                <c:pt idx="175">
                  <c:v>1445.01</c:v>
                </c:pt>
                <c:pt idx="176">
                  <c:v>1900.11</c:v>
                </c:pt>
                <c:pt idx="177">
                  <c:v>0</c:v>
                </c:pt>
                <c:pt idx="178">
                  <c:v>441.97</c:v>
                </c:pt>
                <c:pt idx="179">
                  <c:v>124.68</c:v>
                </c:pt>
                <c:pt idx="180">
                  <c:v>799.61</c:v>
                </c:pt>
                <c:pt idx="181">
                  <c:v>487.82</c:v>
                </c:pt>
                <c:pt idx="182">
                  <c:v>260.76</c:v>
                </c:pt>
                <c:pt idx="183">
                  <c:v>1020.85</c:v>
                </c:pt>
                <c:pt idx="184">
                  <c:v>957.78</c:v>
                </c:pt>
                <c:pt idx="185">
                  <c:v>1055.21</c:v>
                </c:pt>
                <c:pt idx="186">
                  <c:v>0</c:v>
                </c:pt>
                <c:pt idx="187">
                  <c:v>505.23</c:v>
                </c:pt>
                <c:pt idx="188">
                  <c:v>1479.22</c:v>
                </c:pt>
                <c:pt idx="189">
                  <c:v>635.91999999999996</c:v>
                </c:pt>
                <c:pt idx="190">
                  <c:v>1133.69</c:v>
                </c:pt>
                <c:pt idx="191">
                  <c:v>320.55</c:v>
                </c:pt>
                <c:pt idx="192">
                  <c:v>1554.48</c:v>
                </c:pt>
                <c:pt idx="193">
                  <c:v>1858.13</c:v>
                </c:pt>
                <c:pt idx="194">
                  <c:v>1232.33</c:v>
                </c:pt>
                <c:pt idx="195">
                  <c:v>1237.3800000000001</c:v>
                </c:pt>
                <c:pt idx="196">
                  <c:v>1510.93</c:v>
                </c:pt>
                <c:pt idx="197">
                  <c:v>669.76</c:v>
                </c:pt>
                <c:pt idx="198">
                  <c:v>881.9</c:v>
                </c:pt>
                <c:pt idx="199">
                  <c:v>948.65</c:v>
                </c:pt>
                <c:pt idx="200">
                  <c:v>1515.84</c:v>
                </c:pt>
                <c:pt idx="201">
                  <c:v>1481.13</c:v>
                </c:pt>
                <c:pt idx="202">
                  <c:v>1102.08</c:v>
                </c:pt>
                <c:pt idx="203">
                  <c:v>196.41</c:v>
                </c:pt>
                <c:pt idx="204">
                  <c:v>442.26</c:v>
                </c:pt>
                <c:pt idx="205">
                  <c:v>693.7</c:v>
                </c:pt>
                <c:pt idx="206">
                  <c:v>1322.18</c:v>
                </c:pt>
                <c:pt idx="207">
                  <c:v>1648.57</c:v>
                </c:pt>
                <c:pt idx="208">
                  <c:v>353.75</c:v>
                </c:pt>
                <c:pt idx="209">
                  <c:v>94.2</c:v>
                </c:pt>
                <c:pt idx="210">
                  <c:v>410.73</c:v>
                </c:pt>
                <c:pt idx="211">
                  <c:v>629.01</c:v>
                </c:pt>
                <c:pt idx="212">
                  <c:v>2162.02</c:v>
                </c:pt>
                <c:pt idx="213">
                  <c:v>1264.18</c:v>
                </c:pt>
                <c:pt idx="214">
                  <c:v>1395.5</c:v>
                </c:pt>
                <c:pt idx="215">
                  <c:v>352.96</c:v>
                </c:pt>
                <c:pt idx="216">
                  <c:v>831.04</c:v>
                </c:pt>
                <c:pt idx="217">
                  <c:v>1132.07</c:v>
                </c:pt>
                <c:pt idx="218">
                  <c:v>1355.99</c:v>
                </c:pt>
                <c:pt idx="219">
                  <c:v>1714.61</c:v>
                </c:pt>
                <c:pt idx="220">
                  <c:v>1515.11</c:v>
                </c:pt>
                <c:pt idx="221">
                  <c:v>1503.44</c:v>
                </c:pt>
                <c:pt idx="222">
                  <c:v>576.70000000000005</c:v>
                </c:pt>
                <c:pt idx="223">
                  <c:v>1542.18</c:v>
                </c:pt>
                <c:pt idx="224">
                  <c:v>1357.95</c:v>
                </c:pt>
                <c:pt idx="225">
                  <c:v>266.02</c:v>
                </c:pt>
                <c:pt idx="226">
                  <c:v>1502.87</c:v>
                </c:pt>
                <c:pt idx="227">
                  <c:v>2122.5300000000002</c:v>
                </c:pt>
                <c:pt idx="228">
                  <c:v>2031.15</c:v>
                </c:pt>
                <c:pt idx="229">
                  <c:v>56.32</c:v>
                </c:pt>
                <c:pt idx="230">
                  <c:v>1968.22</c:v>
                </c:pt>
                <c:pt idx="231">
                  <c:v>1062.1099999999999</c:v>
                </c:pt>
                <c:pt idx="232">
                  <c:v>448.96</c:v>
                </c:pt>
                <c:pt idx="233">
                  <c:v>1287.5999999999999</c:v>
                </c:pt>
                <c:pt idx="234">
                  <c:v>1460.96</c:v>
                </c:pt>
                <c:pt idx="235">
                  <c:v>226.25</c:v>
                </c:pt>
                <c:pt idx="236">
                  <c:v>792.35</c:v>
                </c:pt>
                <c:pt idx="237">
                  <c:v>600.39</c:v>
                </c:pt>
                <c:pt idx="238">
                  <c:v>502.61</c:v>
                </c:pt>
                <c:pt idx="239">
                  <c:v>620.86</c:v>
                </c:pt>
                <c:pt idx="240">
                  <c:v>904.72</c:v>
                </c:pt>
                <c:pt idx="241">
                  <c:v>270.91000000000003</c:v>
                </c:pt>
                <c:pt idx="242">
                  <c:v>1978.55</c:v>
                </c:pt>
                <c:pt idx="243">
                  <c:v>2234.0500000000002</c:v>
                </c:pt>
                <c:pt idx="244">
                  <c:v>951.65</c:v>
                </c:pt>
                <c:pt idx="245">
                  <c:v>249.68</c:v>
                </c:pt>
                <c:pt idx="246">
                  <c:v>1369.75</c:v>
                </c:pt>
                <c:pt idx="247">
                  <c:v>581.79</c:v>
                </c:pt>
                <c:pt idx="248">
                  <c:v>1657.34</c:v>
                </c:pt>
                <c:pt idx="249">
                  <c:v>667.02</c:v>
                </c:pt>
                <c:pt idx="250">
                  <c:v>1138.6300000000001</c:v>
                </c:pt>
                <c:pt idx="251">
                  <c:v>2429.27</c:v>
                </c:pt>
                <c:pt idx="252">
                  <c:v>1396.3</c:v>
                </c:pt>
                <c:pt idx="253">
                  <c:v>1097.8</c:v>
                </c:pt>
                <c:pt idx="254">
                  <c:v>1729.88</c:v>
                </c:pt>
                <c:pt idx="255">
                  <c:v>1365.67</c:v>
                </c:pt>
                <c:pt idx="256">
                  <c:v>1899.77</c:v>
                </c:pt>
                <c:pt idx="257">
                  <c:v>645.47</c:v>
                </c:pt>
                <c:pt idx="258">
                  <c:v>1094.42</c:v>
                </c:pt>
                <c:pt idx="259">
                  <c:v>405.3</c:v>
                </c:pt>
                <c:pt idx="260">
                  <c:v>584.57000000000005</c:v>
                </c:pt>
                <c:pt idx="261">
                  <c:v>1552.32</c:v>
                </c:pt>
                <c:pt idx="262">
                  <c:v>1364.94</c:v>
                </c:pt>
                <c:pt idx="263">
                  <c:v>349.42</c:v>
                </c:pt>
                <c:pt idx="264">
                  <c:v>456.74</c:v>
                </c:pt>
                <c:pt idx="265">
                  <c:v>1257.94</c:v>
                </c:pt>
                <c:pt idx="266">
                  <c:v>1448.53</c:v>
                </c:pt>
                <c:pt idx="267">
                  <c:v>987.35</c:v>
                </c:pt>
                <c:pt idx="268">
                  <c:v>1168.25</c:v>
                </c:pt>
                <c:pt idx="269">
                  <c:v>408.22</c:v>
                </c:pt>
                <c:pt idx="270">
                  <c:v>1429.52</c:v>
                </c:pt>
                <c:pt idx="271">
                  <c:v>959.23</c:v>
                </c:pt>
                <c:pt idx="272">
                  <c:v>1651.46</c:v>
                </c:pt>
                <c:pt idx="273">
                  <c:v>925.27</c:v>
                </c:pt>
                <c:pt idx="274">
                  <c:v>593.39</c:v>
                </c:pt>
                <c:pt idx="275">
                  <c:v>1887.19</c:v>
                </c:pt>
                <c:pt idx="276">
                  <c:v>1679.31</c:v>
                </c:pt>
                <c:pt idx="277">
                  <c:v>2220.38</c:v>
                </c:pt>
                <c:pt idx="278">
                  <c:v>1160.1099999999999</c:v>
                </c:pt>
                <c:pt idx="279">
                  <c:v>604.86</c:v>
                </c:pt>
                <c:pt idx="280">
                  <c:v>127.45</c:v>
                </c:pt>
                <c:pt idx="281">
                  <c:v>1457.78</c:v>
                </c:pt>
                <c:pt idx="282">
                  <c:v>1492.09</c:v>
                </c:pt>
                <c:pt idx="283">
                  <c:v>1437.44</c:v>
                </c:pt>
                <c:pt idx="284">
                  <c:v>305.85000000000002</c:v>
                </c:pt>
                <c:pt idx="285">
                  <c:v>1392.47</c:v>
                </c:pt>
                <c:pt idx="286">
                  <c:v>1950.75</c:v>
                </c:pt>
                <c:pt idx="287">
                  <c:v>764.24</c:v>
                </c:pt>
                <c:pt idx="288">
                  <c:v>0</c:v>
                </c:pt>
                <c:pt idx="289">
                  <c:v>377.76</c:v>
                </c:pt>
                <c:pt idx="290">
                  <c:v>1585.74</c:v>
                </c:pt>
                <c:pt idx="291">
                  <c:v>2992.58</c:v>
                </c:pt>
                <c:pt idx="292">
                  <c:v>943.44</c:v>
                </c:pt>
                <c:pt idx="293">
                  <c:v>1115.1500000000001</c:v>
                </c:pt>
                <c:pt idx="294">
                  <c:v>1417.16</c:v>
                </c:pt>
                <c:pt idx="295">
                  <c:v>1114</c:v>
                </c:pt>
                <c:pt idx="296">
                  <c:v>863.34</c:v>
                </c:pt>
                <c:pt idx="297">
                  <c:v>1068.47</c:v>
                </c:pt>
                <c:pt idx="298">
                  <c:v>1406.77</c:v>
                </c:pt>
                <c:pt idx="299">
                  <c:v>932.24</c:v>
                </c:pt>
                <c:pt idx="300">
                  <c:v>1195.51</c:v>
                </c:pt>
                <c:pt idx="301">
                  <c:v>645.37</c:v>
                </c:pt>
                <c:pt idx="302">
                  <c:v>1532.83</c:v>
                </c:pt>
                <c:pt idx="303">
                  <c:v>1373.95</c:v>
                </c:pt>
                <c:pt idx="304">
                  <c:v>785.15</c:v>
                </c:pt>
                <c:pt idx="305">
                  <c:v>893.61</c:v>
                </c:pt>
                <c:pt idx="306">
                  <c:v>361.65</c:v>
                </c:pt>
                <c:pt idx="307">
                  <c:v>1421.09</c:v>
                </c:pt>
                <c:pt idx="308">
                  <c:v>727.01</c:v>
                </c:pt>
                <c:pt idx="309">
                  <c:v>1788.79</c:v>
                </c:pt>
                <c:pt idx="310">
                  <c:v>2080.89</c:v>
                </c:pt>
                <c:pt idx="311">
                  <c:v>1621.66</c:v>
                </c:pt>
                <c:pt idx="312">
                  <c:v>900.01</c:v>
                </c:pt>
                <c:pt idx="313">
                  <c:v>1913.98</c:v>
                </c:pt>
                <c:pt idx="314">
                  <c:v>634.85</c:v>
                </c:pt>
                <c:pt idx="315">
                  <c:v>699.68</c:v>
                </c:pt>
                <c:pt idx="316">
                  <c:v>525.88</c:v>
                </c:pt>
                <c:pt idx="317">
                  <c:v>567.5</c:v>
                </c:pt>
                <c:pt idx="318">
                  <c:v>463.97</c:v>
                </c:pt>
                <c:pt idx="319">
                  <c:v>469.88</c:v>
                </c:pt>
                <c:pt idx="320">
                  <c:v>1343.51</c:v>
                </c:pt>
                <c:pt idx="321">
                  <c:v>986.62</c:v>
                </c:pt>
                <c:pt idx="322">
                  <c:v>962.59</c:v>
                </c:pt>
                <c:pt idx="323">
                  <c:v>1699.88</c:v>
                </c:pt>
                <c:pt idx="324">
                  <c:v>375.76</c:v>
                </c:pt>
                <c:pt idx="325">
                  <c:v>1086.8</c:v>
                </c:pt>
                <c:pt idx="326">
                  <c:v>1341.79</c:v>
                </c:pt>
                <c:pt idx="327">
                  <c:v>953.29</c:v>
                </c:pt>
                <c:pt idx="328">
                  <c:v>667.32</c:v>
                </c:pt>
                <c:pt idx="329">
                  <c:v>2664.49</c:v>
                </c:pt>
                <c:pt idx="330">
                  <c:v>1919.15</c:v>
                </c:pt>
                <c:pt idx="331">
                  <c:v>1090.24</c:v>
                </c:pt>
                <c:pt idx="332">
                  <c:v>2688.69</c:v>
                </c:pt>
                <c:pt idx="333">
                  <c:v>1233.73</c:v>
                </c:pt>
                <c:pt idx="334">
                  <c:v>1534.75</c:v>
                </c:pt>
                <c:pt idx="335">
                  <c:v>1948.62</c:v>
                </c:pt>
                <c:pt idx="336">
                  <c:v>1149.57</c:v>
                </c:pt>
                <c:pt idx="337">
                  <c:v>2907.27</c:v>
                </c:pt>
                <c:pt idx="338">
                  <c:v>362.62</c:v>
                </c:pt>
                <c:pt idx="339">
                  <c:v>799.66</c:v>
                </c:pt>
                <c:pt idx="340">
                  <c:v>522.36</c:v>
                </c:pt>
                <c:pt idx="341">
                  <c:v>2320.56</c:v>
                </c:pt>
                <c:pt idx="342">
                  <c:v>482.4</c:v>
                </c:pt>
                <c:pt idx="343">
                  <c:v>1341.45</c:v>
                </c:pt>
                <c:pt idx="344">
                  <c:v>1581.18</c:v>
                </c:pt>
                <c:pt idx="345">
                  <c:v>961.83</c:v>
                </c:pt>
                <c:pt idx="346">
                  <c:v>1021.68</c:v>
                </c:pt>
                <c:pt idx="347">
                  <c:v>3831.43</c:v>
                </c:pt>
                <c:pt idx="348">
                  <c:v>1585.63</c:v>
                </c:pt>
                <c:pt idx="349">
                  <c:v>1489.09</c:v>
                </c:pt>
                <c:pt idx="350">
                  <c:v>1157.31</c:v>
                </c:pt>
                <c:pt idx="351">
                  <c:v>480.5</c:v>
                </c:pt>
                <c:pt idx="352">
                  <c:v>1115.43</c:v>
                </c:pt>
                <c:pt idx="353">
                  <c:v>1329.9</c:v>
                </c:pt>
                <c:pt idx="354">
                  <c:v>1598.42</c:v>
                </c:pt>
                <c:pt idx="355">
                  <c:v>881.83</c:v>
                </c:pt>
                <c:pt idx="356">
                  <c:v>1261.6300000000001</c:v>
                </c:pt>
                <c:pt idx="357">
                  <c:v>779.74</c:v>
                </c:pt>
                <c:pt idx="358">
                  <c:v>2080.59</c:v>
                </c:pt>
                <c:pt idx="359">
                  <c:v>455.98</c:v>
                </c:pt>
                <c:pt idx="360">
                  <c:v>1631.8</c:v>
                </c:pt>
                <c:pt idx="361">
                  <c:v>758.71</c:v>
                </c:pt>
                <c:pt idx="362">
                  <c:v>1151.3499999999999</c:v>
                </c:pt>
                <c:pt idx="363">
                  <c:v>974.35</c:v>
                </c:pt>
                <c:pt idx="364">
                  <c:v>1388.13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E-4239-AE4B-910DC82DB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Date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D"/>
              <a:t>Page Views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Fact_Daily!$H$1</c:f>
              <c:strCache>
                <c:ptCount val="1"/>
                <c:pt idx="0">
                  <c:v>Page_Views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Fact_Daily!$A$2:$A$366</c:f>
              <c:numCache>
                <c:formatCode>yyyy\-mm\-dd</c:formatCode>
                <c:ptCount val="36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</c:numCache>
            </c:numRef>
          </c:cat>
          <c:val>
            <c:numRef>
              <c:f>Fact_Daily!$H$2:$H$366</c:f>
              <c:numCache>
                <c:formatCode>General</c:formatCode>
                <c:ptCount val="365"/>
                <c:pt idx="0">
                  <c:v>1808</c:v>
                </c:pt>
                <c:pt idx="1">
                  <c:v>1593</c:v>
                </c:pt>
                <c:pt idx="2">
                  <c:v>2008</c:v>
                </c:pt>
                <c:pt idx="3">
                  <c:v>6978</c:v>
                </c:pt>
                <c:pt idx="4">
                  <c:v>1364</c:v>
                </c:pt>
                <c:pt idx="5">
                  <c:v>1419</c:v>
                </c:pt>
                <c:pt idx="6">
                  <c:v>1662</c:v>
                </c:pt>
                <c:pt idx="7">
                  <c:v>5490</c:v>
                </c:pt>
                <c:pt idx="8">
                  <c:v>4254</c:v>
                </c:pt>
                <c:pt idx="9">
                  <c:v>2280</c:v>
                </c:pt>
                <c:pt idx="10">
                  <c:v>2065</c:v>
                </c:pt>
                <c:pt idx="11">
                  <c:v>1227</c:v>
                </c:pt>
                <c:pt idx="12">
                  <c:v>1188</c:v>
                </c:pt>
                <c:pt idx="13">
                  <c:v>1396</c:v>
                </c:pt>
                <c:pt idx="14">
                  <c:v>3472</c:v>
                </c:pt>
                <c:pt idx="15">
                  <c:v>4985</c:v>
                </c:pt>
                <c:pt idx="16">
                  <c:v>5970</c:v>
                </c:pt>
                <c:pt idx="17">
                  <c:v>3300</c:v>
                </c:pt>
                <c:pt idx="18">
                  <c:v>3720</c:v>
                </c:pt>
                <c:pt idx="19">
                  <c:v>642</c:v>
                </c:pt>
                <c:pt idx="20">
                  <c:v>4164</c:v>
                </c:pt>
                <c:pt idx="21">
                  <c:v>3375</c:v>
                </c:pt>
                <c:pt idx="22">
                  <c:v>2556</c:v>
                </c:pt>
                <c:pt idx="23">
                  <c:v>4416</c:v>
                </c:pt>
                <c:pt idx="24">
                  <c:v>1839</c:v>
                </c:pt>
                <c:pt idx="25">
                  <c:v>1936</c:v>
                </c:pt>
                <c:pt idx="26">
                  <c:v>2550</c:v>
                </c:pt>
                <c:pt idx="27">
                  <c:v>2085</c:v>
                </c:pt>
                <c:pt idx="28">
                  <c:v>7182</c:v>
                </c:pt>
                <c:pt idx="29">
                  <c:v>1164</c:v>
                </c:pt>
                <c:pt idx="30">
                  <c:v>1128</c:v>
                </c:pt>
                <c:pt idx="31">
                  <c:v>951</c:v>
                </c:pt>
                <c:pt idx="32">
                  <c:v>3320</c:v>
                </c:pt>
                <c:pt idx="33">
                  <c:v>3805</c:v>
                </c:pt>
                <c:pt idx="34">
                  <c:v>4540</c:v>
                </c:pt>
                <c:pt idx="35">
                  <c:v>1176</c:v>
                </c:pt>
                <c:pt idx="36">
                  <c:v>3204</c:v>
                </c:pt>
                <c:pt idx="37">
                  <c:v>4128</c:v>
                </c:pt>
                <c:pt idx="38">
                  <c:v>1422</c:v>
                </c:pt>
                <c:pt idx="39">
                  <c:v>686</c:v>
                </c:pt>
                <c:pt idx="40">
                  <c:v>1218</c:v>
                </c:pt>
                <c:pt idx="41">
                  <c:v>4092</c:v>
                </c:pt>
                <c:pt idx="42">
                  <c:v>3840</c:v>
                </c:pt>
                <c:pt idx="43">
                  <c:v>3164</c:v>
                </c:pt>
                <c:pt idx="44">
                  <c:v>2262</c:v>
                </c:pt>
                <c:pt idx="45">
                  <c:v>2202</c:v>
                </c:pt>
                <c:pt idx="46">
                  <c:v>4148</c:v>
                </c:pt>
                <c:pt idx="47">
                  <c:v>2085</c:v>
                </c:pt>
                <c:pt idx="48">
                  <c:v>3956</c:v>
                </c:pt>
                <c:pt idx="49">
                  <c:v>3090</c:v>
                </c:pt>
                <c:pt idx="50">
                  <c:v>1432</c:v>
                </c:pt>
                <c:pt idx="51">
                  <c:v>4614</c:v>
                </c:pt>
                <c:pt idx="52">
                  <c:v>1896</c:v>
                </c:pt>
                <c:pt idx="53">
                  <c:v>6282</c:v>
                </c:pt>
                <c:pt idx="54">
                  <c:v>3452</c:v>
                </c:pt>
                <c:pt idx="55">
                  <c:v>1456</c:v>
                </c:pt>
                <c:pt idx="56">
                  <c:v>4404</c:v>
                </c:pt>
                <c:pt idx="57">
                  <c:v>2976</c:v>
                </c:pt>
                <c:pt idx="58">
                  <c:v>1685</c:v>
                </c:pt>
                <c:pt idx="59">
                  <c:v>6168</c:v>
                </c:pt>
                <c:pt idx="60">
                  <c:v>1905</c:v>
                </c:pt>
                <c:pt idx="61">
                  <c:v>1676</c:v>
                </c:pt>
                <c:pt idx="62">
                  <c:v>4355</c:v>
                </c:pt>
                <c:pt idx="63">
                  <c:v>2406</c:v>
                </c:pt>
                <c:pt idx="64">
                  <c:v>2632</c:v>
                </c:pt>
                <c:pt idx="65">
                  <c:v>3895</c:v>
                </c:pt>
                <c:pt idx="66">
                  <c:v>960</c:v>
                </c:pt>
                <c:pt idx="67">
                  <c:v>5112</c:v>
                </c:pt>
                <c:pt idx="68">
                  <c:v>950</c:v>
                </c:pt>
                <c:pt idx="69">
                  <c:v>1792</c:v>
                </c:pt>
                <c:pt idx="70">
                  <c:v>2354</c:v>
                </c:pt>
                <c:pt idx="71">
                  <c:v>1932</c:v>
                </c:pt>
                <c:pt idx="72">
                  <c:v>4675</c:v>
                </c:pt>
                <c:pt idx="73">
                  <c:v>2310</c:v>
                </c:pt>
                <c:pt idx="74">
                  <c:v>2490</c:v>
                </c:pt>
                <c:pt idx="75">
                  <c:v>888</c:v>
                </c:pt>
                <c:pt idx="76">
                  <c:v>2764</c:v>
                </c:pt>
                <c:pt idx="77">
                  <c:v>1456</c:v>
                </c:pt>
                <c:pt idx="78">
                  <c:v>1822</c:v>
                </c:pt>
                <c:pt idx="79">
                  <c:v>3980</c:v>
                </c:pt>
                <c:pt idx="80">
                  <c:v>1083</c:v>
                </c:pt>
                <c:pt idx="81">
                  <c:v>3995</c:v>
                </c:pt>
                <c:pt idx="82">
                  <c:v>1748</c:v>
                </c:pt>
                <c:pt idx="83">
                  <c:v>2290</c:v>
                </c:pt>
                <c:pt idx="84">
                  <c:v>6792</c:v>
                </c:pt>
                <c:pt idx="85">
                  <c:v>5502</c:v>
                </c:pt>
                <c:pt idx="86">
                  <c:v>1035</c:v>
                </c:pt>
                <c:pt idx="87">
                  <c:v>3735</c:v>
                </c:pt>
                <c:pt idx="88">
                  <c:v>1320</c:v>
                </c:pt>
                <c:pt idx="89">
                  <c:v>1260</c:v>
                </c:pt>
                <c:pt idx="90">
                  <c:v>5260</c:v>
                </c:pt>
                <c:pt idx="91">
                  <c:v>5778</c:v>
                </c:pt>
                <c:pt idx="92">
                  <c:v>2244</c:v>
                </c:pt>
                <c:pt idx="93">
                  <c:v>944</c:v>
                </c:pt>
                <c:pt idx="94">
                  <c:v>1610</c:v>
                </c:pt>
                <c:pt idx="95">
                  <c:v>616</c:v>
                </c:pt>
                <c:pt idx="96">
                  <c:v>4584</c:v>
                </c:pt>
                <c:pt idx="97">
                  <c:v>1540</c:v>
                </c:pt>
                <c:pt idx="98">
                  <c:v>1920</c:v>
                </c:pt>
                <c:pt idx="99">
                  <c:v>3396</c:v>
                </c:pt>
                <c:pt idx="100">
                  <c:v>6966</c:v>
                </c:pt>
                <c:pt idx="101">
                  <c:v>1716</c:v>
                </c:pt>
                <c:pt idx="102">
                  <c:v>4074</c:v>
                </c:pt>
                <c:pt idx="103">
                  <c:v>2292</c:v>
                </c:pt>
                <c:pt idx="104">
                  <c:v>3932</c:v>
                </c:pt>
                <c:pt idx="105">
                  <c:v>1965</c:v>
                </c:pt>
                <c:pt idx="106">
                  <c:v>2785</c:v>
                </c:pt>
                <c:pt idx="107">
                  <c:v>2038</c:v>
                </c:pt>
                <c:pt idx="108">
                  <c:v>5316</c:v>
                </c:pt>
                <c:pt idx="109">
                  <c:v>1950</c:v>
                </c:pt>
                <c:pt idx="110">
                  <c:v>1563</c:v>
                </c:pt>
                <c:pt idx="111">
                  <c:v>2304</c:v>
                </c:pt>
                <c:pt idx="112">
                  <c:v>2512</c:v>
                </c:pt>
                <c:pt idx="113">
                  <c:v>6618</c:v>
                </c:pt>
                <c:pt idx="114">
                  <c:v>5256</c:v>
                </c:pt>
                <c:pt idx="115">
                  <c:v>6516</c:v>
                </c:pt>
                <c:pt idx="116">
                  <c:v>1858</c:v>
                </c:pt>
                <c:pt idx="117">
                  <c:v>1548</c:v>
                </c:pt>
                <c:pt idx="118">
                  <c:v>2154</c:v>
                </c:pt>
                <c:pt idx="119">
                  <c:v>3228</c:v>
                </c:pt>
                <c:pt idx="120">
                  <c:v>1803</c:v>
                </c:pt>
                <c:pt idx="121">
                  <c:v>4492</c:v>
                </c:pt>
                <c:pt idx="122">
                  <c:v>1014</c:v>
                </c:pt>
                <c:pt idx="123">
                  <c:v>2732</c:v>
                </c:pt>
                <c:pt idx="124">
                  <c:v>1773</c:v>
                </c:pt>
                <c:pt idx="125">
                  <c:v>1554</c:v>
                </c:pt>
                <c:pt idx="126">
                  <c:v>4070</c:v>
                </c:pt>
                <c:pt idx="127">
                  <c:v>728</c:v>
                </c:pt>
                <c:pt idx="128">
                  <c:v>2871</c:v>
                </c:pt>
                <c:pt idx="129">
                  <c:v>4416</c:v>
                </c:pt>
                <c:pt idx="130">
                  <c:v>2005</c:v>
                </c:pt>
                <c:pt idx="131">
                  <c:v>2260</c:v>
                </c:pt>
                <c:pt idx="132">
                  <c:v>2130</c:v>
                </c:pt>
                <c:pt idx="133">
                  <c:v>1395</c:v>
                </c:pt>
                <c:pt idx="134">
                  <c:v>3672</c:v>
                </c:pt>
                <c:pt idx="135">
                  <c:v>3996</c:v>
                </c:pt>
                <c:pt idx="136">
                  <c:v>3591</c:v>
                </c:pt>
                <c:pt idx="137">
                  <c:v>3207</c:v>
                </c:pt>
                <c:pt idx="138">
                  <c:v>825</c:v>
                </c:pt>
                <c:pt idx="139">
                  <c:v>2950</c:v>
                </c:pt>
                <c:pt idx="140">
                  <c:v>3402</c:v>
                </c:pt>
                <c:pt idx="141">
                  <c:v>2112</c:v>
                </c:pt>
                <c:pt idx="142">
                  <c:v>1445</c:v>
                </c:pt>
                <c:pt idx="143">
                  <c:v>5430</c:v>
                </c:pt>
                <c:pt idx="144">
                  <c:v>3270</c:v>
                </c:pt>
                <c:pt idx="145">
                  <c:v>2775</c:v>
                </c:pt>
                <c:pt idx="146">
                  <c:v>1070</c:v>
                </c:pt>
                <c:pt idx="147">
                  <c:v>2140</c:v>
                </c:pt>
                <c:pt idx="148">
                  <c:v>3954</c:v>
                </c:pt>
                <c:pt idx="149">
                  <c:v>556</c:v>
                </c:pt>
                <c:pt idx="150">
                  <c:v>1551</c:v>
                </c:pt>
                <c:pt idx="151">
                  <c:v>1042</c:v>
                </c:pt>
                <c:pt idx="152">
                  <c:v>2776</c:v>
                </c:pt>
                <c:pt idx="153">
                  <c:v>2855</c:v>
                </c:pt>
                <c:pt idx="154">
                  <c:v>1546</c:v>
                </c:pt>
                <c:pt idx="155">
                  <c:v>2520</c:v>
                </c:pt>
                <c:pt idx="156">
                  <c:v>4875</c:v>
                </c:pt>
                <c:pt idx="157">
                  <c:v>7182</c:v>
                </c:pt>
                <c:pt idx="158">
                  <c:v>3027</c:v>
                </c:pt>
                <c:pt idx="159">
                  <c:v>1284</c:v>
                </c:pt>
                <c:pt idx="160">
                  <c:v>1858</c:v>
                </c:pt>
                <c:pt idx="161">
                  <c:v>3342</c:v>
                </c:pt>
                <c:pt idx="162">
                  <c:v>2672</c:v>
                </c:pt>
                <c:pt idx="163">
                  <c:v>3312</c:v>
                </c:pt>
                <c:pt idx="164">
                  <c:v>3400</c:v>
                </c:pt>
                <c:pt idx="165">
                  <c:v>3522</c:v>
                </c:pt>
                <c:pt idx="166">
                  <c:v>2790</c:v>
                </c:pt>
                <c:pt idx="167">
                  <c:v>1000</c:v>
                </c:pt>
                <c:pt idx="168">
                  <c:v>4140</c:v>
                </c:pt>
                <c:pt idx="169">
                  <c:v>2895</c:v>
                </c:pt>
                <c:pt idx="170">
                  <c:v>2823</c:v>
                </c:pt>
                <c:pt idx="171">
                  <c:v>3186</c:v>
                </c:pt>
                <c:pt idx="172">
                  <c:v>3240</c:v>
                </c:pt>
                <c:pt idx="173">
                  <c:v>3536</c:v>
                </c:pt>
                <c:pt idx="174">
                  <c:v>3057</c:v>
                </c:pt>
                <c:pt idx="175">
                  <c:v>1440</c:v>
                </c:pt>
                <c:pt idx="176">
                  <c:v>891</c:v>
                </c:pt>
                <c:pt idx="177">
                  <c:v>1750</c:v>
                </c:pt>
                <c:pt idx="178">
                  <c:v>6942</c:v>
                </c:pt>
                <c:pt idx="179">
                  <c:v>4815</c:v>
                </c:pt>
                <c:pt idx="180">
                  <c:v>1497</c:v>
                </c:pt>
                <c:pt idx="181">
                  <c:v>510</c:v>
                </c:pt>
                <c:pt idx="182">
                  <c:v>1422</c:v>
                </c:pt>
                <c:pt idx="183">
                  <c:v>5772</c:v>
                </c:pt>
                <c:pt idx="184">
                  <c:v>2460</c:v>
                </c:pt>
                <c:pt idx="185">
                  <c:v>1870</c:v>
                </c:pt>
                <c:pt idx="186">
                  <c:v>4350</c:v>
                </c:pt>
                <c:pt idx="187">
                  <c:v>3436</c:v>
                </c:pt>
                <c:pt idx="188">
                  <c:v>5810</c:v>
                </c:pt>
                <c:pt idx="189">
                  <c:v>5916</c:v>
                </c:pt>
                <c:pt idx="190">
                  <c:v>7068</c:v>
                </c:pt>
                <c:pt idx="191">
                  <c:v>2060</c:v>
                </c:pt>
                <c:pt idx="192">
                  <c:v>3057</c:v>
                </c:pt>
                <c:pt idx="193">
                  <c:v>3198</c:v>
                </c:pt>
                <c:pt idx="194">
                  <c:v>1976</c:v>
                </c:pt>
                <c:pt idx="195">
                  <c:v>3920</c:v>
                </c:pt>
                <c:pt idx="196">
                  <c:v>2372</c:v>
                </c:pt>
                <c:pt idx="197">
                  <c:v>996</c:v>
                </c:pt>
                <c:pt idx="198">
                  <c:v>1926</c:v>
                </c:pt>
                <c:pt idx="199">
                  <c:v>1575</c:v>
                </c:pt>
                <c:pt idx="200">
                  <c:v>4025</c:v>
                </c:pt>
                <c:pt idx="201">
                  <c:v>2305</c:v>
                </c:pt>
                <c:pt idx="202">
                  <c:v>6228</c:v>
                </c:pt>
                <c:pt idx="203">
                  <c:v>1620</c:v>
                </c:pt>
                <c:pt idx="204">
                  <c:v>1024</c:v>
                </c:pt>
                <c:pt idx="205">
                  <c:v>3245</c:v>
                </c:pt>
                <c:pt idx="206">
                  <c:v>6012</c:v>
                </c:pt>
                <c:pt idx="207">
                  <c:v>3507</c:v>
                </c:pt>
                <c:pt idx="208">
                  <c:v>2645</c:v>
                </c:pt>
                <c:pt idx="209">
                  <c:v>2592</c:v>
                </c:pt>
                <c:pt idx="210">
                  <c:v>5335</c:v>
                </c:pt>
                <c:pt idx="211">
                  <c:v>5550</c:v>
                </c:pt>
                <c:pt idx="212">
                  <c:v>5322</c:v>
                </c:pt>
                <c:pt idx="213">
                  <c:v>3918</c:v>
                </c:pt>
                <c:pt idx="214">
                  <c:v>554</c:v>
                </c:pt>
                <c:pt idx="215">
                  <c:v>1940</c:v>
                </c:pt>
                <c:pt idx="216">
                  <c:v>2580</c:v>
                </c:pt>
                <c:pt idx="217">
                  <c:v>2860</c:v>
                </c:pt>
                <c:pt idx="218">
                  <c:v>5750</c:v>
                </c:pt>
                <c:pt idx="219">
                  <c:v>5505</c:v>
                </c:pt>
                <c:pt idx="220">
                  <c:v>1665</c:v>
                </c:pt>
                <c:pt idx="221">
                  <c:v>1604</c:v>
                </c:pt>
                <c:pt idx="222">
                  <c:v>1824</c:v>
                </c:pt>
                <c:pt idx="223">
                  <c:v>2098</c:v>
                </c:pt>
                <c:pt idx="224">
                  <c:v>1509</c:v>
                </c:pt>
                <c:pt idx="225">
                  <c:v>2658</c:v>
                </c:pt>
                <c:pt idx="226">
                  <c:v>1468</c:v>
                </c:pt>
                <c:pt idx="227">
                  <c:v>2365</c:v>
                </c:pt>
                <c:pt idx="228">
                  <c:v>4140</c:v>
                </c:pt>
                <c:pt idx="229">
                  <c:v>1742</c:v>
                </c:pt>
                <c:pt idx="230">
                  <c:v>1668</c:v>
                </c:pt>
                <c:pt idx="231">
                  <c:v>1104</c:v>
                </c:pt>
                <c:pt idx="232">
                  <c:v>5895</c:v>
                </c:pt>
                <c:pt idx="233">
                  <c:v>2946</c:v>
                </c:pt>
                <c:pt idx="234">
                  <c:v>2871</c:v>
                </c:pt>
                <c:pt idx="235">
                  <c:v>4164</c:v>
                </c:pt>
                <c:pt idx="236">
                  <c:v>1728</c:v>
                </c:pt>
                <c:pt idx="237">
                  <c:v>1658</c:v>
                </c:pt>
                <c:pt idx="238">
                  <c:v>2752</c:v>
                </c:pt>
                <c:pt idx="239">
                  <c:v>3652</c:v>
                </c:pt>
                <c:pt idx="240">
                  <c:v>3400</c:v>
                </c:pt>
                <c:pt idx="241">
                  <c:v>3100</c:v>
                </c:pt>
                <c:pt idx="242">
                  <c:v>2085</c:v>
                </c:pt>
                <c:pt idx="243">
                  <c:v>3664</c:v>
                </c:pt>
                <c:pt idx="244">
                  <c:v>7146</c:v>
                </c:pt>
                <c:pt idx="245">
                  <c:v>3630</c:v>
                </c:pt>
                <c:pt idx="246">
                  <c:v>3424</c:v>
                </c:pt>
                <c:pt idx="247">
                  <c:v>1002</c:v>
                </c:pt>
                <c:pt idx="248">
                  <c:v>2133</c:v>
                </c:pt>
                <c:pt idx="249">
                  <c:v>4998</c:v>
                </c:pt>
                <c:pt idx="250">
                  <c:v>1188</c:v>
                </c:pt>
                <c:pt idx="251">
                  <c:v>1746</c:v>
                </c:pt>
                <c:pt idx="252">
                  <c:v>2452</c:v>
                </c:pt>
                <c:pt idx="253">
                  <c:v>6906</c:v>
                </c:pt>
                <c:pt idx="254">
                  <c:v>3192</c:v>
                </c:pt>
                <c:pt idx="255">
                  <c:v>890</c:v>
                </c:pt>
                <c:pt idx="256">
                  <c:v>3330</c:v>
                </c:pt>
                <c:pt idx="257">
                  <c:v>2480</c:v>
                </c:pt>
                <c:pt idx="258">
                  <c:v>3760</c:v>
                </c:pt>
                <c:pt idx="259">
                  <c:v>1380</c:v>
                </c:pt>
                <c:pt idx="260">
                  <c:v>2874</c:v>
                </c:pt>
                <c:pt idx="261">
                  <c:v>3380</c:v>
                </c:pt>
                <c:pt idx="262">
                  <c:v>3172</c:v>
                </c:pt>
                <c:pt idx="263">
                  <c:v>6078</c:v>
                </c:pt>
                <c:pt idx="264">
                  <c:v>4845</c:v>
                </c:pt>
                <c:pt idx="265">
                  <c:v>1521</c:v>
                </c:pt>
                <c:pt idx="266">
                  <c:v>1788</c:v>
                </c:pt>
                <c:pt idx="267">
                  <c:v>2394</c:v>
                </c:pt>
                <c:pt idx="268">
                  <c:v>5030</c:v>
                </c:pt>
                <c:pt idx="269">
                  <c:v>5118</c:v>
                </c:pt>
                <c:pt idx="270">
                  <c:v>1056</c:v>
                </c:pt>
                <c:pt idx="271">
                  <c:v>1857</c:v>
                </c:pt>
                <c:pt idx="272">
                  <c:v>5850</c:v>
                </c:pt>
                <c:pt idx="273">
                  <c:v>592</c:v>
                </c:pt>
                <c:pt idx="274">
                  <c:v>2892</c:v>
                </c:pt>
                <c:pt idx="275">
                  <c:v>5100</c:v>
                </c:pt>
                <c:pt idx="276">
                  <c:v>1572</c:v>
                </c:pt>
                <c:pt idx="277">
                  <c:v>3700</c:v>
                </c:pt>
                <c:pt idx="278">
                  <c:v>1208</c:v>
                </c:pt>
                <c:pt idx="279">
                  <c:v>1478</c:v>
                </c:pt>
                <c:pt idx="280">
                  <c:v>3300</c:v>
                </c:pt>
                <c:pt idx="281">
                  <c:v>1788</c:v>
                </c:pt>
                <c:pt idx="282">
                  <c:v>6480</c:v>
                </c:pt>
                <c:pt idx="283">
                  <c:v>1011</c:v>
                </c:pt>
                <c:pt idx="284">
                  <c:v>5160</c:v>
                </c:pt>
                <c:pt idx="285">
                  <c:v>6354</c:v>
                </c:pt>
                <c:pt idx="286">
                  <c:v>3925</c:v>
                </c:pt>
                <c:pt idx="287">
                  <c:v>2812</c:v>
                </c:pt>
                <c:pt idx="288">
                  <c:v>2756</c:v>
                </c:pt>
                <c:pt idx="289">
                  <c:v>1866</c:v>
                </c:pt>
                <c:pt idx="290">
                  <c:v>1053</c:v>
                </c:pt>
                <c:pt idx="291">
                  <c:v>1040</c:v>
                </c:pt>
                <c:pt idx="292">
                  <c:v>2562</c:v>
                </c:pt>
                <c:pt idx="293">
                  <c:v>1260</c:v>
                </c:pt>
                <c:pt idx="294">
                  <c:v>4290</c:v>
                </c:pt>
                <c:pt idx="295">
                  <c:v>1948</c:v>
                </c:pt>
                <c:pt idx="296">
                  <c:v>4845</c:v>
                </c:pt>
                <c:pt idx="297">
                  <c:v>1956</c:v>
                </c:pt>
                <c:pt idx="298">
                  <c:v>5340</c:v>
                </c:pt>
                <c:pt idx="299">
                  <c:v>2260</c:v>
                </c:pt>
                <c:pt idx="300">
                  <c:v>1440</c:v>
                </c:pt>
                <c:pt idx="301">
                  <c:v>3288</c:v>
                </c:pt>
                <c:pt idx="302">
                  <c:v>1676</c:v>
                </c:pt>
                <c:pt idx="303">
                  <c:v>6564</c:v>
                </c:pt>
                <c:pt idx="304">
                  <c:v>1398</c:v>
                </c:pt>
                <c:pt idx="305">
                  <c:v>2805</c:v>
                </c:pt>
                <c:pt idx="306">
                  <c:v>4572</c:v>
                </c:pt>
                <c:pt idx="307">
                  <c:v>1992</c:v>
                </c:pt>
                <c:pt idx="308">
                  <c:v>2768</c:v>
                </c:pt>
                <c:pt idx="309">
                  <c:v>552</c:v>
                </c:pt>
                <c:pt idx="310">
                  <c:v>5640</c:v>
                </c:pt>
                <c:pt idx="311">
                  <c:v>1084</c:v>
                </c:pt>
                <c:pt idx="312">
                  <c:v>3093</c:v>
                </c:pt>
                <c:pt idx="313">
                  <c:v>4585</c:v>
                </c:pt>
                <c:pt idx="314">
                  <c:v>2610</c:v>
                </c:pt>
                <c:pt idx="315">
                  <c:v>5415</c:v>
                </c:pt>
                <c:pt idx="316">
                  <c:v>2924</c:v>
                </c:pt>
                <c:pt idx="317">
                  <c:v>1156</c:v>
                </c:pt>
                <c:pt idx="318">
                  <c:v>2935</c:v>
                </c:pt>
                <c:pt idx="319">
                  <c:v>2725</c:v>
                </c:pt>
                <c:pt idx="320">
                  <c:v>1626</c:v>
                </c:pt>
                <c:pt idx="321">
                  <c:v>2288</c:v>
                </c:pt>
                <c:pt idx="322">
                  <c:v>5205</c:v>
                </c:pt>
                <c:pt idx="323">
                  <c:v>2188</c:v>
                </c:pt>
                <c:pt idx="324">
                  <c:v>4025</c:v>
                </c:pt>
                <c:pt idx="325">
                  <c:v>2652</c:v>
                </c:pt>
                <c:pt idx="326">
                  <c:v>5120</c:v>
                </c:pt>
                <c:pt idx="327">
                  <c:v>2056</c:v>
                </c:pt>
                <c:pt idx="328">
                  <c:v>2436</c:v>
                </c:pt>
                <c:pt idx="329">
                  <c:v>3490</c:v>
                </c:pt>
                <c:pt idx="330">
                  <c:v>5370</c:v>
                </c:pt>
                <c:pt idx="331">
                  <c:v>2928</c:v>
                </c:pt>
                <c:pt idx="332">
                  <c:v>1584</c:v>
                </c:pt>
                <c:pt idx="333">
                  <c:v>960</c:v>
                </c:pt>
                <c:pt idx="334">
                  <c:v>1110</c:v>
                </c:pt>
                <c:pt idx="335">
                  <c:v>3932</c:v>
                </c:pt>
                <c:pt idx="336">
                  <c:v>2645</c:v>
                </c:pt>
                <c:pt idx="337">
                  <c:v>2199</c:v>
                </c:pt>
                <c:pt idx="338">
                  <c:v>1990</c:v>
                </c:pt>
                <c:pt idx="339">
                  <c:v>5178</c:v>
                </c:pt>
                <c:pt idx="340">
                  <c:v>778</c:v>
                </c:pt>
                <c:pt idx="341">
                  <c:v>5290</c:v>
                </c:pt>
                <c:pt idx="342">
                  <c:v>6336</c:v>
                </c:pt>
                <c:pt idx="343">
                  <c:v>1008</c:v>
                </c:pt>
                <c:pt idx="344">
                  <c:v>6642</c:v>
                </c:pt>
                <c:pt idx="345">
                  <c:v>4625</c:v>
                </c:pt>
                <c:pt idx="346">
                  <c:v>4242</c:v>
                </c:pt>
                <c:pt idx="347">
                  <c:v>3540</c:v>
                </c:pt>
                <c:pt idx="348">
                  <c:v>3180</c:v>
                </c:pt>
                <c:pt idx="349">
                  <c:v>3420</c:v>
                </c:pt>
                <c:pt idx="350">
                  <c:v>2964</c:v>
                </c:pt>
                <c:pt idx="351">
                  <c:v>5630</c:v>
                </c:pt>
                <c:pt idx="352">
                  <c:v>5060</c:v>
                </c:pt>
                <c:pt idx="353">
                  <c:v>5400</c:v>
                </c:pt>
                <c:pt idx="354">
                  <c:v>2787</c:v>
                </c:pt>
                <c:pt idx="355">
                  <c:v>861</c:v>
                </c:pt>
                <c:pt idx="356">
                  <c:v>3416</c:v>
                </c:pt>
                <c:pt idx="357">
                  <c:v>5725</c:v>
                </c:pt>
                <c:pt idx="358">
                  <c:v>5910</c:v>
                </c:pt>
                <c:pt idx="359">
                  <c:v>1985</c:v>
                </c:pt>
                <c:pt idx="360">
                  <c:v>816</c:v>
                </c:pt>
                <c:pt idx="361">
                  <c:v>2084</c:v>
                </c:pt>
                <c:pt idx="362">
                  <c:v>1314</c:v>
                </c:pt>
                <c:pt idx="363">
                  <c:v>6732</c:v>
                </c:pt>
                <c:pt idx="364">
                  <c:v>2870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3A-49E3-A201-16EE13DD2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Date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Page Views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D"/>
              <a:t>Ad Spend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Fact_Daily!$J$1</c:f>
              <c:strCache>
                <c:ptCount val="1"/>
                <c:pt idx="0">
                  <c:v>Ad_Spend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Fact_Daily!$A$2:$A$366</c:f>
              <c:numCache>
                <c:formatCode>yyyy\-mm\-dd</c:formatCode>
                <c:ptCount val="365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  <c:pt idx="31">
                  <c:v>45323</c:v>
                </c:pt>
                <c:pt idx="32">
                  <c:v>45324</c:v>
                </c:pt>
                <c:pt idx="33">
                  <c:v>45325</c:v>
                </c:pt>
                <c:pt idx="34">
                  <c:v>45326</c:v>
                </c:pt>
                <c:pt idx="35">
                  <c:v>45327</c:v>
                </c:pt>
                <c:pt idx="36">
                  <c:v>45328</c:v>
                </c:pt>
                <c:pt idx="37">
                  <c:v>45329</c:v>
                </c:pt>
                <c:pt idx="38">
                  <c:v>45330</c:v>
                </c:pt>
                <c:pt idx="39">
                  <c:v>45331</c:v>
                </c:pt>
                <c:pt idx="40">
                  <c:v>45332</c:v>
                </c:pt>
                <c:pt idx="41">
                  <c:v>45333</c:v>
                </c:pt>
                <c:pt idx="42">
                  <c:v>45334</c:v>
                </c:pt>
                <c:pt idx="43">
                  <c:v>45335</c:v>
                </c:pt>
                <c:pt idx="44">
                  <c:v>45336</c:v>
                </c:pt>
                <c:pt idx="45">
                  <c:v>45337</c:v>
                </c:pt>
                <c:pt idx="46">
                  <c:v>45338</c:v>
                </c:pt>
                <c:pt idx="47">
                  <c:v>45339</c:v>
                </c:pt>
                <c:pt idx="48">
                  <c:v>45340</c:v>
                </c:pt>
                <c:pt idx="49">
                  <c:v>45341</c:v>
                </c:pt>
                <c:pt idx="50">
                  <c:v>45342</c:v>
                </c:pt>
                <c:pt idx="51">
                  <c:v>45343</c:v>
                </c:pt>
                <c:pt idx="52">
                  <c:v>45344</c:v>
                </c:pt>
                <c:pt idx="53">
                  <c:v>45345</c:v>
                </c:pt>
                <c:pt idx="54">
                  <c:v>45346</c:v>
                </c:pt>
                <c:pt idx="55">
                  <c:v>45347</c:v>
                </c:pt>
                <c:pt idx="56">
                  <c:v>45348</c:v>
                </c:pt>
                <c:pt idx="57">
                  <c:v>45349</c:v>
                </c:pt>
                <c:pt idx="58">
                  <c:v>45350</c:v>
                </c:pt>
                <c:pt idx="59">
                  <c:v>45351</c:v>
                </c:pt>
                <c:pt idx="60">
                  <c:v>45352</c:v>
                </c:pt>
                <c:pt idx="61">
                  <c:v>45353</c:v>
                </c:pt>
                <c:pt idx="62">
                  <c:v>45354</c:v>
                </c:pt>
                <c:pt idx="63">
                  <c:v>45355</c:v>
                </c:pt>
                <c:pt idx="64">
                  <c:v>45356</c:v>
                </c:pt>
                <c:pt idx="65">
                  <c:v>45357</c:v>
                </c:pt>
                <c:pt idx="66">
                  <c:v>45358</c:v>
                </c:pt>
                <c:pt idx="67">
                  <c:v>45359</c:v>
                </c:pt>
                <c:pt idx="68">
                  <c:v>45360</c:v>
                </c:pt>
                <c:pt idx="69">
                  <c:v>45361</c:v>
                </c:pt>
                <c:pt idx="70">
                  <c:v>45362</c:v>
                </c:pt>
                <c:pt idx="71">
                  <c:v>45363</c:v>
                </c:pt>
                <c:pt idx="72">
                  <c:v>45364</c:v>
                </c:pt>
                <c:pt idx="73">
                  <c:v>45365</c:v>
                </c:pt>
                <c:pt idx="74">
                  <c:v>45366</c:v>
                </c:pt>
                <c:pt idx="75">
                  <c:v>45367</c:v>
                </c:pt>
                <c:pt idx="76">
                  <c:v>45368</c:v>
                </c:pt>
                <c:pt idx="77">
                  <c:v>45369</c:v>
                </c:pt>
                <c:pt idx="78">
                  <c:v>45370</c:v>
                </c:pt>
                <c:pt idx="79">
                  <c:v>45371</c:v>
                </c:pt>
                <c:pt idx="80">
                  <c:v>45372</c:v>
                </c:pt>
                <c:pt idx="81">
                  <c:v>45373</c:v>
                </c:pt>
                <c:pt idx="82">
                  <c:v>45374</c:v>
                </c:pt>
                <c:pt idx="83">
                  <c:v>45375</c:v>
                </c:pt>
                <c:pt idx="84">
                  <c:v>45376</c:v>
                </c:pt>
                <c:pt idx="85">
                  <c:v>45377</c:v>
                </c:pt>
                <c:pt idx="86">
                  <c:v>45378</c:v>
                </c:pt>
                <c:pt idx="87">
                  <c:v>45379</c:v>
                </c:pt>
                <c:pt idx="88">
                  <c:v>45380</c:v>
                </c:pt>
                <c:pt idx="89">
                  <c:v>45381</c:v>
                </c:pt>
                <c:pt idx="90">
                  <c:v>45382</c:v>
                </c:pt>
                <c:pt idx="91">
                  <c:v>45383</c:v>
                </c:pt>
                <c:pt idx="92">
                  <c:v>45384</c:v>
                </c:pt>
                <c:pt idx="93">
                  <c:v>45385</c:v>
                </c:pt>
                <c:pt idx="94">
                  <c:v>45386</c:v>
                </c:pt>
                <c:pt idx="95">
                  <c:v>45387</c:v>
                </c:pt>
                <c:pt idx="96">
                  <c:v>45388</c:v>
                </c:pt>
                <c:pt idx="97">
                  <c:v>45389</c:v>
                </c:pt>
                <c:pt idx="98">
                  <c:v>45390</c:v>
                </c:pt>
                <c:pt idx="99">
                  <c:v>45391</c:v>
                </c:pt>
                <c:pt idx="100">
                  <c:v>45392</c:v>
                </c:pt>
                <c:pt idx="101">
                  <c:v>45393</c:v>
                </c:pt>
                <c:pt idx="102">
                  <c:v>45394</c:v>
                </c:pt>
                <c:pt idx="103">
                  <c:v>45395</c:v>
                </c:pt>
                <c:pt idx="104">
                  <c:v>45396</c:v>
                </c:pt>
                <c:pt idx="105">
                  <c:v>45397</c:v>
                </c:pt>
                <c:pt idx="106">
                  <c:v>45398</c:v>
                </c:pt>
                <c:pt idx="107">
                  <c:v>45399</c:v>
                </c:pt>
                <c:pt idx="108">
                  <c:v>45400</c:v>
                </c:pt>
                <c:pt idx="109">
                  <c:v>45401</c:v>
                </c:pt>
                <c:pt idx="110">
                  <c:v>45402</c:v>
                </c:pt>
                <c:pt idx="111">
                  <c:v>45403</c:v>
                </c:pt>
                <c:pt idx="112">
                  <c:v>45404</c:v>
                </c:pt>
                <c:pt idx="113">
                  <c:v>45405</c:v>
                </c:pt>
                <c:pt idx="114">
                  <c:v>45406</c:v>
                </c:pt>
                <c:pt idx="115">
                  <c:v>45407</c:v>
                </c:pt>
                <c:pt idx="116">
                  <c:v>45408</c:v>
                </c:pt>
                <c:pt idx="117">
                  <c:v>45409</c:v>
                </c:pt>
                <c:pt idx="118">
                  <c:v>45410</c:v>
                </c:pt>
                <c:pt idx="119">
                  <c:v>45411</c:v>
                </c:pt>
                <c:pt idx="120">
                  <c:v>45412</c:v>
                </c:pt>
                <c:pt idx="121">
                  <c:v>45413</c:v>
                </c:pt>
                <c:pt idx="122">
                  <c:v>45414</c:v>
                </c:pt>
                <c:pt idx="123">
                  <c:v>45415</c:v>
                </c:pt>
                <c:pt idx="124">
                  <c:v>45416</c:v>
                </c:pt>
                <c:pt idx="125">
                  <c:v>45417</c:v>
                </c:pt>
                <c:pt idx="126">
                  <c:v>45418</c:v>
                </c:pt>
                <c:pt idx="127">
                  <c:v>45419</c:v>
                </c:pt>
                <c:pt idx="128">
                  <c:v>45420</c:v>
                </c:pt>
                <c:pt idx="129">
                  <c:v>45421</c:v>
                </c:pt>
                <c:pt idx="130">
                  <c:v>45422</c:v>
                </c:pt>
                <c:pt idx="131">
                  <c:v>45423</c:v>
                </c:pt>
                <c:pt idx="132">
                  <c:v>45424</c:v>
                </c:pt>
                <c:pt idx="133">
                  <c:v>45425</c:v>
                </c:pt>
                <c:pt idx="134">
                  <c:v>45426</c:v>
                </c:pt>
                <c:pt idx="135">
                  <c:v>45427</c:v>
                </c:pt>
                <c:pt idx="136">
                  <c:v>45428</c:v>
                </c:pt>
                <c:pt idx="137">
                  <c:v>45429</c:v>
                </c:pt>
                <c:pt idx="138">
                  <c:v>45430</c:v>
                </c:pt>
                <c:pt idx="139">
                  <c:v>45431</c:v>
                </c:pt>
                <c:pt idx="140">
                  <c:v>45432</c:v>
                </c:pt>
                <c:pt idx="141">
                  <c:v>45433</c:v>
                </c:pt>
                <c:pt idx="142">
                  <c:v>45434</c:v>
                </c:pt>
                <c:pt idx="143">
                  <c:v>45435</c:v>
                </c:pt>
                <c:pt idx="144">
                  <c:v>45436</c:v>
                </c:pt>
                <c:pt idx="145">
                  <c:v>45437</c:v>
                </c:pt>
                <c:pt idx="146">
                  <c:v>45438</c:v>
                </c:pt>
                <c:pt idx="147">
                  <c:v>45439</c:v>
                </c:pt>
                <c:pt idx="148">
                  <c:v>45440</c:v>
                </c:pt>
                <c:pt idx="149">
                  <c:v>45441</c:v>
                </c:pt>
                <c:pt idx="150">
                  <c:v>45442</c:v>
                </c:pt>
                <c:pt idx="151">
                  <c:v>45443</c:v>
                </c:pt>
                <c:pt idx="152">
                  <c:v>45444</c:v>
                </c:pt>
                <c:pt idx="153">
                  <c:v>45445</c:v>
                </c:pt>
                <c:pt idx="154">
                  <c:v>45446</c:v>
                </c:pt>
                <c:pt idx="155">
                  <c:v>45447</c:v>
                </c:pt>
                <c:pt idx="156">
                  <c:v>45448</c:v>
                </c:pt>
                <c:pt idx="157">
                  <c:v>45449</c:v>
                </c:pt>
                <c:pt idx="158">
                  <c:v>45450</c:v>
                </c:pt>
                <c:pt idx="159">
                  <c:v>45451</c:v>
                </c:pt>
                <c:pt idx="160">
                  <c:v>45452</c:v>
                </c:pt>
                <c:pt idx="161">
                  <c:v>45453</c:v>
                </c:pt>
                <c:pt idx="162">
                  <c:v>45454</c:v>
                </c:pt>
                <c:pt idx="163">
                  <c:v>45455</c:v>
                </c:pt>
                <c:pt idx="164">
                  <c:v>45456</c:v>
                </c:pt>
                <c:pt idx="165">
                  <c:v>45457</c:v>
                </c:pt>
                <c:pt idx="166">
                  <c:v>45458</c:v>
                </c:pt>
                <c:pt idx="167">
                  <c:v>45459</c:v>
                </c:pt>
                <c:pt idx="168">
                  <c:v>45460</c:v>
                </c:pt>
                <c:pt idx="169">
                  <c:v>45461</c:v>
                </c:pt>
                <c:pt idx="170">
                  <c:v>45462</c:v>
                </c:pt>
                <c:pt idx="171">
                  <c:v>45463</c:v>
                </c:pt>
                <c:pt idx="172">
                  <c:v>45464</c:v>
                </c:pt>
                <c:pt idx="173">
                  <c:v>45465</c:v>
                </c:pt>
                <c:pt idx="174">
                  <c:v>45466</c:v>
                </c:pt>
                <c:pt idx="175">
                  <c:v>45467</c:v>
                </c:pt>
                <c:pt idx="176">
                  <c:v>45468</c:v>
                </c:pt>
                <c:pt idx="177">
                  <c:v>45469</c:v>
                </c:pt>
                <c:pt idx="178">
                  <c:v>45470</c:v>
                </c:pt>
                <c:pt idx="179">
                  <c:v>45471</c:v>
                </c:pt>
                <c:pt idx="180">
                  <c:v>45472</c:v>
                </c:pt>
                <c:pt idx="181">
                  <c:v>45473</c:v>
                </c:pt>
                <c:pt idx="182">
                  <c:v>45474</c:v>
                </c:pt>
                <c:pt idx="183">
                  <c:v>45475</c:v>
                </c:pt>
                <c:pt idx="184">
                  <c:v>45476</c:v>
                </c:pt>
                <c:pt idx="185">
                  <c:v>45477</c:v>
                </c:pt>
                <c:pt idx="186">
                  <c:v>45478</c:v>
                </c:pt>
                <c:pt idx="187">
                  <c:v>45479</c:v>
                </c:pt>
                <c:pt idx="188">
                  <c:v>45480</c:v>
                </c:pt>
                <c:pt idx="189">
                  <c:v>45481</c:v>
                </c:pt>
                <c:pt idx="190">
                  <c:v>45482</c:v>
                </c:pt>
                <c:pt idx="191">
                  <c:v>45483</c:v>
                </c:pt>
                <c:pt idx="192">
                  <c:v>45484</c:v>
                </c:pt>
                <c:pt idx="193">
                  <c:v>45485</c:v>
                </c:pt>
                <c:pt idx="194">
                  <c:v>45486</c:v>
                </c:pt>
                <c:pt idx="195">
                  <c:v>45487</c:v>
                </c:pt>
                <c:pt idx="196">
                  <c:v>45488</c:v>
                </c:pt>
                <c:pt idx="197">
                  <c:v>45489</c:v>
                </c:pt>
                <c:pt idx="198">
                  <c:v>45490</c:v>
                </c:pt>
                <c:pt idx="199">
                  <c:v>45491</c:v>
                </c:pt>
                <c:pt idx="200">
                  <c:v>45492</c:v>
                </c:pt>
                <c:pt idx="201">
                  <c:v>45493</c:v>
                </c:pt>
                <c:pt idx="202">
                  <c:v>45494</c:v>
                </c:pt>
                <c:pt idx="203">
                  <c:v>45495</c:v>
                </c:pt>
                <c:pt idx="204">
                  <c:v>45496</c:v>
                </c:pt>
                <c:pt idx="205">
                  <c:v>45497</c:v>
                </c:pt>
                <c:pt idx="206">
                  <c:v>45498</c:v>
                </c:pt>
                <c:pt idx="207">
                  <c:v>45499</c:v>
                </c:pt>
                <c:pt idx="208">
                  <c:v>45500</c:v>
                </c:pt>
                <c:pt idx="209">
                  <c:v>45501</c:v>
                </c:pt>
                <c:pt idx="210">
                  <c:v>45502</c:v>
                </c:pt>
                <c:pt idx="211">
                  <c:v>45503</c:v>
                </c:pt>
                <c:pt idx="212">
                  <c:v>45504</c:v>
                </c:pt>
                <c:pt idx="213">
                  <c:v>45505</c:v>
                </c:pt>
                <c:pt idx="214">
                  <c:v>45506</c:v>
                </c:pt>
                <c:pt idx="215">
                  <c:v>45507</c:v>
                </c:pt>
                <c:pt idx="216">
                  <c:v>45508</c:v>
                </c:pt>
                <c:pt idx="217">
                  <c:v>45509</c:v>
                </c:pt>
                <c:pt idx="218">
                  <c:v>45510</c:v>
                </c:pt>
                <c:pt idx="219">
                  <c:v>45511</c:v>
                </c:pt>
                <c:pt idx="220">
                  <c:v>45512</c:v>
                </c:pt>
                <c:pt idx="221">
                  <c:v>45513</c:v>
                </c:pt>
                <c:pt idx="222">
                  <c:v>45514</c:v>
                </c:pt>
                <c:pt idx="223">
                  <c:v>45515</c:v>
                </c:pt>
                <c:pt idx="224">
                  <c:v>45516</c:v>
                </c:pt>
                <c:pt idx="225">
                  <c:v>45517</c:v>
                </c:pt>
                <c:pt idx="226">
                  <c:v>45518</c:v>
                </c:pt>
                <c:pt idx="227">
                  <c:v>45519</c:v>
                </c:pt>
                <c:pt idx="228">
                  <c:v>45520</c:v>
                </c:pt>
                <c:pt idx="229">
                  <c:v>45521</c:v>
                </c:pt>
                <c:pt idx="230">
                  <c:v>45522</c:v>
                </c:pt>
                <c:pt idx="231">
                  <c:v>45523</c:v>
                </c:pt>
                <c:pt idx="232">
                  <c:v>45524</c:v>
                </c:pt>
                <c:pt idx="233">
                  <c:v>45525</c:v>
                </c:pt>
                <c:pt idx="234">
                  <c:v>45526</c:v>
                </c:pt>
                <c:pt idx="235">
                  <c:v>45527</c:v>
                </c:pt>
                <c:pt idx="236">
                  <c:v>45528</c:v>
                </c:pt>
                <c:pt idx="237">
                  <c:v>45529</c:v>
                </c:pt>
                <c:pt idx="238">
                  <c:v>45530</c:v>
                </c:pt>
                <c:pt idx="239">
                  <c:v>45531</c:v>
                </c:pt>
                <c:pt idx="240">
                  <c:v>45532</c:v>
                </c:pt>
                <c:pt idx="241">
                  <c:v>45533</c:v>
                </c:pt>
                <c:pt idx="242">
                  <c:v>45534</c:v>
                </c:pt>
                <c:pt idx="243">
                  <c:v>45535</c:v>
                </c:pt>
                <c:pt idx="244">
                  <c:v>45536</c:v>
                </c:pt>
                <c:pt idx="245">
                  <c:v>45537</c:v>
                </c:pt>
                <c:pt idx="246">
                  <c:v>45538</c:v>
                </c:pt>
                <c:pt idx="247">
                  <c:v>45539</c:v>
                </c:pt>
                <c:pt idx="248">
                  <c:v>45540</c:v>
                </c:pt>
                <c:pt idx="249">
                  <c:v>45541</c:v>
                </c:pt>
                <c:pt idx="250">
                  <c:v>45542</c:v>
                </c:pt>
                <c:pt idx="251">
                  <c:v>45543</c:v>
                </c:pt>
                <c:pt idx="252">
                  <c:v>45544</c:v>
                </c:pt>
                <c:pt idx="253">
                  <c:v>45545</c:v>
                </c:pt>
                <c:pt idx="254">
                  <c:v>45546</c:v>
                </c:pt>
                <c:pt idx="255">
                  <c:v>45547</c:v>
                </c:pt>
                <c:pt idx="256">
                  <c:v>45548</c:v>
                </c:pt>
                <c:pt idx="257">
                  <c:v>45549</c:v>
                </c:pt>
                <c:pt idx="258">
                  <c:v>45550</c:v>
                </c:pt>
                <c:pt idx="259">
                  <c:v>45551</c:v>
                </c:pt>
                <c:pt idx="260">
                  <c:v>45552</c:v>
                </c:pt>
                <c:pt idx="261">
                  <c:v>45553</c:v>
                </c:pt>
                <c:pt idx="262">
                  <c:v>45554</c:v>
                </c:pt>
                <c:pt idx="263">
                  <c:v>45555</c:v>
                </c:pt>
                <c:pt idx="264">
                  <c:v>45556</c:v>
                </c:pt>
                <c:pt idx="265">
                  <c:v>45557</c:v>
                </c:pt>
                <c:pt idx="266">
                  <c:v>45558</c:v>
                </c:pt>
                <c:pt idx="267">
                  <c:v>45559</c:v>
                </c:pt>
                <c:pt idx="268">
                  <c:v>45560</c:v>
                </c:pt>
                <c:pt idx="269">
                  <c:v>45561</c:v>
                </c:pt>
                <c:pt idx="270">
                  <c:v>45562</c:v>
                </c:pt>
                <c:pt idx="271">
                  <c:v>45563</c:v>
                </c:pt>
                <c:pt idx="272">
                  <c:v>45564</c:v>
                </c:pt>
                <c:pt idx="273">
                  <c:v>45565</c:v>
                </c:pt>
                <c:pt idx="274">
                  <c:v>45566</c:v>
                </c:pt>
                <c:pt idx="275">
                  <c:v>45567</c:v>
                </c:pt>
                <c:pt idx="276">
                  <c:v>45568</c:v>
                </c:pt>
                <c:pt idx="277">
                  <c:v>45569</c:v>
                </c:pt>
                <c:pt idx="278">
                  <c:v>45570</c:v>
                </c:pt>
                <c:pt idx="279">
                  <c:v>45571</c:v>
                </c:pt>
                <c:pt idx="280">
                  <c:v>45572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45576</c:v>
                </c:pt>
                <c:pt idx="285">
                  <c:v>45577</c:v>
                </c:pt>
                <c:pt idx="286">
                  <c:v>45578</c:v>
                </c:pt>
                <c:pt idx="287">
                  <c:v>45579</c:v>
                </c:pt>
                <c:pt idx="288">
                  <c:v>45580</c:v>
                </c:pt>
                <c:pt idx="289">
                  <c:v>45581</c:v>
                </c:pt>
                <c:pt idx="290">
                  <c:v>45582</c:v>
                </c:pt>
                <c:pt idx="291">
                  <c:v>45583</c:v>
                </c:pt>
                <c:pt idx="292">
                  <c:v>45584</c:v>
                </c:pt>
                <c:pt idx="293">
                  <c:v>45585</c:v>
                </c:pt>
                <c:pt idx="294">
                  <c:v>45586</c:v>
                </c:pt>
                <c:pt idx="295">
                  <c:v>45587</c:v>
                </c:pt>
                <c:pt idx="296">
                  <c:v>45588</c:v>
                </c:pt>
                <c:pt idx="297">
                  <c:v>45589</c:v>
                </c:pt>
                <c:pt idx="298">
                  <c:v>45590</c:v>
                </c:pt>
                <c:pt idx="299">
                  <c:v>45591</c:v>
                </c:pt>
                <c:pt idx="300">
                  <c:v>45592</c:v>
                </c:pt>
                <c:pt idx="301">
                  <c:v>45593</c:v>
                </c:pt>
                <c:pt idx="302">
                  <c:v>45594</c:v>
                </c:pt>
                <c:pt idx="303">
                  <c:v>45595</c:v>
                </c:pt>
                <c:pt idx="304">
                  <c:v>45596</c:v>
                </c:pt>
                <c:pt idx="305">
                  <c:v>45597</c:v>
                </c:pt>
                <c:pt idx="306">
                  <c:v>45598</c:v>
                </c:pt>
                <c:pt idx="307">
                  <c:v>45599</c:v>
                </c:pt>
                <c:pt idx="308">
                  <c:v>45600</c:v>
                </c:pt>
                <c:pt idx="309">
                  <c:v>45601</c:v>
                </c:pt>
                <c:pt idx="310">
                  <c:v>45602</c:v>
                </c:pt>
                <c:pt idx="311">
                  <c:v>45603</c:v>
                </c:pt>
                <c:pt idx="312">
                  <c:v>45604</c:v>
                </c:pt>
                <c:pt idx="313">
                  <c:v>45605</c:v>
                </c:pt>
                <c:pt idx="314">
                  <c:v>45606</c:v>
                </c:pt>
                <c:pt idx="315">
                  <c:v>45607</c:v>
                </c:pt>
                <c:pt idx="316">
                  <c:v>45608</c:v>
                </c:pt>
                <c:pt idx="317">
                  <c:v>45609</c:v>
                </c:pt>
                <c:pt idx="318">
                  <c:v>45610</c:v>
                </c:pt>
                <c:pt idx="319">
                  <c:v>45611</c:v>
                </c:pt>
                <c:pt idx="320">
                  <c:v>45612</c:v>
                </c:pt>
                <c:pt idx="321">
                  <c:v>45613</c:v>
                </c:pt>
                <c:pt idx="322">
                  <c:v>45614</c:v>
                </c:pt>
                <c:pt idx="323">
                  <c:v>45615</c:v>
                </c:pt>
                <c:pt idx="324">
                  <c:v>45616</c:v>
                </c:pt>
                <c:pt idx="325">
                  <c:v>45617</c:v>
                </c:pt>
                <c:pt idx="326">
                  <c:v>45618</c:v>
                </c:pt>
                <c:pt idx="327">
                  <c:v>45619</c:v>
                </c:pt>
                <c:pt idx="328">
                  <c:v>45620</c:v>
                </c:pt>
                <c:pt idx="329">
                  <c:v>45621</c:v>
                </c:pt>
                <c:pt idx="330">
                  <c:v>45622</c:v>
                </c:pt>
                <c:pt idx="331">
                  <c:v>45623</c:v>
                </c:pt>
                <c:pt idx="332">
                  <c:v>45624</c:v>
                </c:pt>
                <c:pt idx="333">
                  <c:v>45625</c:v>
                </c:pt>
                <c:pt idx="334">
                  <c:v>45626</c:v>
                </c:pt>
                <c:pt idx="335">
                  <c:v>45627</c:v>
                </c:pt>
                <c:pt idx="336">
                  <c:v>45628</c:v>
                </c:pt>
                <c:pt idx="337">
                  <c:v>45629</c:v>
                </c:pt>
                <c:pt idx="338">
                  <c:v>45630</c:v>
                </c:pt>
                <c:pt idx="339">
                  <c:v>45631</c:v>
                </c:pt>
                <c:pt idx="340">
                  <c:v>45632</c:v>
                </c:pt>
                <c:pt idx="341">
                  <c:v>45633</c:v>
                </c:pt>
                <c:pt idx="342">
                  <c:v>45634</c:v>
                </c:pt>
                <c:pt idx="343">
                  <c:v>45635</c:v>
                </c:pt>
                <c:pt idx="344">
                  <c:v>45636</c:v>
                </c:pt>
                <c:pt idx="345">
                  <c:v>45637</c:v>
                </c:pt>
                <c:pt idx="346">
                  <c:v>45638</c:v>
                </c:pt>
                <c:pt idx="347">
                  <c:v>45639</c:v>
                </c:pt>
                <c:pt idx="348">
                  <c:v>45640</c:v>
                </c:pt>
                <c:pt idx="349">
                  <c:v>45641</c:v>
                </c:pt>
                <c:pt idx="350">
                  <c:v>45642</c:v>
                </c:pt>
                <c:pt idx="351">
                  <c:v>45643</c:v>
                </c:pt>
                <c:pt idx="352">
                  <c:v>45644</c:v>
                </c:pt>
                <c:pt idx="353">
                  <c:v>45645</c:v>
                </c:pt>
                <c:pt idx="354">
                  <c:v>45646</c:v>
                </c:pt>
                <c:pt idx="355">
                  <c:v>45647</c:v>
                </c:pt>
                <c:pt idx="356">
                  <c:v>45648</c:v>
                </c:pt>
                <c:pt idx="357">
                  <c:v>45649</c:v>
                </c:pt>
                <c:pt idx="358">
                  <c:v>45650</c:v>
                </c:pt>
                <c:pt idx="359">
                  <c:v>45651</c:v>
                </c:pt>
                <c:pt idx="360">
                  <c:v>45652</c:v>
                </c:pt>
                <c:pt idx="361">
                  <c:v>45653</c:v>
                </c:pt>
                <c:pt idx="362">
                  <c:v>45654</c:v>
                </c:pt>
                <c:pt idx="363">
                  <c:v>45655</c:v>
                </c:pt>
                <c:pt idx="364">
                  <c:v>45656</c:v>
                </c:pt>
              </c:numCache>
            </c:numRef>
          </c:cat>
          <c:val>
            <c:numRef>
              <c:f>Fact_Daily!$J$2:$J$366</c:f>
              <c:numCache>
                <c:formatCode>General</c:formatCode>
                <c:ptCount val="365"/>
                <c:pt idx="0">
                  <c:v>1520.19</c:v>
                </c:pt>
                <c:pt idx="1">
                  <c:v>2065.83</c:v>
                </c:pt>
                <c:pt idx="2">
                  <c:v>333.1</c:v>
                </c:pt>
                <c:pt idx="3">
                  <c:v>0</c:v>
                </c:pt>
                <c:pt idx="4">
                  <c:v>2790.05</c:v>
                </c:pt>
                <c:pt idx="5">
                  <c:v>0</c:v>
                </c:pt>
                <c:pt idx="6">
                  <c:v>1964.53</c:v>
                </c:pt>
                <c:pt idx="7">
                  <c:v>1127.73</c:v>
                </c:pt>
                <c:pt idx="8">
                  <c:v>1894.91</c:v>
                </c:pt>
                <c:pt idx="9">
                  <c:v>2017.89</c:v>
                </c:pt>
                <c:pt idx="10">
                  <c:v>1585.2</c:v>
                </c:pt>
                <c:pt idx="11">
                  <c:v>534.27</c:v>
                </c:pt>
                <c:pt idx="12">
                  <c:v>1102.54</c:v>
                </c:pt>
                <c:pt idx="13">
                  <c:v>690.99</c:v>
                </c:pt>
                <c:pt idx="14">
                  <c:v>102.28</c:v>
                </c:pt>
                <c:pt idx="15">
                  <c:v>0</c:v>
                </c:pt>
                <c:pt idx="16">
                  <c:v>1036.27</c:v>
                </c:pt>
                <c:pt idx="17">
                  <c:v>810.54</c:v>
                </c:pt>
                <c:pt idx="18">
                  <c:v>319.99</c:v>
                </c:pt>
                <c:pt idx="19">
                  <c:v>1058.03</c:v>
                </c:pt>
                <c:pt idx="20">
                  <c:v>94.75</c:v>
                </c:pt>
                <c:pt idx="21">
                  <c:v>2606.29</c:v>
                </c:pt>
                <c:pt idx="22">
                  <c:v>1809.48</c:v>
                </c:pt>
                <c:pt idx="23">
                  <c:v>1074.3900000000001</c:v>
                </c:pt>
                <c:pt idx="24">
                  <c:v>0</c:v>
                </c:pt>
                <c:pt idx="25">
                  <c:v>968.32</c:v>
                </c:pt>
                <c:pt idx="26">
                  <c:v>740.47</c:v>
                </c:pt>
                <c:pt idx="27">
                  <c:v>3746.88</c:v>
                </c:pt>
                <c:pt idx="28">
                  <c:v>2866.62</c:v>
                </c:pt>
                <c:pt idx="29">
                  <c:v>88.03</c:v>
                </c:pt>
                <c:pt idx="30">
                  <c:v>1647.53</c:v>
                </c:pt>
                <c:pt idx="31">
                  <c:v>825.37</c:v>
                </c:pt>
                <c:pt idx="32">
                  <c:v>3023.79</c:v>
                </c:pt>
                <c:pt idx="33">
                  <c:v>1087.8699999999999</c:v>
                </c:pt>
                <c:pt idx="34">
                  <c:v>496.31</c:v>
                </c:pt>
                <c:pt idx="35">
                  <c:v>484.94</c:v>
                </c:pt>
                <c:pt idx="36">
                  <c:v>1174.95</c:v>
                </c:pt>
                <c:pt idx="37">
                  <c:v>1801.97</c:v>
                </c:pt>
                <c:pt idx="38">
                  <c:v>1978.95</c:v>
                </c:pt>
                <c:pt idx="39">
                  <c:v>1843.32</c:v>
                </c:pt>
                <c:pt idx="40">
                  <c:v>1112.6099999999999</c:v>
                </c:pt>
                <c:pt idx="41">
                  <c:v>432.52</c:v>
                </c:pt>
                <c:pt idx="42">
                  <c:v>878.81</c:v>
                </c:pt>
                <c:pt idx="43">
                  <c:v>1831.29</c:v>
                </c:pt>
                <c:pt idx="44">
                  <c:v>1109.8900000000001</c:v>
                </c:pt>
                <c:pt idx="45">
                  <c:v>1580.68</c:v>
                </c:pt>
                <c:pt idx="46">
                  <c:v>3882.24</c:v>
                </c:pt>
                <c:pt idx="47">
                  <c:v>0</c:v>
                </c:pt>
                <c:pt idx="48">
                  <c:v>776.85</c:v>
                </c:pt>
                <c:pt idx="49">
                  <c:v>907.11</c:v>
                </c:pt>
                <c:pt idx="50">
                  <c:v>385.69</c:v>
                </c:pt>
                <c:pt idx="51">
                  <c:v>2491.34</c:v>
                </c:pt>
                <c:pt idx="52">
                  <c:v>941.23</c:v>
                </c:pt>
                <c:pt idx="53">
                  <c:v>1196.79</c:v>
                </c:pt>
                <c:pt idx="54">
                  <c:v>456.33</c:v>
                </c:pt>
                <c:pt idx="55">
                  <c:v>2247.06</c:v>
                </c:pt>
                <c:pt idx="56">
                  <c:v>0</c:v>
                </c:pt>
                <c:pt idx="57">
                  <c:v>980.9</c:v>
                </c:pt>
                <c:pt idx="58">
                  <c:v>2975.46</c:v>
                </c:pt>
                <c:pt idx="59">
                  <c:v>3362.74</c:v>
                </c:pt>
                <c:pt idx="60">
                  <c:v>2948.37</c:v>
                </c:pt>
                <c:pt idx="61">
                  <c:v>1146.82</c:v>
                </c:pt>
                <c:pt idx="62">
                  <c:v>3227.17</c:v>
                </c:pt>
                <c:pt idx="63">
                  <c:v>552.49</c:v>
                </c:pt>
                <c:pt idx="64">
                  <c:v>128.9</c:v>
                </c:pt>
                <c:pt idx="65">
                  <c:v>2816.72</c:v>
                </c:pt>
                <c:pt idx="66">
                  <c:v>724.43</c:v>
                </c:pt>
                <c:pt idx="67">
                  <c:v>131.44999999999999</c:v>
                </c:pt>
                <c:pt idx="68">
                  <c:v>3357.56</c:v>
                </c:pt>
                <c:pt idx="69">
                  <c:v>668.56</c:v>
                </c:pt>
                <c:pt idx="70">
                  <c:v>2415.83</c:v>
                </c:pt>
                <c:pt idx="71">
                  <c:v>1823.57</c:v>
                </c:pt>
                <c:pt idx="72">
                  <c:v>3126.95</c:v>
                </c:pt>
                <c:pt idx="73">
                  <c:v>2327.16</c:v>
                </c:pt>
                <c:pt idx="74">
                  <c:v>2953.59</c:v>
                </c:pt>
                <c:pt idx="75">
                  <c:v>537.1</c:v>
                </c:pt>
                <c:pt idx="76">
                  <c:v>1120.83</c:v>
                </c:pt>
                <c:pt idx="77">
                  <c:v>1319.73</c:v>
                </c:pt>
                <c:pt idx="78">
                  <c:v>736.41</c:v>
                </c:pt>
                <c:pt idx="79">
                  <c:v>0</c:v>
                </c:pt>
                <c:pt idx="80">
                  <c:v>2517.3000000000002</c:v>
                </c:pt>
                <c:pt idx="81">
                  <c:v>4795.68</c:v>
                </c:pt>
                <c:pt idx="82">
                  <c:v>835.9</c:v>
                </c:pt>
                <c:pt idx="83">
                  <c:v>1035.68</c:v>
                </c:pt>
                <c:pt idx="84">
                  <c:v>1239.81</c:v>
                </c:pt>
                <c:pt idx="85">
                  <c:v>3770.99</c:v>
                </c:pt>
                <c:pt idx="86">
                  <c:v>613.01</c:v>
                </c:pt>
                <c:pt idx="87">
                  <c:v>1224.8599999999999</c:v>
                </c:pt>
                <c:pt idx="88">
                  <c:v>2037.4</c:v>
                </c:pt>
                <c:pt idx="89">
                  <c:v>1522.72</c:v>
                </c:pt>
                <c:pt idx="90">
                  <c:v>1843.15</c:v>
                </c:pt>
                <c:pt idx="91">
                  <c:v>1798.72</c:v>
                </c:pt>
                <c:pt idx="92">
                  <c:v>1277.49</c:v>
                </c:pt>
                <c:pt idx="93">
                  <c:v>122.57</c:v>
                </c:pt>
                <c:pt idx="94">
                  <c:v>1068.32</c:v>
                </c:pt>
                <c:pt idx="95">
                  <c:v>148.55000000000001</c:v>
                </c:pt>
                <c:pt idx="96">
                  <c:v>1135.6300000000001</c:v>
                </c:pt>
                <c:pt idx="97">
                  <c:v>885.53</c:v>
                </c:pt>
                <c:pt idx="98">
                  <c:v>430.29</c:v>
                </c:pt>
                <c:pt idx="99">
                  <c:v>1767.14</c:v>
                </c:pt>
                <c:pt idx="100">
                  <c:v>1116.73</c:v>
                </c:pt>
                <c:pt idx="101">
                  <c:v>1422.73</c:v>
                </c:pt>
                <c:pt idx="102">
                  <c:v>775.37</c:v>
                </c:pt>
                <c:pt idx="103">
                  <c:v>0</c:v>
                </c:pt>
                <c:pt idx="104">
                  <c:v>684.92</c:v>
                </c:pt>
                <c:pt idx="105">
                  <c:v>3000.44</c:v>
                </c:pt>
                <c:pt idx="106">
                  <c:v>1319.64</c:v>
                </c:pt>
                <c:pt idx="107">
                  <c:v>1260.8399999999999</c:v>
                </c:pt>
                <c:pt idx="108">
                  <c:v>264.94</c:v>
                </c:pt>
                <c:pt idx="109">
                  <c:v>0</c:v>
                </c:pt>
                <c:pt idx="110">
                  <c:v>747.5</c:v>
                </c:pt>
                <c:pt idx="111">
                  <c:v>1579.83</c:v>
                </c:pt>
                <c:pt idx="112">
                  <c:v>736.3</c:v>
                </c:pt>
                <c:pt idx="113">
                  <c:v>0</c:v>
                </c:pt>
                <c:pt idx="114">
                  <c:v>416.49</c:v>
                </c:pt>
                <c:pt idx="115">
                  <c:v>1617.25</c:v>
                </c:pt>
                <c:pt idx="116">
                  <c:v>685.99</c:v>
                </c:pt>
                <c:pt idx="117">
                  <c:v>705.26</c:v>
                </c:pt>
                <c:pt idx="118">
                  <c:v>1557.81</c:v>
                </c:pt>
                <c:pt idx="119">
                  <c:v>854.25</c:v>
                </c:pt>
                <c:pt idx="120">
                  <c:v>1460.57</c:v>
                </c:pt>
                <c:pt idx="121">
                  <c:v>1615.32</c:v>
                </c:pt>
                <c:pt idx="122">
                  <c:v>2687.55</c:v>
                </c:pt>
                <c:pt idx="123">
                  <c:v>2004.4</c:v>
                </c:pt>
                <c:pt idx="124">
                  <c:v>480.91</c:v>
                </c:pt>
                <c:pt idx="125">
                  <c:v>623.73</c:v>
                </c:pt>
                <c:pt idx="126">
                  <c:v>798.67</c:v>
                </c:pt>
                <c:pt idx="127">
                  <c:v>453.05</c:v>
                </c:pt>
                <c:pt idx="128">
                  <c:v>1551.01</c:v>
                </c:pt>
                <c:pt idx="129">
                  <c:v>1970.62</c:v>
                </c:pt>
                <c:pt idx="130">
                  <c:v>695.82</c:v>
                </c:pt>
                <c:pt idx="131">
                  <c:v>122.49</c:v>
                </c:pt>
                <c:pt idx="132">
                  <c:v>0</c:v>
                </c:pt>
                <c:pt idx="133">
                  <c:v>320.85000000000002</c:v>
                </c:pt>
                <c:pt idx="134">
                  <c:v>1041.53</c:v>
                </c:pt>
                <c:pt idx="135">
                  <c:v>1376.01</c:v>
                </c:pt>
                <c:pt idx="136">
                  <c:v>335.11</c:v>
                </c:pt>
                <c:pt idx="137">
                  <c:v>2599.0500000000002</c:v>
                </c:pt>
                <c:pt idx="138">
                  <c:v>1112.78</c:v>
                </c:pt>
                <c:pt idx="139">
                  <c:v>918.18</c:v>
                </c:pt>
                <c:pt idx="140">
                  <c:v>1587.92</c:v>
                </c:pt>
                <c:pt idx="141">
                  <c:v>856.64</c:v>
                </c:pt>
                <c:pt idx="142">
                  <c:v>2000.85</c:v>
                </c:pt>
                <c:pt idx="143">
                  <c:v>1036.97</c:v>
                </c:pt>
                <c:pt idx="144">
                  <c:v>837.08</c:v>
                </c:pt>
                <c:pt idx="145">
                  <c:v>1187.46</c:v>
                </c:pt>
                <c:pt idx="146">
                  <c:v>2692.73</c:v>
                </c:pt>
                <c:pt idx="147">
                  <c:v>1791.63</c:v>
                </c:pt>
                <c:pt idx="148">
                  <c:v>5880.74</c:v>
                </c:pt>
                <c:pt idx="149">
                  <c:v>0</c:v>
                </c:pt>
                <c:pt idx="150">
                  <c:v>1323.16</c:v>
                </c:pt>
                <c:pt idx="151">
                  <c:v>1226.69</c:v>
                </c:pt>
                <c:pt idx="152">
                  <c:v>0</c:v>
                </c:pt>
                <c:pt idx="153">
                  <c:v>3696.58</c:v>
                </c:pt>
                <c:pt idx="154">
                  <c:v>3649.44</c:v>
                </c:pt>
                <c:pt idx="155">
                  <c:v>966.39</c:v>
                </c:pt>
                <c:pt idx="156">
                  <c:v>537.38</c:v>
                </c:pt>
                <c:pt idx="157">
                  <c:v>1016.97</c:v>
                </c:pt>
                <c:pt idx="158">
                  <c:v>2011.82</c:v>
                </c:pt>
                <c:pt idx="159">
                  <c:v>149.34</c:v>
                </c:pt>
                <c:pt idx="160">
                  <c:v>2149.69</c:v>
                </c:pt>
                <c:pt idx="161">
                  <c:v>1498.52</c:v>
                </c:pt>
                <c:pt idx="162">
                  <c:v>1062.33</c:v>
                </c:pt>
                <c:pt idx="163">
                  <c:v>2257.8200000000002</c:v>
                </c:pt>
                <c:pt idx="164">
                  <c:v>2389.56</c:v>
                </c:pt>
                <c:pt idx="165">
                  <c:v>1548.1</c:v>
                </c:pt>
                <c:pt idx="166">
                  <c:v>647.64</c:v>
                </c:pt>
                <c:pt idx="167">
                  <c:v>1396.95</c:v>
                </c:pt>
                <c:pt idx="168">
                  <c:v>522.42999999999995</c:v>
                </c:pt>
                <c:pt idx="169">
                  <c:v>2503.9299999999998</c:v>
                </c:pt>
                <c:pt idx="170">
                  <c:v>720.15</c:v>
                </c:pt>
                <c:pt idx="171">
                  <c:v>987.8</c:v>
                </c:pt>
                <c:pt idx="172">
                  <c:v>1857.85</c:v>
                </c:pt>
                <c:pt idx="173">
                  <c:v>1176.42</c:v>
                </c:pt>
                <c:pt idx="174">
                  <c:v>1275.18</c:v>
                </c:pt>
                <c:pt idx="175">
                  <c:v>827.25</c:v>
                </c:pt>
                <c:pt idx="176">
                  <c:v>584.4</c:v>
                </c:pt>
                <c:pt idx="177">
                  <c:v>1145.46</c:v>
                </c:pt>
                <c:pt idx="178">
                  <c:v>2248.64</c:v>
                </c:pt>
                <c:pt idx="179">
                  <c:v>1271.79</c:v>
                </c:pt>
                <c:pt idx="180">
                  <c:v>0</c:v>
                </c:pt>
                <c:pt idx="181">
                  <c:v>2058.73</c:v>
                </c:pt>
                <c:pt idx="182">
                  <c:v>1045.67</c:v>
                </c:pt>
                <c:pt idx="183">
                  <c:v>3161.12</c:v>
                </c:pt>
                <c:pt idx="184">
                  <c:v>1313.98</c:v>
                </c:pt>
                <c:pt idx="185">
                  <c:v>3454.26</c:v>
                </c:pt>
                <c:pt idx="186">
                  <c:v>2790.37</c:v>
                </c:pt>
                <c:pt idx="187">
                  <c:v>1203.77</c:v>
                </c:pt>
                <c:pt idx="188">
                  <c:v>1666.36</c:v>
                </c:pt>
                <c:pt idx="189">
                  <c:v>0</c:v>
                </c:pt>
                <c:pt idx="190">
                  <c:v>109.56</c:v>
                </c:pt>
                <c:pt idx="191">
                  <c:v>1984.73</c:v>
                </c:pt>
                <c:pt idx="192">
                  <c:v>3612.38</c:v>
                </c:pt>
                <c:pt idx="193">
                  <c:v>142.29</c:v>
                </c:pt>
                <c:pt idx="194">
                  <c:v>0</c:v>
                </c:pt>
                <c:pt idx="195">
                  <c:v>2312.14</c:v>
                </c:pt>
                <c:pt idx="196">
                  <c:v>0</c:v>
                </c:pt>
                <c:pt idx="197">
                  <c:v>969.88</c:v>
                </c:pt>
                <c:pt idx="198">
                  <c:v>2562.7600000000002</c:v>
                </c:pt>
                <c:pt idx="199">
                  <c:v>491.42</c:v>
                </c:pt>
                <c:pt idx="200">
                  <c:v>0</c:v>
                </c:pt>
                <c:pt idx="201">
                  <c:v>730.68</c:v>
                </c:pt>
                <c:pt idx="202">
                  <c:v>405.04</c:v>
                </c:pt>
                <c:pt idx="203">
                  <c:v>2446.25</c:v>
                </c:pt>
                <c:pt idx="204">
                  <c:v>0</c:v>
                </c:pt>
                <c:pt idx="205">
                  <c:v>1058.54</c:v>
                </c:pt>
                <c:pt idx="206">
                  <c:v>312.68</c:v>
                </c:pt>
                <c:pt idx="207">
                  <c:v>2378.92</c:v>
                </c:pt>
                <c:pt idx="208">
                  <c:v>0</c:v>
                </c:pt>
                <c:pt idx="209">
                  <c:v>1251.53</c:v>
                </c:pt>
                <c:pt idx="210">
                  <c:v>996.84</c:v>
                </c:pt>
                <c:pt idx="211">
                  <c:v>3067.39</c:v>
                </c:pt>
                <c:pt idx="212">
                  <c:v>2776.42</c:v>
                </c:pt>
                <c:pt idx="213">
                  <c:v>1345.61</c:v>
                </c:pt>
                <c:pt idx="214">
                  <c:v>2260.66</c:v>
                </c:pt>
                <c:pt idx="215">
                  <c:v>907.52</c:v>
                </c:pt>
                <c:pt idx="216">
                  <c:v>2447.33</c:v>
                </c:pt>
                <c:pt idx="217">
                  <c:v>342.7</c:v>
                </c:pt>
                <c:pt idx="218">
                  <c:v>2158.35</c:v>
                </c:pt>
                <c:pt idx="219">
                  <c:v>1612.17</c:v>
                </c:pt>
                <c:pt idx="220">
                  <c:v>1128.3900000000001</c:v>
                </c:pt>
                <c:pt idx="221">
                  <c:v>2019.31</c:v>
                </c:pt>
                <c:pt idx="222">
                  <c:v>0</c:v>
                </c:pt>
                <c:pt idx="223">
                  <c:v>1126.3699999999999</c:v>
                </c:pt>
                <c:pt idx="224">
                  <c:v>504.38</c:v>
                </c:pt>
                <c:pt idx="225">
                  <c:v>1628.13</c:v>
                </c:pt>
                <c:pt idx="226">
                  <c:v>0</c:v>
                </c:pt>
                <c:pt idx="227">
                  <c:v>2126.5700000000002</c:v>
                </c:pt>
                <c:pt idx="228">
                  <c:v>442.64</c:v>
                </c:pt>
                <c:pt idx="229">
                  <c:v>2564.66</c:v>
                </c:pt>
                <c:pt idx="230">
                  <c:v>4134.4399999999996</c:v>
                </c:pt>
                <c:pt idx="231">
                  <c:v>689.61</c:v>
                </c:pt>
                <c:pt idx="232">
                  <c:v>1247.5899999999999</c:v>
                </c:pt>
                <c:pt idx="233">
                  <c:v>1190.6099999999999</c:v>
                </c:pt>
                <c:pt idx="234">
                  <c:v>1171.73</c:v>
                </c:pt>
                <c:pt idx="235">
                  <c:v>228.39</c:v>
                </c:pt>
                <c:pt idx="236">
                  <c:v>944.84</c:v>
                </c:pt>
                <c:pt idx="237">
                  <c:v>164.78</c:v>
                </c:pt>
                <c:pt idx="238">
                  <c:v>517.49</c:v>
                </c:pt>
                <c:pt idx="239">
                  <c:v>753.74</c:v>
                </c:pt>
                <c:pt idx="240">
                  <c:v>3253.82</c:v>
                </c:pt>
                <c:pt idx="241">
                  <c:v>1765.24</c:v>
                </c:pt>
                <c:pt idx="242">
                  <c:v>469.31</c:v>
                </c:pt>
                <c:pt idx="243">
                  <c:v>782.26</c:v>
                </c:pt>
                <c:pt idx="244">
                  <c:v>55.37</c:v>
                </c:pt>
                <c:pt idx="245">
                  <c:v>2528.65</c:v>
                </c:pt>
                <c:pt idx="246">
                  <c:v>627.11</c:v>
                </c:pt>
                <c:pt idx="247">
                  <c:v>0</c:v>
                </c:pt>
                <c:pt idx="248">
                  <c:v>994.17</c:v>
                </c:pt>
                <c:pt idx="249">
                  <c:v>1583.92</c:v>
                </c:pt>
                <c:pt idx="250">
                  <c:v>2892.89</c:v>
                </c:pt>
                <c:pt idx="251">
                  <c:v>439.71</c:v>
                </c:pt>
                <c:pt idx="252">
                  <c:v>2650.63</c:v>
                </c:pt>
                <c:pt idx="253">
                  <c:v>1546.02</c:v>
                </c:pt>
                <c:pt idx="254">
                  <c:v>1605.22</c:v>
                </c:pt>
                <c:pt idx="255">
                  <c:v>1451.56</c:v>
                </c:pt>
                <c:pt idx="256">
                  <c:v>1590.85</c:v>
                </c:pt>
                <c:pt idx="257">
                  <c:v>1248.17</c:v>
                </c:pt>
                <c:pt idx="258">
                  <c:v>0</c:v>
                </c:pt>
                <c:pt idx="259">
                  <c:v>1182.0899999999999</c:v>
                </c:pt>
                <c:pt idx="260">
                  <c:v>0</c:v>
                </c:pt>
                <c:pt idx="261">
                  <c:v>3275.41</c:v>
                </c:pt>
                <c:pt idx="262">
                  <c:v>1254.6400000000001</c:v>
                </c:pt>
                <c:pt idx="263">
                  <c:v>205.93</c:v>
                </c:pt>
                <c:pt idx="264">
                  <c:v>641.46</c:v>
                </c:pt>
                <c:pt idx="265">
                  <c:v>1022.82</c:v>
                </c:pt>
                <c:pt idx="266">
                  <c:v>855.97</c:v>
                </c:pt>
                <c:pt idx="267">
                  <c:v>2528.85</c:v>
                </c:pt>
                <c:pt idx="268">
                  <c:v>973.61</c:v>
                </c:pt>
                <c:pt idx="269">
                  <c:v>102.23</c:v>
                </c:pt>
                <c:pt idx="270">
                  <c:v>887.04</c:v>
                </c:pt>
                <c:pt idx="271">
                  <c:v>1065.78</c:v>
                </c:pt>
                <c:pt idx="272">
                  <c:v>800.02</c:v>
                </c:pt>
                <c:pt idx="273">
                  <c:v>2858.17</c:v>
                </c:pt>
                <c:pt idx="274">
                  <c:v>1661.14</c:v>
                </c:pt>
                <c:pt idx="275">
                  <c:v>1098.08</c:v>
                </c:pt>
                <c:pt idx="276">
                  <c:v>4331.1899999999996</c:v>
                </c:pt>
                <c:pt idx="277">
                  <c:v>1166.31</c:v>
                </c:pt>
                <c:pt idx="278">
                  <c:v>1780.71</c:v>
                </c:pt>
                <c:pt idx="279">
                  <c:v>1154.1500000000001</c:v>
                </c:pt>
                <c:pt idx="280">
                  <c:v>708.61</c:v>
                </c:pt>
                <c:pt idx="281">
                  <c:v>1862.98</c:v>
                </c:pt>
                <c:pt idx="282">
                  <c:v>1665.46</c:v>
                </c:pt>
                <c:pt idx="283">
                  <c:v>1406.39</c:v>
                </c:pt>
                <c:pt idx="284">
                  <c:v>391.3</c:v>
                </c:pt>
                <c:pt idx="285">
                  <c:v>1153.6500000000001</c:v>
                </c:pt>
                <c:pt idx="286">
                  <c:v>1928.98</c:v>
                </c:pt>
                <c:pt idx="287">
                  <c:v>931.56</c:v>
                </c:pt>
                <c:pt idx="288">
                  <c:v>4025.35</c:v>
                </c:pt>
                <c:pt idx="289">
                  <c:v>1955.69</c:v>
                </c:pt>
                <c:pt idx="290">
                  <c:v>3417.75</c:v>
                </c:pt>
                <c:pt idx="291">
                  <c:v>473.16</c:v>
                </c:pt>
                <c:pt idx="292">
                  <c:v>1026.43</c:v>
                </c:pt>
                <c:pt idx="293">
                  <c:v>1156.3499999999999</c:v>
                </c:pt>
                <c:pt idx="294">
                  <c:v>714.1</c:v>
                </c:pt>
                <c:pt idx="295">
                  <c:v>1647.31</c:v>
                </c:pt>
                <c:pt idx="296">
                  <c:v>3495.19</c:v>
                </c:pt>
                <c:pt idx="297">
                  <c:v>2918.78</c:v>
                </c:pt>
                <c:pt idx="298">
                  <c:v>1746.65</c:v>
                </c:pt>
                <c:pt idx="299">
                  <c:v>228.72</c:v>
                </c:pt>
                <c:pt idx="300">
                  <c:v>2447.9299999999998</c:v>
                </c:pt>
                <c:pt idx="301">
                  <c:v>203.96</c:v>
                </c:pt>
                <c:pt idx="302">
                  <c:v>794.35</c:v>
                </c:pt>
                <c:pt idx="303">
                  <c:v>647.36</c:v>
                </c:pt>
                <c:pt idx="304">
                  <c:v>582.12</c:v>
                </c:pt>
                <c:pt idx="305">
                  <c:v>2775.09</c:v>
                </c:pt>
                <c:pt idx="306">
                  <c:v>1060.29</c:v>
                </c:pt>
                <c:pt idx="307">
                  <c:v>0</c:v>
                </c:pt>
                <c:pt idx="308">
                  <c:v>942.57</c:v>
                </c:pt>
                <c:pt idx="309">
                  <c:v>3014.09</c:v>
                </c:pt>
                <c:pt idx="310">
                  <c:v>230.67</c:v>
                </c:pt>
                <c:pt idx="311">
                  <c:v>1703.87</c:v>
                </c:pt>
                <c:pt idx="312">
                  <c:v>197.96</c:v>
                </c:pt>
                <c:pt idx="313">
                  <c:v>1633.67</c:v>
                </c:pt>
                <c:pt idx="314">
                  <c:v>1837.93</c:v>
                </c:pt>
                <c:pt idx="315">
                  <c:v>1038.96</c:v>
                </c:pt>
                <c:pt idx="316">
                  <c:v>5039.82</c:v>
                </c:pt>
                <c:pt idx="317">
                  <c:v>1848.85</c:v>
                </c:pt>
                <c:pt idx="318">
                  <c:v>3140.47</c:v>
                </c:pt>
                <c:pt idx="319">
                  <c:v>0</c:v>
                </c:pt>
                <c:pt idx="320">
                  <c:v>732.88</c:v>
                </c:pt>
                <c:pt idx="321">
                  <c:v>1009.22</c:v>
                </c:pt>
                <c:pt idx="322">
                  <c:v>1172.8499999999999</c:v>
                </c:pt>
                <c:pt idx="323">
                  <c:v>125.8</c:v>
                </c:pt>
                <c:pt idx="324">
                  <c:v>1494.54</c:v>
                </c:pt>
                <c:pt idx="325">
                  <c:v>3180.05</c:v>
                </c:pt>
                <c:pt idx="326">
                  <c:v>3015.14</c:v>
                </c:pt>
                <c:pt idx="327">
                  <c:v>613.55999999999995</c:v>
                </c:pt>
                <c:pt idx="328">
                  <c:v>1428.76</c:v>
                </c:pt>
                <c:pt idx="329">
                  <c:v>1935.63</c:v>
                </c:pt>
                <c:pt idx="330">
                  <c:v>2627.7</c:v>
                </c:pt>
                <c:pt idx="331">
                  <c:v>323.23</c:v>
                </c:pt>
                <c:pt idx="332">
                  <c:v>1589.57</c:v>
                </c:pt>
                <c:pt idx="333">
                  <c:v>919.3</c:v>
                </c:pt>
                <c:pt idx="334">
                  <c:v>1217.53</c:v>
                </c:pt>
                <c:pt idx="335">
                  <c:v>1717.71</c:v>
                </c:pt>
                <c:pt idx="336">
                  <c:v>1572.17</c:v>
                </c:pt>
                <c:pt idx="337">
                  <c:v>1133.74</c:v>
                </c:pt>
                <c:pt idx="338">
                  <c:v>2612.79</c:v>
                </c:pt>
                <c:pt idx="339">
                  <c:v>1448.7</c:v>
                </c:pt>
                <c:pt idx="340">
                  <c:v>2384.37</c:v>
                </c:pt>
                <c:pt idx="341">
                  <c:v>1891.92</c:v>
                </c:pt>
                <c:pt idx="342">
                  <c:v>928.99</c:v>
                </c:pt>
                <c:pt idx="343">
                  <c:v>1761.51</c:v>
                </c:pt>
                <c:pt idx="344">
                  <c:v>2181.6999999999998</c:v>
                </c:pt>
                <c:pt idx="345">
                  <c:v>0</c:v>
                </c:pt>
                <c:pt idx="346">
                  <c:v>2367.5500000000002</c:v>
                </c:pt>
                <c:pt idx="347">
                  <c:v>3057.63</c:v>
                </c:pt>
                <c:pt idx="348">
                  <c:v>0</c:v>
                </c:pt>
                <c:pt idx="349">
                  <c:v>1145.96</c:v>
                </c:pt>
                <c:pt idx="350">
                  <c:v>3140.45</c:v>
                </c:pt>
                <c:pt idx="351">
                  <c:v>364.25</c:v>
                </c:pt>
                <c:pt idx="352">
                  <c:v>2804.66</c:v>
                </c:pt>
                <c:pt idx="353">
                  <c:v>299.86</c:v>
                </c:pt>
                <c:pt idx="354">
                  <c:v>2778.59</c:v>
                </c:pt>
                <c:pt idx="355">
                  <c:v>1571.84</c:v>
                </c:pt>
                <c:pt idx="356">
                  <c:v>565.30999999999995</c:v>
                </c:pt>
                <c:pt idx="357">
                  <c:v>1101.08</c:v>
                </c:pt>
                <c:pt idx="358">
                  <c:v>2564.62</c:v>
                </c:pt>
                <c:pt idx="359">
                  <c:v>1317.03</c:v>
                </c:pt>
                <c:pt idx="360">
                  <c:v>3156.91</c:v>
                </c:pt>
                <c:pt idx="361">
                  <c:v>565.89</c:v>
                </c:pt>
                <c:pt idx="362">
                  <c:v>1540.26</c:v>
                </c:pt>
                <c:pt idx="363">
                  <c:v>1000.86</c:v>
                </c:pt>
                <c:pt idx="364">
                  <c:v>1192.0899999999999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CB-46EA-9667-9FD2199D6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Date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Ad Spend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[Interactive_Multi_Source_Dashboard.xlsx]table_visualization_analysis!PivotTable1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60000"/>
                    <a:lumOff val="40000"/>
                  </a:schemeClr>
                </a:solidFill>
              </a:rPr>
              <a:t>Total Sales Month over Month</a:t>
            </a:r>
            <a:r>
              <a:rPr lang="en-US" baseline="0">
                <a:solidFill>
                  <a:schemeClr val="tx2">
                    <a:lumMod val="60000"/>
                    <a:lumOff val="40000"/>
                  </a:schemeClr>
                </a:solidFill>
              </a:rPr>
              <a:t> 2024</a:t>
            </a:r>
            <a:endParaRPr lang="en-US">
              <a:solidFill>
                <a:schemeClr val="tx2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table_visualization_analysis!$B$2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table_visualization_analysis!$A$3:$A$14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table_visualization_analysis!$B$3:$B$14</c:f>
              <c:numCache>
                <c:formatCode>General</c:formatCode>
                <c:ptCount val="12"/>
                <c:pt idx="0">
                  <c:v>37240.31</c:v>
                </c:pt>
                <c:pt idx="1">
                  <c:v>32741.45</c:v>
                </c:pt>
                <c:pt idx="2">
                  <c:v>31136.489999999998</c:v>
                </c:pt>
                <c:pt idx="3">
                  <c:v>30071.260000000002</c:v>
                </c:pt>
                <c:pt idx="4">
                  <c:v>39448.609999999993</c:v>
                </c:pt>
                <c:pt idx="5">
                  <c:v>33653.17</c:v>
                </c:pt>
                <c:pt idx="6">
                  <c:v>29314.649999999998</c:v>
                </c:pt>
                <c:pt idx="7">
                  <c:v>34879.160000000003</c:v>
                </c:pt>
                <c:pt idx="8">
                  <c:v>33223.499999999985</c:v>
                </c:pt>
                <c:pt idx="9">
                  <c:v>36422.769999999997</c:v>
                </c:pt>
                <c:pt idx="10">
                  <c:v>35619.06</c:v>
                </c:pt>
                <c:pt idx="11">
                  <c:v>39351.020000000011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6-4CC4-9937-CE6125C00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123839"/>
        <c:axId val="1932114239"/>
      </c:lineChart>
      <c:catAx>
        <c:axId val="193212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14239"/>
        <c:crosses val="autoZero"/>
        <c:auto val="1"/>
        <c:lblAlgn val="ctr"/>
        <c:lblOffset val="100"/>
        <c:noMultiLvlLbl val="0"/>
      </c:catAx>
      <c:valAx>
        <c:axId val="1932114239"/>
        <c:scaling>
          <c:orientation val="minMax"/>
          <c:min val="2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23839"/>
        <c:crosses val="autoZero"/>
        <c:crossBetween val="between"/>
        <c:majorUnit val="5000"/>
      </c:valAx>
      <c:spPr>
        <a:noFill/>
        <a:ln>
          <a:noFill/>
        </a:ln>
        <a:effectLst>
          <a:glow rad="127000">
            <a:schemeClr val="bg1"/>
          </a:glo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[Interactive_Multi_Source_Dashboard.xlsx]table_visualization_analysis!PivotTable2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>
                    <a:lumMod val="50000"/>
                  </a:schemeClr>
                </a:solidFill>
              </a:rPr>
              <a:t>Total MoM Page Views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table_visualization_analysis!$B$18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table_visualization_analysis!$A$19:$A$31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table_visualization_analysis!$B$19:$B$31</c:f>
              <c:numCache>
                <c:formatCode>General</c:formatCode>
                <c:ptCount val="12"/>
                <c:pt idx="0">
                  <c:v>89216</c:v>
                </c:pt>
                <c:pt idx="1">
                  <c:v>87654</c:v>
                </c:pt>
                <c:pt idx="2">
                  <c:v>84374</c:v>
                </c:pt>
                <c:pt idx="3">
                  <c:v>91026</c:v>
                </c:pt>
                <c:pt idx="4">
                  <c:v>78428</c:v>
                </c:pt>
                <c:pt idx="5">
                  <c:v>88683</c:v>
                </c:pt>
                <c:pt idx="6">
                  <c:v>108594</c:v>
                </c:pt>
                <c:pt idx="7">
                  <c:v>84867</c:v>
                </c:pt>
                <c:pt idx="8">
                  <c:v>95212</c:v>
                </c:pt>
                <c:pt idx="9">
                  <c:v>92322</c:v>
                </c:pt>
                <c:pt idx="10">
                  <c:v>87894</c:v>
                </c:pt>
                <c:pt idx="11">
                  <c:v>108559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6-4BA4-B335-B2E7C1AFB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141119"/>
        <c:axId val="1932141599"/>
      </c:lineChart>
      <c:catAx>
        <c:axId val="1932141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41599"/>
        <c:crosses val="autoZero"/>
        <c:auto val="1"/>
        <c:lblAlgn val="ctr"/>
        <c:lblOffset val="100"/>
        <c:noMultiLvlLbl val="0"/>
      </c:catAx>
      <c:valAx>
        <c:axId val="1932141599"/>
        <c:scaling>
          <c:orientation val="minMax"/>
          <c:min val="5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4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[Interactive_Multi_Source_Dashboard.xlsx]table_visualization_analysis!PivotTable3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Total MoM Ad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4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4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4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table_visualization_analysis!$B$35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table_visualization_analysis!$A$36:$A$48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table_visualization_analysis!$B$36:$B$48</c:f>
              <c:numCache>
                <c:formatCode>General</c:formatCode>
                <c:ptCount val="12"/>
                <c:pt idx="0">
                  <c:v>36597.1</c:v>
                </c:pt>
                <c:pt idx="1">
                  <c:v>40267.01</c:v>
                </c:pt>
                <c:pt idx="2">
                  <c:v>53500.14</c:v>
                </c:pt>
                <c:pt idx="3">
                  <c:v>28841.1</c:v>
                </c:pt>
                <c:pt idx="4">
                  <c:v>41128.949999999997</c:v>
                </c:pt>
                <c:pt idx="5">
                  <c:v>42158.559999999998</c:v>
                </c:pt>
                <c:pt idx="6">
                  <c:v>42244.98</c:v>
                </c:pt>
                <c:pt idx="7">
                  <c:v>39928.639999999999</c:v>
                </c:pt>
                <c:pt idx="8">
                  <c:v>36868.29</c:v>
                </c:pt>
                <c:pt idx="9">
                  <c:v>48721.71</c:v>
                </c:pt>
                <c:pt idx="10">
                  <c:v>45850</c:v>
                </c:pt>
                <c:pt idx="11">
                  <c:v>48168.44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BE-4144-800D-B0C5AC978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366511"/>
        <c:axId val="923366991"/>
      </c:lineChart>
      <c:catAx>
        <c:axId val="923366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366991"/>
        <c:crosses val="autoZero"/>
        <c:auto val="1"/>
        <c:lblAlgn val="ctr"/>
        <c:lblOffset val="100"/>
        <c:noMultiLvlLbl val="0"/>
      </c:catAx>
      <c:valAx>
        <c:axId val="92336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36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[Interactive_Multi_Source_Dashboard.xlsx]table_visualization_analysis!PivotTable4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>
                    <a:lumMod val="50000"/>
                  </a:schemeClr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40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accent5">
                  <a:lumMod val="50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5"/>
              </a:gs>
              <a:gs pos="100000">
                <a:schemeClr val="accent5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5"/>
              </a:gs>
              <a:gs pos="100000">
                <a:schemeClr val="accent5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5"/>
              </a:gs>
              <a:gs pos="100000">
                <a:schemeClr val="accent5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75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table_visualization_analysis!$M$2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C4-45BE-A979-3D035EB774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table_visualization_analysis!$L$3:$L$7</c:f>
              <c:strCache>
                <c:ptCount val="4"/>
                <c:pt idx="0">
                  <c:v>Midwest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table_visualization_analysis!$M$3:$M$7</c:f>
              <c:numCache>
                <c:formatCode>General</c:formatCode>
                <c:ptCount val="4"/>
                <c:pt idx="0">
                  <c:v>91061.13</c:v>
                </c:pt>
                <c:pt idx="1">
                  <c:v>79363.600000000006</c:v>
                </c:pt>
                <c:pt idx="2">
                  <c:v>86208.34</c:v>
                </c:pt>
                <c:pt idx="3">
                  <c:v>86879.57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4-45BE-A979-3D035EB7744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5687296"/>
        <c:axId val="205689216"/>
      </c:barChart>
      <c:catAx>
        <c:axId val="20568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9216"/>
        <c:crosses val="autoZero"/>
        <c:auto val="1"/>
        <c:lblAlgn val="ctr"/>
        <c:lblOffset val="100"/>
        <c:noMultiLvlLbl val="0"/>
      </c:catAx>
      <c:valAx>
        <c:axId val="205689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68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[Interactive_Multi_Source_Dashboard.xlsx]table_visualization_analysis!PivotTable1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>
                    <a:lumMod val="60000"/>
                    <a:lumOff val="40000"/>
                  </a:schemeClr>
                </a:solidFill>
              </a:rPr>
              <a:t>Total Sales Month over Month</a:t>
            </a:r>
            <a:r>
              <a:rPr lang="en-US" baseline="0">
                <a:solidFill>
                  <a:schemeClr val="tx2">
                    <a:lumMod val="60000"/>
                    <a:lumOff val="40000"/>
                  </a:schemeClr>
                </a:solidFill>
              </a:rPr>
              <a:t> 2024</a:t>
            </a:r>
            <a:endParaRPr lang="en-US">
              <a:solidFill>
                <a:schemeClr val="tx2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table_visualization_analysis!$B$2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table_visualization_analysis!$A$3:$A$14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table_visualization_analysis!$B$3:$B$14</c:f>
              <c:numCache>
                <c:formatCode>General</c:formatCode>
                <c:ptCount val="12"/>
                <c:pt idx="0">
                  <c:v>37240.31</c:v>
                </c:pt>
                <c:pt idx="1">
                  <c:v>32741.45</c:v>
                </c:pt>
                <c:pt idx="2">
                  <c:v>31136.489999999998</c:v>
                </c:pt>
                <c:pt idx="3">
                  <c:v>30071.260000000002</c:v>
                </c:pt>
                <c:pt idx="4">
                  <c:v>39448.609999999993</c:v>
                </c:pt>
                <c:pt idx="5">
                  <c:v>33653.17</c:v>
                </c:pt>
                <c:pt idx="6">
                  <c:v>29314.649999999998</c:v>
                </c:pt>
                <c:pt idx="7">
                  <c:v>34879.160000000003</c:v>
                </c:pt>
                <c:pt idx="8">
                  <c:v>33223.499999999985</c:v>
                </c:pt>
                <c:pt idx="9">
                  <c:v>36422.769999999997</c:v>
                </c:pt>
                <c:pt idx="10">
                  <c:v>35619.06</c:v>
                </c:pt>
                <c:pt idx="11">
                  <c:v>39351.020000000011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DF-4B12-86F8-42121B9B1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123839"/>
        <c:axId val="1932114239"/>
      </c:lineChart>
      <c:catAx>
        <c:axId val="1932123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14239"/>
        <c:crosses val="autoZero"/>
        <c:auto val="1"/>
        <c:lblAlgn val="ctr"/>
        <c:lblOffset val="100"/>
        <c:noMultiLvlLbl val="0"/>
      </c:catAx>
      <c:valAx>
        <c:axId val="1932114239"/>
        <c:scaling>
          <c:orientation val="minMax"/>
          <c:min val="2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23839"/>
        <c:crosses val="autoZero"/>
        <c:crossBetween val="between"/>
        <c:majorUnit val="5000"/>
      </c:valAx>
      <c:spPr>
        <a:noFill/>
        <a:ln>
          <a:noFill/>
        </a:ln>
        <a:effectLst>
          <a:glow rad="127000">
            <a:schemeClr val="bg1"/>
          </a:glo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[Interactive_Multi_Source_Dashboard.xlsx]table_visualization_analysis!PivotTable2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3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3">
                    <a:lumMod val="50000"/>
                  </a:schemeClr>
                </a:solidFill>
              </a:rPr>
              <a:t>Total MoM Page Views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3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table_visualization_analysis!$B$18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table_visualization_analysis!$A$19:$A$31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table_visualization_analysis!$B$19:$B$31</c:f>
              <c:numCache>
                <c:formatCode>General</c:formatCode>
                <c:ptCount val="12"/>
                <c:pt idx="0">
                  <c:v>89216</c:v>
                </c:pt>
                <c:pt idx="1">
                  <c:v>87654</c:v>
                </c:pt>
                <c:pt idx="2">
                  <c:v>84374</c:v>
                </c:pt>
                <c:pt idx="3">
                  <c:v>91026</c:v>
                </c:pt>
                <c:pt idx="4">
                  <c:v>78428</c:v>
                </c:pt>
                <c:pt idx="5">
                  <c:v>88683</c:v>
                </c:pt>
                <c:pt idx="6">
                  <c:v>108594</c:v>
                </c:pt>
                <c:pt idx="7">
                  <c:v>84867</c:v>
                </c:pt>
                <c:pt idx="8">
                  <c:v>95212</c:v>
                </c:pt>
                <c:pt idx="9">
                  <c:v>92322</c:v>
                </c:pt>
                <c:pt idx="10">
                  <c:v>87894</c:v>
                </c:pt>
                <c:pt idx="11">
                  <c:v>108559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D2-4245-9089-1FDC6E3D1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141119"/>
        <c:axId val="1932141599"/>
      </c:lineChart>
      <c:catAx>
        <c:axId val="1932141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41599"/>
        <c:crosses val="autoZero"/>
        <c:auto val="1"/>
        <c:lblAlgn val="ctr"/>
        <c:lblOffset val="100"/>
        <c:noMultiLvlLbl val="0"/>
      </c:catAx>
      <c:valAx>
        <c:axId val="1932141599"/>
        <c:scaling>
          <c:orientation val="minMax"/>
          <c:min val="50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14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[Interactive_Multi_Source_Dashboard.xlsx]table_visualization_analysis!PivotTable3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Total MoM Ad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4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table_visualization_analysis!$B$35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table_visualization_analysis!$A$36:$A$48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table_visualization_analysis!$B$36:$B$48</c:f>
              <c:numCache>
                <c:formatCode>General</c:formatCode>
                <c:ptCount val="12"/>
                <c:pt idx="0">
                  <c:v>36597.1</c:v>
                </c:pt>
                <c:pt idx="1">
                  <c:v>40267.01</c:v>
                </c:pt>
                <c:pt idx="2">
                  <c:v>53500.14</c:v>
                </c:pt>
                <c:pt idx="3">
                  <c:v>28841.1</c:v>
                </c:pt>
                <c:pt idx="4">
                  <c:v>41128.949999999997</c:v>
                </c:pt>
                <c:pt idx="5">
                  <c:v>42158.559999999998</c:v>
                </c:pt>
                <c:pt idx="6">
                  <c:v>42244.98</c:v>
                </c:pt>
                <c:pt idx="7">
                  <c:v>39928.639999999999</c:v>
                </c:pt>
                <c:pt idx="8">
                  <c:v>36868.29</c:v>
                </c:pt>
                <c:pt idx="9">
                  <c:v>48721.71</c:v>
                </c:pt>
                <c:pt idx="10">
                  <c:v>45850</c:v>
                </c:pt>
                <c:pt idx="11">
                  <c:v>48168.44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4F-47C9-9600-94C057CA0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366511"/>
        <c:axId val="923366991"/>
      </c:lineChart>
      <c:catAx>
        <c:axId val="923366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366991"/>
        <c:crosses val="autoZero"/>
        <c:auto val="1"/>
        <c:lblAlgn val="ctr"/>
        <c:lblOffset val="100"/>
        <c:noMultiLvlLbl val="0"/>
      </c:catAx>
      <c:valAx>
        <c:axId val="92336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36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[Interactive_Multi_Source_Dashboard.xlsx]table_visualization_analysis!PivotTable4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>
                    <a:lumMod val="50000"/>
                  </a:schemeClr>
                </a:solidFill>
                <a:effectLst/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sz="1400">
                <a:solidFill>
                  <a:schemeClr val="accent5">
                    <a:lumMod val="50000"/>
                  </a:schemeClr>
                </a:solidFill>
                <a:latin typeface="Arial Black" panose="020B0A04020102020204" pitchFamily="34" charset="0"/>
              </a:rPr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accent5">
                  <a:lumMod val="50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5"/>
              </a:gs>
              <a:gs pos="100000">
                <a:schemeClr val="accent5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table_visualization_analysis!$M$2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table_visualization_analysis!$L$3:$L$7</c:f>
              <c:strCache>
                <c:ptCount val="4"/>
                <c:pt idx="0">
                  <c:v>Midwest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table_visualization_analysis!$M$3:$M$7</c:f>
              <c:numCache>
                <c:formatCode>General</c:formatCode>
                <c:ptCount val="4"/>
                <c:pt idx="0">
                  <c:v>91061.13</c:v>
                </c:pt>
                <c:pt idx="1">
                  <c:v>79363.600000000006</c:v>
                </c:pt>
                <c:pt idx="2">
                  <c:v>86208.34</c:v>
                </c:pt>
                <c:pt idx="3">
                  <c:v>86879.57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C-48AA-951C-C070AD51D6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5687296"/>
        <c:axId val="205689216"/>
      </c:barChart>
      <c:catAx>
        <c:axId val="20568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9216"/>
        <c:crosses val="autoZero"/>
        <c:auto val="1"/>
        <c:lblAlgn val="ctr"/>
        <c:lblOffset val="100"/>
        <c:noMultiLvlLbl val="0"/>
      </c:catAx>
      <c:valAx>
        <c:axId val="2056892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68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39</xdr:row>
      <xdr:rowOff>6350</xdr:rowOff>
    </xdr:from>
    <xdr:ext cx="79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3</xdr:row>
      <xdr:rowOff>12700</xdr:rowOff>
    </xdr:from>
    <xdr:to>
      <xdr:col>18</xdr:col>
      <xdr:colOff>533400</xdr:colOff>
      <xdr:row>17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519B34-6077-485C-8EEA-9F5902806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222250</xdr:colOff>
      <xdr:row>17</xdr:row>
      <xdr:rowOff>158750</xdr:rowOff>
    </xdr:from>
    <xdr:to>
      <xdr:col>18</xdr:col>
      <xdr:colOff>552450</xdr:colOff>
      <xdr:row>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99A34-649C-46A6-97B5-6A3123232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18</xdr:row>
      <xdr:rowOff>50800</xdr:rowOff>
    </xdr:from>
    <xdr:to>
      <xdr:col>9</xdr:col>
      <xdr:colOff>0</xdr:colOff>
      <xdr:row>34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BEEB6A-EDCB-4963-9683-17BCFE935D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95250</xdr:colOff>
      <xdr:row>34</xdr:row>
      <xdr:rowOff>171450</xdr:rowOff>
    </xdr:from>
    <xdr:to>
      <xdr:col>14</xdr:col>
      <xdr:colOff>352424</xdr:colOff>
      <xdr:row>49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2488EA-E564-4EF1-8DBB-B21AEE962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63500</xdr:rowOff>
    </xdr:from>
    <xdr:to>
      <xdr:col>9</xdr:col>
      <xdr:colOff>457200</xdr:colOff>
      <xdr:row>15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D2431-9A09-2CFE-E3E9-F529C31DA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565150</xdr:colOff>
      <xdr:row>16</xdr:row>
      <xdr:rowOff>133350</xdr:rowOff>
    </xdr:from>
    <xdr:to>
      <xdr:col>9</xdr:col>
      <xdr:colOff>190500</xdr:colOff>
      <xdr:row>31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87C0CD-9F69-2F53-6407-817514BAD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539750</xdr:colOff>
      <xdr:row>33</xdr:row>
      <xdr:rowOff>25400</xdr:rowOff>
    </xdr:from>
    <xdr:to>
      <xdr:col>9</xdr:col>
      <xdr:colOff>165100</xdr:colOff>
      <xdr:row>48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6881CA-8B60-2930-121F-AF5D58F21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101601</xdr:colOff>
      <xdr:row>8</xdr:row>
      <xdr:rowOff>76200</xdr:rowOff>
    </xdr:from>
    <xdr:to>
      <xdr:col>14</xdr:col>
      <xdr:colOff>517525</xdr:colOff>
      <xdr:row>21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18AF88-E0E0-AFAA-485D-94C1F6A3E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Bukit" refreshedDate="46173.959604976852" createdVersion="8" refreshedVersion="8" minRefreshableVersion="3" recordCount="365" xr:uid="{1301129C-57E3-4966-A4C8-D31F1C56876C}">
  <cacheSource type="worksheet">
    <worksheetSource name="Table1"/>
  </cacheSource>
  <cacheFields count="14">
    <cacheField name="Date" numFmtId="164">
      <sharedItems containsSemiMixedTypes="0" containsNonDate="0" containsDate="1" containsString="0" minDate="2024-01-01T00:00:00" maxDate="2024-12-31T00:00:00" count="36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  <fieldGroup par="13"/>
    </cacheField>
    <cacheField name="Year" numFmtId="0">
      <sharedItems containsSemiMixedTypes="0" containsString="0" containsNumber="1" containsInteger="1" minValue="2024" maxValue="2024"/>
    </cacheField>
    <cacheField name="Quarter" numFmtId="0">
      <sharedItems/>
    </cacheField>
    <cacheField name="Month" numFmtId="0">
      <sharedItems/>
    </cacheField>
    <cacheField name="Month_Number" numFmtId="0">
      <sharedItems containsSemiMixedTypes="0" containsString="0" containsNumber="1" containsInteger="1" minValue="1" maxValue="12"/>
    </cacheField>
    <cacheField name="Total_Sales" numFmtId="0">
      <sharedItems containsSemiMixedTypes="0" containsString="0" containsNumber="1" minValue="0" maxValue="3928.41"/>
    </cacheField>
    <cacheField name="Sessions" numFmtId="0">
      <sharedItems containsSemiMixedTypes="0" containsString="0" containsNumber="1" containsInteger="1" minValue="250" maxValue="1197"/>
    </cacheField>
    <cacheField name="Page_Views" numFmtId="0">
      <sharedItems containsSemiMixedTypes="0" containsString="0" containsNumber="1" containsInteger="1" minValue="510" maxValue="7182"/>
    </cacheField>
    <cacheField name="Conversion_Rate" numFmtId="0">
      <sharedItems containsSemiMixedTypes="0" containsString="0" containsNumber="1" minValue="1.21E-2" maxValue="7.4999999999999997E-2"/>
    </cacheField>
    <cacheField name="Ad_Spend" numFmtId="0">
      <sharedItems containsSemiMixedTypes="0" containsString="0" containsNumber="1" minValue="0" maxValue="5880.74"/>
    </cacheField>
    <cacheField name="Impressions" numFmtId="0">
      <sharedItems containsSemiMixedTypes="0" containsString="0" containsNumber="1" containsInteger="1" minValue="0" maxValue="206265"/>
    </cacheField>
    <cacheField name="Clicks" numFmtId="0">
      <sharedItems containsSemiMixedTypes="0" containsString="0" containsNumber="1" containsInteger="1" minValue="0" maxValue="6644"/>
    </cacheField>
    <cacheField name="Days (Date)" numFmtId="0" databaseField="0">
      <fieldGroup base="0">
        <rangePr groupBy="days" startDate="2024-01-01T00:00:00" endDate="2024-12-31T00:00:00"/>
        <groupItems count="368">
          <s v="&lt;01/01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12/2024"/>
        </groupItems>
      </fieldGroup>
    </cacheField>
    <cacheField name="Months (Date)" numFmtId="0" databaseField="0">
      <fieldGroup base="0">
        <rangePr groupBy="months" startDate="2024-01-01T00:00:00" endDate="2024-12-31T00:00:00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ukit" refreshedDate="46174.068280324071" createdVersion="5" refreshedVersion="8" minRefreshableVersion="3" recordCount="0" supportSubquery="1" supportAdvancedDrill="1" xr:uid="{7E32DE0A-657D-4FF5-A361-77308AC83843}">
  <cacheSource type="external" connectionId="5"/>
  <cacheFields count="3">
    <cacheField name="[Campaign_Spend].[Spend_Date].[Spend_Date]" caption="Spend_Date" numFmtId="0" level="1">
      <sharedItems containsSemiMixedTypes="0" containsNonDate="0" containsDate="1" containsString="0" minDate="2024-01-01T00:00:00" maxDate="2024-12-31T00:00:00" count="336">
        <d v="2024-01-01T00:00:00"/>
        <d v="2024-01-02T00:00:00"/>
        <d v="2024-01-03T00:00:00"/>
        <d v="2024-01-05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4T00:00:00"/>
        <d v="2024-04-15T00:00:00"/>
        <d v="2024-04-16T00:00:00"/>
        <d v="2024-04-17T00:00:00"/>
        <d v="2024-04-18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30T00:00:00"/>
        <d v="2024-05-3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9T00:00:00"/>
        <d v="2024-07-10T00:00:00"/>
        <d v="2024-07-11T00:00:00"/>
        <d v="2024-07-12T00:00:00"/>
        <d v="2024-07-14T00:00:00"/>
        <d v="2024-07-16T00:00:00"/>
        <d v="2024-07-17T00:00:00"/>
        <d v="2024-07-18T00:00:00"/>
        <d v="2024-07-20T00:00:00"/>
        <d v="2024-07-21T00:00:00"/>
        <d v="2024-07-22T00:00:00"/>
        <d v="2024-07-24T00:00:00"/>
        <d v="2024-07-25T00:00:00"/>
        <d v="2024-07-26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1T00:00:00"/>
        <d v="2024-08-12T00:00:00"/>
        <d v="2024-08-13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6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2T00:00:00"/>
        <d v="2024-12-13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</cacheField>
    <cacheField name="[Campaign_Spend].[Spend_Date (Month)].[Spend_Date (Month)]" caption="Spend_Date (Month)" numFmtId="0" hierarchy="5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Ad_Spend]" caption="Sum of Ad_Spend" numFmtId="0" hierarchy="28" level="32767"/>
  </cacheFields>
  <cacheHierarchies count="30">
    <cacheHierarchy uniqueName="[Campaign_Spend].[Spend_Date]" caption="Spend_Date" attribute="1" time="1" defaultMemberUniqueName="[Campaign_Spend].[Spend_Date].[All]" allUniqueName="[Campaign_Spend].[Spend_Date].[All]" dimensionUniqueName="[Campaign_Spend]" displayFolder="" count="2" memberValueDatatype="7" unbalanced="0">
      <fieldsUsage count="2">
        <fieldUsage x="-1"/>
        <fieldUsage x="0"/>
      </fieldsUsage>
    </cacheHierarchy>
    <cacheHierarchy uniqueName="[Campaign_Spend].[Channel]" caption="Channel" attribute="1" defaultMemberUniqueName="[Campaign_Spend].[Channel].[All]" allUniqueName="[Campaign_Spend].[Channel].[All]" dimensionUniqueName="[Campaign_Spend]" displayFolder="" count="0" memberValueDatatype="130" unbalanced="0"/>
    <cacheHierarchy uniqueName="[Campaign_Spend].[Ad_Spend]" caption="Ad_Spend" attribute="1" defaultMemberUniqueName="[Campaign_Spend].[Ad_Spend].[All]" allUniqueName="[Campaign_Spend].[Ad_Spend].[All]" dimensionUniqueName="[Campaign_Spend]" displayFolder="" count="0" memberValueDatatype="5" unbalanced="0"/>
    <cacheHierarchy uniqueName="[Campaign_Spend].[Impressions]" caption="Impressions" attribute="1" defaultMemberUniqueName="[Campaign_Spend].[Impressions].[All]" allUniqueName="[Campaign_Spend].[Impressions].[All]" dimensionUniqueName="[Campaign_Spend]" displayFolder="" count="0" memberValueDatatype="20" unbalanced="0"/>
    <cacheHierarchy uniqueName="[Campaign_Spend].[Clicks]" caption="Clicks" attribute="1" defaultMemberUniqueName="[Campaign_Spend].[Clicks].[All]" allUniqueName="[Campaign_Spend].[Clicks].[All]" dimensionUniqueName="[Campaign_Spend]" displayFolder="" count="0" memberValueDatatype="20" unbalanced="0"/>
    <cacheHierarchy uniqueName="[Campaign_Spend].[Spend_Date (Month)]" caption="Spend_Date (Month)" attribute="1" defaultMemberUniqueName="[Campaign_Spend].[Spend_Date (Month)].[All]" allUniqueName="[Campaign_Spend].[Spend_Date (Month)].[All]" dimensionUniqueName="[Campaign_Spend]" displayFolder="" count="2" memberValueDatatype="130" unbalanced="0">
      <fieldsUsage count="2">
        <fieldUsage x="-1"/>
        <fieldUsage x="1"/>
      </fieldsUsage>
    </cacheHierarchy>
    <cacheHierarchy uniqueName="[Sales_Orders].[Order_ID]" caption="Order_ID" attribute="1" defaultMemberUniqueName="[Sales_Orders].[Order_ID].[All]" allUniqueName="[Sales_Orders].[Order_ID].[All]" dimensionUniqueName="[Sales_Orders]" displayFolder="" count="0" memberValueDatatype="130" unbalanced="0"/>
    <cacheHierarchy uniqueName="[Sales_Orders].[Customer_ID]" caption="Customer_ID" attribute="1" defaultMemberUniqueName="[Sales_Orders].[Customer_ID].[All]" allUniqueName="[Sales_Orders].[Customer_ID].[All]" dimensionUniqueName="[Sales_Orders]" displayFolder="" count="0" memberValueDatatype="130" unbalanced="0"/>
    <cacheHierarchy uniqueName="[Sales_Orders].[Order_Date]" caption="Order_Date" attribute="1" time="1" defaultMemberUniqueName="[Sales_Orders].[Order_Date].[All]" allUniqueName="[Sales_Orders].[Order_Date].[All]" dimensionUniqueName="[Sales_Orders]" displayFolder="" count="0" memberValueDatatype="7" unbalanced="0"/>
    <cacheHierarchy uniqueName="[Sales_Orders].[Sale_Amount]" caption="Sale_Amount" attribute="1" defaultMemberUniqueName="[Sales_Orders].[Sale_Amount].[All]" allUniqueName="[Sales_Orders].[Sale_Amount].[All]" dimensionUniqueName="[Sales_Orders]" displayFolder="" count="0" memberValueDatatype="5" unbalanced="0"/>
    <cacheHierarchy uniqueName="[Sales_Orders].[Region]" caption="Region" attribute="1" defaultMemberUniqueName="[Sales_Orders].[Region].[All]" allUniqueName="[Sales_Orders].[Region].[All]" dimensionUniqueName="[Sales_Orders]" displayFolder="" count="0" memberValueDatatype="130" unbalanced="0"/>
    <cacheHierarchy uniqueName="[Sales_Orders].[State]" caption="State" attribute="1" defaultMemberUniqueName="[Sales_Orders].[State].[All]" allUniqueName="[Sales_Orders].[State].[All]" dimensionUniqueName="[Sales_Orders]" displayFolder="" count="0" memberValueDatatype="130" unbalanced="0"/>
    <cacheHierarchy uniqueName="[States_Sales].[State]" caption="State" attribute="1" defaultMemberUniqueName="[States_Sales].[State].[All]" allUniqueName="[States_Sales].[State].[All]" dimensionUniqueName="[States_Sales]" displayFolder="" count="0" memberValueDatatype="130" unbalanced="0"/>
    <cacheHierarchy uniqueName="[States_Sales].[Total_Sales]" caption="Total_Sales" attribute="1" defaultMemberUniqueName="[States_Sales].[Total_Sales].[All]" allUniqueName="[States_Sales].[Total_Sales].[All]" dimensionUniqueName="[States_Sales]" displayFolder="" count="0" memberValueDatatype="5" unbalanced="0"/>
    <cacheHierarchy uniqueName="[Web_Traffic].[Visit_Date]" caption="Visit_Date" attribute="1" time="1" defaultMemberUniqueName="[Web_Traffic].[Visit_Date].[All]" allUniqueName="[Web_Traffic].[Visit_Date].[All]" dimensionUniqueName="[Web_Traffic]" displayFolder="" count="0" memberValueDatatype="7" unbalanced="0"/>
    <cacheHierarchy uniqueName="[Web_Traffic].[Sessions]" caption="Sessions" attribute="1" defaultMemberUniqueName="[Web_Traffic].[Sessions].[All]" allUniqueName="[Web_Traffic].[Sessions].[All]" dimensionUniqueName="[Web_Traffic]" displayFolder="" count="0" memberValueDatatype="20" unbalanced="0"/>
    <cacheHierarchy uniqueName="[Web_Traffic].[Page_Views]" caption="Page_Views" attribute="1" defaultMemberUniqueName="[Web_Traffic].[Page_Views].[All]" allUniqueName="[Web_Traffic].[Page_Views].[All]" dimensionUniqueName="[Web_Traffic]" displayFolder="" count="0" memberValueDatatype="20" unbalanced="0"/>
    <cacheHierarchy uniqueName="[Web_Traffic].[Conversion_Rate]" caption="Conversion_Rate" attribute="1" defaultMemberUniqueName="[Web_Traffic].[Conversion_Rate].[All]" allUniqueName="[Web_Traffic].[Conversion_Rate].[All]" dimensionUniqueName="[Web_Traffic]" displayFolder="" count="0" memberValueDatatype="5" unbalanced="0"/>
    <cacheHierarchy uniqueName="[Web_Traffic].[Visit_Date (Month)]" caption="Visit_Date (Month)" attribute="1" defaultMemberUniqueName="[Web_Traffic].[Visit_Date (Month)].[All]" allUniqueName="[Web_Traffic].[Visit_Date (Month)].[All]" dimensionUniqueName="[Web_Traffic]" displayFolder="" count="0" memberValueDatatype="130" unbalanced="0"/>
    <cacheHierarchy uniqueName="[Campaign_Spend].[Spend_Date (Month Index)]" caption="Spend_Date (Month Index)" attribute="1" defaultMemberUniqueName="[Campaign_Spend].[Spend_Date (Month Index)].[All]" allUniqueName="[Campaign_Spend].[Spend_Date (Month Index)].[All]" dimensionUniqueName="[Campaign_Spend]" displayFolder="" count="0" memberValueDatatype="20" unbalanced="0" hidden="1"/>
    <cacheHierarchy uniqueName="[Web_Traffic].[Visit_Date (Month Index)]" caption="Visit_Date (Month Index)" attribute="1" defaultMemberUniqueName="[Web_Traffic].[Visit_Date (Month Index)].[All]" allUniqueName="[Web_Traffic].[Visit_Date (Month Index)].[All]" dimensionUniqueName="[Web_Traffic]" displayFolder="" count="0" memberValueDatatype="20" unbalanced="0" hidden="1"/>
    <cacheHierarchy uniqueName="[Measures].[__XL_Count States_Sales]" caption="__XL_Count States_Sales" measure="1" displayFolder="" measureGroup="States_Sales" count="0" hidden="1"/>
    <cacheHierarchy uniqueName="[Measures].[__XL_Count Sales_Orders]" caption="__XL_Count Sales_Orders" measure="1" displayFolder="" measureGroup="Sales_Orders" count="0" hidden="1"/>
    <cacheHierarchy uniqueName="[Measures].[__XL_Count Campaign_Spend]" caption="__XL_Count Campaign_Spend" measure="1" displayFolder="" measureGroup="Campaign_Spend" count="0" hidden="1"/>
    <cacheHierarchy uniqueName="[Measures].[__XL_Count Web_Traffic]" caption="__XL_Count Web_Traffic" measure="1" displayFolder="" measureGroup="Web_Traffic" count="0" hidden="1"/>
    <cacheHierarchy uniqueName="[Measures].[__No measures defined]" caption="__No measures defined" measure="1" displayFolder="" count="0" hidden="1"/>
    <cacheHierarchy uniqueName="[Measures].[Sum of Page_Views]" caption="Sum of Page_Views" measure="1" displayFolder="" measureGroup="Web_Traffic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_Amount]" caption="Sum of Sale_Amount" measure="1" displayFolder="" measureGroup="Sales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d_Spend]" caption="Sum of Ad_Spend" measure="1" displayFolder="" measureGroup="Campaign_Spen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_Sales]" caption="Sum of Total_Sales" measure="1" displayFolder="" measureGroup="States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ampaign_Spend" uniqueName="[Campaign_Spend]" caption="Campaign_Spend"/>
    <dimension measure="1" name="Measures" uniqueName="[Measures]" caption="Measures"/>
    <dimension name="Sales_Orders" uniqueName="[Sales_Orders]" caption="Sales_Orders"/>
    <dimension name="States_Sales" uniqueName="[States_Sales]" caption="States_Sales"/>
    <dimension name="Web_Traffic" uniqueName="[Web_Traffic]" caption="Web_Traffic"/>
  </dimensions>
  <measureGroups count="4">
    <measureGroup name="Campaign_Spend" caption="Campaign_Spend"/>
    <measureGroup name="Sales_Orders" caption="Sales_Orders"/>
    <measureGroup name="States_Sales" caption="States_Sales"/>
    <measureGroup name="Web_Traffic" caption="Web_Traffic"/>
  </measureGroups>
  <maps count="6">
    <map measureGroup="0" dimension="0"/>
    <map measureGroup="0" dimension="4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ukit" refreshedDate="46174.06363877315" createdVersion="5" refreshedVersion="8" minRefreshableVersion="3" recordCount="0" supportSubquery="1" supportAdvancedDrill="1" xr:uid="{D17379A1-2DE8-4EC5-A53F-2550D5B6B26E}">
  <cacheSource type="external" connectionId="5"/>
  <cacheFields count="3">
    <cacheField name="[Measures].[Sum of Page_Views]" caption="Sum of Page_Views" numFmtId="0" hierarchy="26" level="32767"/>
    <cacheField name="[Web_Traffic].[Visit_Date].[Visit_Date]" caption="Visit_Date" numFmtId="0" hierarchy="14" level="1">
      <sharedItems containsSemiMixedTypes="0" containsNonDate="0" containsDate="1" containsString="0" minDate="2024-01-01T00:00:00" maxDate="2024-12-31T00:00:00" count="36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</sharedItems>
    </cacheField>
    <cacheField name="[Web_Traffic].[Visit_Date (Month)].[Visit_Date (Month)]" caption="Visit_Date (Month)" numFmtId="0" hierarchy="18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30">
    <cacheHierarchy uniqueName="[Campaign_Spend].[Spend_Date]" caption="Spend_Date" attribute="1" time="1" defaultMemberUniqueName="[Campaign_Spend].[Spend_Date].[All]" allUniqueName="[Campaign_Spend].[Spend_Date].[All]" dimensionUniqueName="[Campaign_Spend]" displayFolder="" count="0" memberValueDatatype="7" unbalanced="0"/>
    <cacheHierarchy uniqueName="[Campaign_Spend].[Channel]" caption="Channel" attribute="1" defaultMemberUniqueName="[Campaign_Spend].[Channel].[All]" allUniqueName="[Campaign_Spend].[Channel].[All]" dimensionUniqueName="[Campaign_Spend]" displayFolder="" count="0" memberValueDatatype="130" unbalanced="0"/>
    <cacheHierarchy uniqueName="[Campaign_Spend].[Ad_Spend]" caption="Ad_Spend" attribute="1" defaultMemberUniqueName="[Campaign_Spend].[Ad_Spend].[All]" allUniqueName="[Campaign_Spend].[Ad_Spend].[All]" dimensionUniqueName="[Campaign_Spend]" displayFolder="" count="0" memberValueDatatype="5" unbalanced="0"/>
    <cacheHierarchy uniqueName="[Campaign_Spend].[Impressions]" caption="Impressions" attribute="1" defaultMemberUniqueName="[Campaign_Spend].[Impressions].[All]" allUniqueName="[Campaign_Spend].[Impressions].[All]" dimensionUniqueName="[Campaign_Spend]" displayFolder="" count="0" memberValueDatatype="20" unbalanced="0"/>
    <cacheHierarchy uniqueName="[Campaign_Spend].[Clicks]" caption="Clicks" attribute="1" defaultMemberUniqueName="[Campaign_Spend].[Clicks].[All]" allUniqueName="[Campaign_Spend].[Clicks].[All]" dimensionUniqueName="[Campaign_Spend]" displayFolder="" count="0" memberValueDatatype="20" unbalanced="0"/>
    <cacheHierarchy uniqueName="[Campaign_Spend].[Spend_Date (Month)]" caption="Spend_Date (Month)" attribute="1" defaultMemberUniqueName="[Campaign_Spend].[Spend_Date (Month)].[All]" allUniqueName="[Campaign_Spend].[Spend_Date (Month)].[All]" dimensionUniqueName="[Campaign_Spend]" displayFolder="" count="0" memberValueDatatype="130" unbalanced="0"/>
    <cacheHierarchy uniqueName="[Sales_Orders].[Order_ID]" caption="Order_ID" attribute="1" defaultMemberUniqueName="[Sales_Orders].[Order_ID].[All]" allUniqueName="[Sales_Orders].[Order_ID].[All]" dimensionUniqueName="[Sales_Orders]" displayFolder="" count="0" memberValueDatatype="130" unbalanced="0"/>
    <cacheHierarchy uniqueName="[Sales_Orders].[Customer_ID]" caption="Customer_ID" attribute="1" defaultMemberUniqueName="[Sales_Orders].[Customer_ID].[All]" allUniqueName="[Sales_Orders].[Customer_ID].[All]" dimensionUniqueName="[Sales_Orders]" displayFolder="" count="0" memberValueDatatype="130" unbalanced="0"/>
    <cacheHierarchy uniqueName="[Sales_Orders].[Order_Date]" caption="Order_Date" attribute="1" time="1" defaultMemberUniqueName="[Sales_Orders].[Order_Date].[All]" allUniqueName="[Sales_Orders].[Order_Date].[All]" dimensionUniqueName="[Sales_Orders]" displayFolder="" count="0" memberValueDatatype="7" unbalanced="0"/>
    <cacheHierarchy uniqueName="[Sales_Orders].[Sale_Amount]" caption="Sale_Amount" attribute="1" defaultMemberUniqueName="[Sales_Orders].[Sale_Amount].[All]" allUniqueName="[Sales_Orders].[Sale_Amount].[All]" dimensionUniqueName="[Sales_Orders]" displayFolder="" count="0" memberValueDatatype="5" unbalanced="0"/>
    <cacheHierarchy uniqueName="[Sales_Orders].[Region]" caption="Region" attribute="1" defaultMemberUniqueName="[Sales_Orders].[Region].[All]" allUniqueName="[Sales_Orders].[Region].[All]" dimensionUniqueName="[Sales_Orders]" displayFolder="" count="0" memberValueDatatype="130" unbalanced="0"/>
    <cacheHierarchy uniqueName="[Sales_Orders].[State]" caption="State" attribute="1" defaultMemberUniqueName="[Sales_Orders].[State].[All]" allUniqueName="[Sales_Orders].[State].[All]" dimensionUniqueName="[Sales_Orders]" displayFolder="" count="0" memberValueDatatype="130" unbalanced="0"/>
    <cacheHierarchy uniqueName="[States_Sales].[State]" caption="State" attribute="1" defaultMemberUniqueName="[States_Sales].[State].[All]" allUniqueName="[States_Sales].[State].[All]" dimensionUniqueName="[States_Sales]" displayFolder="" count="0" memberValueDatatype="130" unbalanced="0"/>
    <cacheHierarchy uniqueName="[States_Sales].[Total_Sales]" caption="Total_Sales" attribute="1" defaultMemberUniqueName="[States_Sales].[Total_Sales].[All]" allUniqueName="[States_Sales].[Total_Sales].[All]" dimensionUniqueName="[States_Sales]" displayFolder="" count="0" memberValueDatatype="5" unbalanced="0"/>
    <cacheHierarchy uniqueName="[Web_Traffic].[Visit_Date]" caption="Visit_Date" attribute="1" time="1" defaultMemberUniqueName="[Web_Traffic].[Visit_Date].[All]" allUniqueName="[Web_Traffic].[Visit_Date].[All]" dimensionUniqueName="[Web_Traffic]" displayFolder="" count="2" memberValueDatatype="7" unbalanced="0">
      <fieldsUsage count="2">
        <fieldUsage x="-1"/>
        <fieldUsage x="1"/>
      </fieldsUsage>
    </cacheHierarchy>
    <cacheHierarchy uniqueName="[Web_Traffic].[Sessions]" caption="Sessions" attribute="1" defaultMemberUniqueName="[Web_Traffic].[Sessions].[All]" allUniqueName="[Web_Traffic].[Sessions].[All]" dimensionUniqueName="[Web_Traffic]" displayFolder="" count="0" memberValueDatatype="20" unbalanced="0"/>
    <cacheHierarchy uniqueName="[Web_Traffic].[Page_Views]" caption="Page_Views" attribute="1" defaultMemberUniqueName="[Web_Traffic].[Page_Views].[All]" allUniqueName="[Web_Traffic].[Page_Views].[All]" dimensionUniqueName="[Web_Traffic]" displayFolder="" count="0" memberValueDatatype="20" unbalanced="0"/>
    <cacheHierarchy uniqueName="[Web_Traffic].[Conversion_Rate]" caption="Conversion_Rate" attribute="1" defaultMemberUniqueName="[Web_Traffic].[Conversion_Rate].[All]" allUniqueName="[Web_Traffic].[Conversion_Rate].[All]" dimensionUniqueName="[Web_Traffic]" displayFolder="" count="0" memberValueDatatype="5" unbalanced="0"/>
    <cacheHierarchy uniqueName="[Web_Traffic].[Visit_Date (Month)]" caption="Visit_Date (Month)" attribute="1" defaultMemberUniqueName="[Web_Traffic].[Visit_Date (Month)].[All]" allUniqueName="[Web_Traffic].[Visit_Date (Month)].[All]" dimensionUniqueName="[Web_Traffic]" displayFolder="" count="2" memberValueDatatype="130" unbalanced="0">
      <fieldsUsage count="2">
        <fieldUsage x="-1"/>
        <fieldUsage x="2"/>
      </fieldsUsage>
    </cacheHierarchy>
    <cacheHierarchy uniqueName="[Campaign_Spend].[Spend_Date (Month Index)]" caption="Spend_Date (Month Index)" attribute="1" defaultMemberUniqueName="[Campaign_Spend].[Spend_Date (Month Index)].[All]" allUniqueName="[Campaign_Spend].[Spend_Date (Month Index)].[All]" dimensionUniqueName="[Campaign_Spend]" displayFolder="" count="0" memberValueDatatype="20" unbalanced="0" hidden="1"/>
    <cacheHierarchy uniqueName="[Web_Traffic].[Visit_Date (Month Index)]" caption="Visit_Date (Month Index)" attribute="1" defaultMemberUniqueName="[Web_Traffic].[Visit_Date (Month Index)].[All]" allUniqueName="[Web_Traffic].[Visit_Date (Month Index)].[All]" dimensionUniqueName="[Web_Traffic]" displayFolder="" count="0" memberValueDatatype="20" unbalanced="0" hidden="1"/>
    <cacheHierarchy uniqueName="[Measures].[__XL_Count States_Sales]" caption="__XL_Count States_Sales" measure="1" displayFolder="" measureGroup="States_Sales" count="0" hidden="1"/>
    <cacheHierarchy uniqueName="[Measures].[__XL_Count Sales_Orders]" caption="__XL_Count Sales_Orders" measure="1" displayFolder="" measureGroup="Sales_Orders" count="0" hidden="1"/>
    <cacheHierarchy uniqueName="[Measures].[__XL_Count Campaign_Spend]" caption="__XL_Count Campaign_Spend" measure="1" displayFolder="" measureGroup="Campaign_Spend" count="0" hidden="1"/>
    <cacheHierarchy uniqueName="[Measures].[__XL_Count Web_Traffic]" caption="__XL_Count Web_Traffic" measure="1" displayFolder="" measureGroup="Web_Traffic" count="0" hidden="1"/>
    <cacheHierarchy uniqueName="[Measures].[__No measures defined]" caption="__No measures defined" measure="1" displayFolder="" count="0" hidden="1"/>
    <cacheHierarchy uniqueName="[Measures].[Sum of Page_Views]" caption="Sum of Page_Views" measure="1" displayFolder="" measureGroup="Web_Traffic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_Amount]" caption="Sum of Sale_Amount" measure="1" displayFolder="" measureGroup="Sales_Order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d_Spend]" caption="Sum of Ad_Spend" measure="1" displayFolder="" measureGroup="Campaign_Spen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_Sales]" caption="Sum of Total_Sales" measure="1" displayFolder="" measureGroup="States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ampaign_Spend" uniqueName="[Campaign_Spend]" caption="Campaign_Spend"/>
    <dimension measure="1" name="Measures" uniqueName="[Measures]" caption="Measures"/>
    <dimension name="Sales_Orders" uniqueName="[Sales_Orders]" caption="Sales_Orders"/>
    <dimension name="States_Sales" uniqueName="[States_Sales]" caption="States_Sales"/>
    <dimension name="Web_Traffic" uniqueName="[Web_Traffic]" caption="Web_Traffic"/>
  </dimensions>
  <measureGroups count="4">
    <measureGroup name="Campaign_Spend" caption="Campaign_Spend"/>
    <measureGroup name="Sales_Orders" caption="Sales_Orders"/>
    <measureGroup name="States_Sales" caption="States_Sales"/>
    <measureGroup name="Web_Traffic" caption="Web_Traffic"/>
  </measureGroups>
  <maps count="6">
    <map measureGroup="0" dimension="0"/>
    <map measureGroup="0" dimension="4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bert Bukit" refreshedDate="46174.077448379627" createdVersion="5" refreshedVersion="8" minRefreshableVersion="3" recordCount="0" supportSubquery="1" supportAdvancedDrill="1" xr:uid="{7EF69BCB-6FCF-4FFB-92FF-88AA7D11AA7D}">
  <cacheSource type="external" connectionId="5"/>
  <cacheFields count="2">
    <cacheField name="[Sales_Orders].[Region].[Region]" caption="Region" numFmtId="0" hierarchy="10" level="1">
      <sharedItems count="4">
        <s v="Midwest"/>
        <s v="North"/>
        <s v="South"/>
        <s v="West"/>
      </sharedItems>
    </cacheField>
    <cacheField name="[Measures].[Sum of Sale_Amount]" caption="Sum of Sale_Amount" numFmtId="0" hierarchy="27" level="32767"/>
  </cacheFields>
  <cacheHierarchies count="30">
    <cacheHierarchy uniqueName="[Campaign_Spend].[Spend_Date]" caption="Spend_Date" attribute="1" time="1" defaultMemberUniqueName="[Campaign_Spend].[Spend_Date].[All]" allUniqueName="[Campaign_Spend].[Spend_Date].[All]" dimensionUniqueName="[Campaign_Spend]" displayFolder="" count="0" memberValueDatatype="7" unbalanced="0"/>
    <cacheHierarchy uniqueName="[Campaign_Spend].[Channel]" caption="Channel" attribute="1" defaultMemberUniqueName="[Campaign_Spend].[Channel].[All]" allUniqueName="[Campaign_Spend].[Channel].[All]" dimensionUniqueName="[Campaign_Spend]" displayFolder="" count="0" memberValueDatatype="130" unbalanced="0"/>
    <cacheHierarchy uniqueName="[Campaign_Spend].[Ad_Spend]" caption="Ad_Spend" attribute="1" defaultMemberUniqueName="[Campaign_Spend].[Ad_Spend].[All]" allUniqueName="[Campaign_Spend].[Ad_Spend].[All]" dimensionUniqueName="[Campaign_Spend]" displayFolder="" count="0" memberValueDatatype="5" unbalanced="0"/>
    <cacheHierarchy uniqueName="[Campaign_Spend].[Impressions]" caption="Impressions" attribute="1" defaultMemberUniqueName="[Campaign_Spend].[Impressions].[All]" allUniqueName="[Campaign_Spend].[Impressions].[All]" dimensionUniqueName="[Campaign_Spend]" displayFolder="" count="0" memberValueDatatype="20" unbalanced="0"/>
    <cacheHierarchy uniqueName="[Campaign_Spend].[Clicks]" caption="Clicks" attribute="1" defaultMemberUniqueName="[Campaign_Spend].[Clicks].[All]" allUniqueName="[Campaign_Spend].[Clicks].[All]" dimensionUniqueName="[Campaign_Spend]" displayFolder="" count="0" memberValueDatatype="20" unbalanced="0"/>
    <cacheHierarchy uniqueName="[Campaign_Spend].[Spend_Date (Month)]" caption="Spend_Date (Month)" attribute="1" defaultMemberUniqueName="[Campaign_Spend].[Spend_Date (Month)].[All]" allUniqueName="[Campaign_Spend].[Spend_Date (Month)].[All]" dimensionUniqueName="[Campaign_Spend]" displayFolder="" count="0" memberValueDatatype="130" unbalanced="0"/>
    <cacheHierarchy uniqueName="[Sales_Orders].[Order_ID]" caption="Order_ID" attribute="1" defaultMemberUniqueName="[Sales_Orders].[Order_ID].[All]" allUniqueName="[Sales_Orders].[Order_ID].[All]" dimensionUniqueName="[Sales_Orders]" displayFolder="" count="0" memberValueDatatype="130" unbalanced="0"/>
    <cacheHierarchy uniqueName="[Sales_Orders].[Customer_ID]" caption="Customer_ID" attribute="1" defaultMemberUniqueName="[Sales_Orders].[Customer_ID].[All]" allUniqueName="[Sales_Orders].[Customer_ID].[All]" dimensionUniqueName="[Sales_Orders]" displayFolder="" count="0" memberValueDatatype="130" unbalanced="0"/>
    <cacheHierarchy uniqueName="[Sales_Orders].[Order_Date]" caption="Order_Date" attribute="1" time="1" defaultMemberUniqueName="[Sales_Orders].[Order_Date].[All]" allUniqueName="[Sales_Orders].[Order_Date].[All]" dimensionUniqueName="[Sales_Orders]" displayFolder="" count="0" memberValueDatatype="7" unbalanced="0"/>
    <cacheHierarchy uniqueName="[Sales_Orders].[Sale_Amount]" caption="Sale_Amount" attribute="1" defaultMemberUniqueName="[Sales_Orders].[Sale_Amount].[All]" allUniqueName="[Sales_Orders].[Sale_Amount].[All]" dimensionUniqueName="[Sales_Orders]" displayFolder="" count="0" memberValueDatatype="5" unbalanced="0"/>
    <cacheHierarchy uniqueName="[Sales_Orders].[Region]" caption="Region" attribute="1" defaultMemberUniqueName="[Sales_Orders].[Region].[All]" allUniqueName="[Sales_Orders].[Region].[All]" dimensionUniqueName="[Sales_Orders]" displayFolder="" count="2" memberValueDatatype="130" unbalanced="0">
      <fieldsUsage count="2">
        <fieldUsage x="-1"/>
        <fieldUsage x="0"/>
      </fieldsUsage>
    </cacheHierarchy>
    <cacheHierarchy uniqueName="[Sales_Orders].[State]" caption="State" attribute="1" defaultMemberUniqueName="[Sales_Orders].[State].[All]" allUniqueName="[Sales_Orders].[State].[All]" dimensionUniqueName="[Sales_Orders]" displayFolder="" count="0" memberValueDatatype="130" unbalanced="0"/>
    <cacheHierarchy uniqueName="[States_Sales].[State]" caption="State" attribute="1" defaultMemberUniqueName="[States_Sales].[State].[All]" allUniqueName="[States_Sales].[State].[All]" dimensionUniqueName="[States_Sales]" displayFolder="" count="0" memberValueDatatype="130" unbalanced="0"/>
    <cacheHierarchy uniqueName="[States_Sales].[Total_Sales]" caption="Total_Sales" attribute="1" defaultMemberUniqueName="[States_Sales].[Total_Sales].[All]" allUniqueName="[States_Sales].[Total_Sales].[All]" dimensionUniqueName="[States_Sales]" displayFolder="" count="0" memberValueDatatype="5" unbalanced="0"/>
    <cacheHierarchy uniqueName="[Web_Traffic].[Visit_Date]" caption="Visit_Date" attribute="1" time="1" defaultMemberUniqueName="[Web_Traffic].[Visit_Date].[All]" allUniqueName="[Web_Traffic].[Visit_Date].[All]" dimensionUniqueName="[Web_Traffic]" displayFolder="" count="0" memberValueDatatype="7" unbalanced="0"/>
    <cacheHierarchy uniqueName="[Web_Traffic].[Sessions]" caption="Sessions" attribute="1" defaultMemberUniqueName="[Web_Traffic].[Sessions].[All]" allUniqueName="[Web_Traffic].[Sessions].[All]" dimensionUniqueName="[Web_Traffic]" displayFolder="" count="0" memberValueDatatype="20" unbalanced="0"/>
    <cacheHierarchy uniqueName="[Web_Traffic].[Page_Views]" caption="Page_Views" attribute="1" defaultMemberUniqueName="[Web_Traffic].[Page_Views].[All]" allUniqueName="[Web_Traffic].[Page_Views].[All]" dimensionUniqueName="[Web_Traffic]" displayFolder="" count="0" memberValueDatatype="20" unbalanced="0"/>
    <cacheHierarchy uniqueName="[Web_Traffic].[Conversion_Rate]" caption="Conversion_Rate" attribute="1" defaultMemberUniqueName="[Web_Traffic].[Conversion_Rate].[All]" allUniqueName="[Web_Traffic].[Conversion_Rate].[All]" dimensionUniqueName="[Web_Traffic]" displayFolder="" count="0" memberValueDatatype="5" unbalanced="0"/>
    <cacheHierarchy uniqueName="[Web_Traffic].[Visit_Date (Month)]" caption="Visit_Date (Month)" attribute="1" defaultMemberUniqueName="[Web_Traffic].[Visit_Date (Month)].[All]" allUniqueName="[Web_Traffic].[Visit_Date (Month)].[All]" dimensionUniqueName="[Web_Traffic]" displayFolder="" count="0" memberValueDatatype="130" unbalanced="0"/>
    <cacheHierarchy uniqueName="[Campaign_Spend].[Spend_Date (Month Index)]" caption="Spend_Date (Month Index)" attribute="1" defaultMemberUniqueName="[Campaign_Spend].[Spend_Date (Month Index)].[All]" allUniqueName="[Campaign_Spend].[Spend_Date (Month Index)].[All]" dimensionUniqueName="[Campaign_Spend]" displayFolder="" count="0" memberValueDatatype="20" unbalanced="0" hidden="1"/>
    <cacheHierarchy uniqueName="[Web_Traffic].[Visit_Date (Month Index)]" caption="Visit_Date (Month Index)" attribute="1" defaultMemberUniqueName="[Web_Traffic].[Visit_Date (Month Index)].[All]" allUniqueName="[Web_Traffic].[Visit_Date (Month Index)].[All]" dimensionUniqueName="[Web_Traffic]" displayFolder="" count="0" memberValueDatatype="20" unbalanced="0" hidden="1"/>
    <cacheHierarchy uniqueName="[Measures].[__XL_Count States_Sales]" caption="__XL_Count States_Sales" measure="1" displayFolder="" measureGroup="States_Sales" count="0" hidden="1"/>
    <cacheHierarchy uniqueName="[Measures].[__XL_Count Sales_Orders]" caption="__XL_Count Sales_Orders" measure="1" displayFolder="" measureGroup="Sales_Orders" count="0" hidden="1"/>
    <cacheHierarchy uniqueName="[Measures].[__XL_Count Campaign_Spend]" caption="__XL_Count Campaign_Spend" measure="1" displayFolder="" measureGroup="Campaign_Spend" count="0" hidden="1"/>
    <cacheHierarchy uniqueName="[Measures].[__XL_Count Web_Traffic]" caption="__XL_Count Web_Traffic" measure="1" displayFolder="" measureGroup="Web_Traffic" count="0" hidden="1"/>
    <cacheHierarchy uniqueName="[Measures].[__No measures defined]" caption="__No measures defined" measure="1" displayFolder="" count="0" hidden="1"/>
    <cacheHierarchy uniqueName="[Measures].[Sum of Page_Views]" caption="Sum of Page_Views" measure="1" displayFolder="" measureGroup="Web_Traffic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Sale_Amount]" caption="Sum of Sale_Amount" measure="1" displayFolder="" measureGroup="Sales_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d_Spend]" caption="Sum of Ad_Spend" measure="1" displayFolder="" measureGroup="Campaign_Spend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Total_Sales]" caption="Sum of Total_Sales" measure="1" displayFolder="" measureGroup="States_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5">
    <dimension name="Campaign_Spend" uniqueName="[Campaign_Spend]" caption="Campaign_Spend"/>
    <dimension measure="1" name="Measures" uniqueName="[Measures]" caption="Measures"/>
    <dimension name="Sales_Orders" uniqueName="[Sales_Orders]" caption="Sales_Orders"/>
    <dimension name="States_Sales" uniqueName="[States_Sales]" caption="States_Sales"/>
    <dimension name="Web_Traffic" uniqueName="[Web_Traffic]" caption="Web_Traffic"/>
  </dimensions>
  <measureGroups count="4">
    <measureGroup name="Campaign_Spend" caption="Campaign_Spend"/>
    <measureGroup name="Sales_Orders" caption="Sales_Orders"/>
    <measureGroup name="States_Sales" caption="States_Sales"/>
    <measureGroup name="Web_Traffic" caption="Web_Traffic"/>
  </measureGroups>
  <maps count="6">
    <map measureGroup="0" dimension="0"/>
    <map measureGroup="0" dimension="4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2024"/>
    <s v="Q1"/>
    <s v="Jan"/>
    <n v="1"/>
    <n v="1184.6199999999999"/>
    <n v="904"/>
    <n v="1808"/>
    <n v="1.3599999999999999E-2"/>
    <n v="1520.19"/>
    <n v="51655"/>
    <n v="612"/>
  </r>
  <r>
    <x v="1"/>
    <n v="2024"/>
    <s v="Q1"/>
    <s v="Jan"/>
    <n v="1"/>
    <n v="622.96"/>
    <n v="531"/>
    <n v="1593"/>
    <n v="2.6100000000000002E-2"/>
    <n v="2065.83"/>
    <n v="64387"/>
    <n v="2739"/>
  </r>
  <r>
    <x v="2"/>
    <n v="2024"/>
    <s v="Q1"/>
    <s v="Jan"/>
    <n v="1"/>
    <n v="1271.98"/>
    <n v="1004"/>
    <n v="2008"/>
    <n v="5.4600000000000003E-2"/>
    <n v="333.1"/>
    <n v="16517"/>
    <n v="1488"/>
  </r>
  <r>
    <x v="3"/>
    <n v="2024"/>
    <s v="Q1"/>
    <s v="Jan"/>
    <n v="1"/>
    <n v="957.31"/>
    <n v="1163"/>
    <n v="6978"/>
    <n v="1.7500000000000002E-2"/>
    <n v="0"/>
    <n v="0"/>
    <n v="0"/>
  </r>
  <r>
    <x v="4"/>
    <n v="2024"/>
    <s v="Q1"/>
    <s v="Jan"/>
    <n v="1"/>
    <n v="811.09"/>
    <n v="682"/>
    <n v="1364"/>
    <n v="1.3899999999999999E-2"/>
    <n v="2790.05"/>
    <n v="73261"/>
    <n v="3902"/>
  </r>
  <r>
    <x v="5"/>
    <n v="2024"/>
    <s v="Q1"/>
    <s v="Jan"/>
    <n v="1"/>
    <n v="1518.82"/>
    <n v="473"/>
    <n v="1419"/>
    <n v="4.3799999999999999E-2"/>
    <n v="0"/>
    <n v="0"/>
    <n v="0"/>
  </r>
  <r>
    <x v="6"/>
    <n v="2024"/>
    <s v="Q1"/>
    <s v="Jan"/>
    <n v="1"/>
    <n v="986.86"/>
    <n v="277"/>
    <n v="1662"/>
    <n v="2.4500000000000001E-2"/>
    <n v="1964.53"/>
    <n v="55156"/>
    <n v="2157"/>
  </r>
  <r>
    <x v="7"/>
    <n v="2024"/>
    <s v="Q1"/>
    <s v="Jan"/>
    <n v="1"/>
    <n v="1226.95"/>
    <n v="915"/>
    <n v="5490"/>
    <n v="3.8399999999999997E-2"/>
    <n v="1127.73"/>
    <n v="9688"/>
    <n v="1559"/>
  </r>
  <r>
    <x v="8"/>
    <n v="2024"/>
    <s v="Q1"/>
    <s v="Jan"/>
    <n v="1"/>
    <n v="876.81"/>
    <n v="709"/>
    <n v="4254"/>
    <n v="2.9499999999999998E-2"/>
    <n v="1894.91"/>
    <n v="68261"/>
    <n v="3200"/>
  </r>
  <r>
    <x v="9"/>
    <n v="2024"/>
    <s v="Q1"/>
    <s v="Jan"/>
    <n v="1"/>
    <n v="867.73"/>
    <n v="1140"/>
    <n v="2280"/>
    <n v="5.9799999999999999E-2"/>
    <n v="2017.89"/>
    <n v="55638"/>
    <n v="2658"/>
  </r>
  <r>
    <x v="10"/>
    <n v="2024"/>
    <s v="Q1"/>
    <s v="Jan"/>
    <n v="1"/>
    <n v="724.81"/>
    <n v="413"/>
    <n v="2065"/>
    <n v="3.3399999999999999E-2"/>
    <n v="1585.2"/>
    <n v="32532"/>
    <n v="2021"/>
  </r>
  <r>
    <x v="11"/>
    <n v="2024"/>
    <s v="Q1"/>
    <s v="Jan"/>
    <n v="1"/>
    <n v="1417.67"/>
    <n v="409"/>
    <n v="1227"/>
    <n v="7.2300000000000003E-2"/>
    <n v="534.27"/>
    <n v="46830"/>
    <n v="3209"/>
  </r>
  <r>
    <x v="12"/>
    <n v="2024"/>
    <s v="Q1"/>
    <s v="Jan"/>
    <n v="1"/>
    <n v="1140.27"/>
    <n v="594"/>
    <n v="1188"/>
    <n v="1.78E-2"/>
    <n v="1102.54"/>
    <n v="16507"/>
    <n v="1356"/>
  </r>
  <r>
    <x v="13"/>
    <n v="2024"/>
    <s v="Q1"/>
    <s v="Jan"/>
    <n v="1"/>
    <n v="0"/>
    <n v="349"/>
    <n v="1396"/>
    <n v="6.54E-2"/>
    <n v="690.99"/>
    <n v="44954"/>
    <n v="2415"/>
  </r>
  <r>
    <x v="14"/>
    <n v="2024"/>
    <s v="Q1"/>
    <s v="Jan"/>
    <n v="1"/>
    <n v="1745.88"/>
    <n v="868"/>
    <n v="3472"/>
    <n v="6.2799999999999995E-2"/>
    <n v="102.28"/>
    <n v="44038"/>
    <n v="1609"/>
  </r>
  <r>
    <x v="15"/>
    <n v="2024"/>
    <s v="Q1"/>
    <s v="Jan"/>
    <n v="1"/>
    <n v="1285.8"/>
    <n v="997"/>
    <n v="4985"/>
    <n v="4.58E-2"/>
    <n v="0"/>
    <n v="0"/>
    <n v="0"/>
  </r>
  <r>
    <x v="16"/>
    <n v="2024"/>
    <s v="Q1"/>
    <s v="Jan"/>
    <n v="1"/>
    <n v="3167.67"/>
    <n v="1194"/>
    <n v="5970"/>
    <n v="1.7000000000000001E-2"/>
    <n v="1036.27"/>
    <n v="37593"/>
    <n v="2759"/>
  </r>
  <r>
    <x v="17"/>
    <n v="2024"/>
    <s v="Q1"/>
    <s v="Jan"/>
    <n v="1"/>
    <n v="1189.21"/>
    <n v="550"/>
    <n v="3300"/>
    <n v="6.7799999999999999E-2"/>
    <n v="810.54"/>
    <n v="24303"/>
    <n v="775"/>
  </r>
  <r>
    <x v="18"/>
    <n v="2024"/>
    <s v="Q1"/>
    <s v="Jan"/>
    <n v="1"/>
    <n v="105.73"/>
    <n v="620"/>
    <n v="3720"/>
    <n v="2.41E-2"/>
    <n v="319.99"/>
    <n v="20833"/>
    <n v="495"/>
  </r>
  <r>
    <x v="19"/>
    <n v="2024"/>
    <s v="Q1"/>
    <s v="Jan"/>
    <n v="1"/>
    <n v="860.96"/>
    <n v="321"/>
    <n v="642"/>
    <n v="5.3699999999999998E-2"/>
    <n v="1058.03"/>
    <n v="18763"/>
    <n v="1609"/>
  </r>
  <r>
    <x v="20"/>
    <n v="2024"/>
    <s v="Q1"/>
    <s v="Jan"/>
    <n v="1"/>
    <n v="3162.84"/>
    <n v="1041"/>
    <n v="4164"/>
    <n v="7.4099999999999999E-2"/>
    <n v="94.75"/>
    <n v="23826"/>
    <n v="1676"/>
  </r>
  <r>
    <x v="21"/>
    <n v="2024"/>
    <s v="Q1"/>
    <s v="Jan"/>
    <n v="1"/>
    <n v="1154.3599999999999"/>
    <n v="1125"/>
    <n v="3375"/>
    <n v="6.6600000000000006E-2"/>
    <n v="2606.29"/>
    <n v="135252"/>
    <n v="3697"/>
  </r>
  <r>
    <x v="22"/>
    <n v="2024"/>
    <s v="Q1"/>
    <s v="Jan"/>
    <n v="1"/>
    <n v="2063.86"/>
    <n v="639"/>
    <n v="2556"/>
    <n v="4.0599999999999997E-2"/>
    <n v="1809.48"/>
    <n v="85540"/>
    <n v="1016"/>
  </r>
  <r>
    <x v="23"/>
    <n v="2024"/>
    <s v="Q1"/>
    <s v="Jan"/>
    <n v="1"/>
    <n v="1574.13"/>
    <n v="1104"/>
    <n v="4416"/>
    <n v="2.2200000000000001E-2"/>
    <n v="1074.3900000000001"/>
    <n v="60045"/>
    <n v="1192"/>
  </r>
  <r>
    <x v="24"/>
    <n v="2024"/>
    <s v="Q1"/>
    <s v="Jan"/>
    <n v="1"/>
    <n v="0"/>
    <n v="613"/>
    <n v="1839"/>
    <n v="5.4199999999999998E-2"/>
    <n v="0"/>
    <n v="0"/>
    <n v="0"/>
  </r>
  <r>
    <x v="25"/>
    <n v="2024"/>
    <s v="Q1"/>
    <s v="Jan"/>
    <n v="1"/>
    <n v="414.01"/>
    <n v="968"/>
    <n v="1936"/>
    <n v="5.04E-2"/>
    <n v="968.32"/>
    <n v="58271"/>
    <n v="1500"/>
  </r>
  <r>
    <x v="26"/>
    <n v="2024"/>
    <s v="Q1"/>
    <s v="Jan"/>
    <n v="1"/>
    <n v="1309.82"/>
    <n v="425"/>
    <n v="2550"/>
    <n v="5.79E-2"/>
    <n v="740.47"/>
    <n v="25045"/>
    <n v="242"/>
  </r>
  <r>
    <x v="27"/>
    <n v="2024"/>
    <s v="Q1"/>
    <s v="Jan"/>
    <n v="1"/>
    <n v="699.13"/>
    <n v="417"/>
    <n v="2085"/>
    <n v="3.5900000000000001E-2"/>
    <n v="3746.88"/>
    <n v="76592"/>
    <n v="3176"/>
  </r>
  <r>
    <x v="28"/>
    <n v="2024"/>
    <s v="Q1"/>
    <s v="Jan"/>
    <n v="1"/>
    <n v="1611.25"/>
    <n v="1197"/>
    <n v="7182"/>
    <n v="2.58E-2"/>
    <n v="2866.62"/>
    <n v="106416"/>
    <n v="4614"/>
  </r>
  <r>
    <x v="29"/>
    <n v="2024"/>
    <s v="Q1"/>
    <s v="Jan"/>
    <n v="1"/>
    <n v="1609.29"/>
    <n v="582"/>
    <n v="1164"/>
    <n v="2.64E-2"/>
    <n v="88.03"/>
    <n v="5313"/>
    <n v="768"/>
  </r>
  <r>
    <x v="30"/>
    <n v="2024"/>
    <s v="Q1"/>
    <s v="Jan"/>
    <n v="1"/>
    <n v="1678.49"/>
    <n v="282"/>
    <n v="1128"/>
    <n v="3.73E-2"/>
    <n v="1647.53"/>
    <n v="50065"/>
    <n v="3194"/>
  </r>
  <r>
    <x v="31"/>
    <n v="2024"/>
    <s v="Q1"/>
    <s v="Feb"/>
    <n v="2"/>
    <n v="582.6"/>
    <n v="317"/>
    <n v="951"/>
    <n v="6.9500000000000006E-2"/>
    <n v="825.37"/>
    <n v="72966"/>
    <n v="2476"/>
  </r>
  <r>
    <x v="32"/>
    <n v="2024"/>
    <s v="Q1"/>
    <s v="Feb"/>
    <n v="2"/>
    <n v="306.08"/>
    <n v="830"/>
    <n v="3320"/>
    <n v="2.5399999999999999E-2"/>
    <n v="3023.79"/>
    <n v="31137"/>
    <n v="3827"/>
  </r>
  <r>
    <x v="33"/>
    <n v="2024"/>
    <s v="Q1"/>
    <s v="Feb"/>
    <n v="2"/>
    <n v="561.12"/>
    <n v="761"/>
    <n v="3805"/>
    <n v="6.7699999999999996E-2"/>
    <n v="1087.8699999999999"/>
    <n v="31060"/>
    <n v="1687"/>
  </r>
  <r>
    <x v="34"/>
    <n v="2024"/>
    <s v="Q1"/>
    <s v="Feb"/>
    <n v="2"/>
    <n v="546.79"/>
    <n v="908"/>
    <n v="4540"/>
    <n v="2.1000000000000001E-2"/>
    <n v="496.31"/>
    <n v="28041"/>
    <n v="1160"/>
  </r>
  <r>
    <x v="35"/>
    <n v="2024"/>
    <s v="Q1"/>
    <s v="Feb"/>
    <n v="2"/>
    <n v="1094.83"/>
    <n v="392"/>
    <n v="1176"/>
    <n v="5.8900000000000001E-2"/>
    <n v="484.94"/>
    <n v="10664"/>
    <n v="252"/>
  </r>
  <r>
    <x v="36"/>
    <n v="2024"/>
    <s v="Q1"/>
    <s v="Feb"/>
    <n v="2"/>
    <n v="309.22000000000003"/>
    <n v="801"/>
    <n v="3204"/>
    <n v="5.91E-2"/>
    <n v="1174.95"/>
    <n v="52453"/>
    <n v="931"/>
  </r>
  <r>
    <x v="37"/>
    <n v="2024"/>
    <s v="Q1"/>
    <s v="Feb"/>
    <n v="2"/>
    <n v="0"/>
    <n v="688"/>
    <n v="4128"/>
    <n v="3.7199999999999997E-2"/>
    <n v="1801.97"/>
    <n v="71577"/>
    <n v="2018"/>
  </r>
  <r>
    <x v="38"/>
    <n v="2024"/>
    <s v="Q1"/>
    <s v="Feb"/>
    <n v="2"/>
    <n v="198.07"/>
    <n v="474"/>
    <n v="1422"/>
    <n v="4.41E-2"/>
    <n v="1978.95"/>
    <n v="105842"/>
    <n v="2563"/>
  </r>
  <r>
    <x v="39"/>
    <n v="2024"/>
    <s v="Q1"/>
    <s v="Feb"/>
    <n v="2"/>
    <n v="1593.91"/>
    <n v="343"/>
    <n v="686"/>
    <n v="6.6199999999999995E-2"/>
    <n v="1843.32"/>
    <n v="43395"/>
    <n v="3662"/>
  </r>
  <r>
    <x v="40"/>
    <n v="2024"/>
    <s v="Q1"/>
    <s v="Feb"/>
    <n v="2"/>
    <n v="2340.77"/>
    <n v="406"/>
    <n v="1218"/>
    <n v="6.1899999999999997E-2"/>
    <n v="1112.6099999999999"/>
    <n v="44989"/>
    <n v="555"/>
  </r>
  <r>
    <x v="41"/>
    <n v="2024"/>
    <s v="Q1"/>
    <s v="Feb"/>
    <n v="2"/>
    <n v="479.98"/>
    <n v="682"/>
    <n v="4092"/>
    <n v="1.6E-2"/>
    <n v="432.52"/>
    <n v="13588"/>
    <n v="671"/>
  </r>
  <r>
    <x v="42"/>
    <n v="2024"/>
    <s v="Q1"/>
    <s v="Feb"/>
    <n v="2"/>
    <n v="668.36"/>
    <n v="640"/>
    <n v="3840"/>
    <n v="7.4800000000000005E-2"/>
    <n v="878.81"/>
    <n v="79115"/>
    <n v="2580"/>
  </r>
  <r>
    <x v="43"/>
    <n v="2024"/>
    <s v="Q1"/>
    <s v="Feb"/>
    <n v="2"/>
    <n v="1485.35"/>
    <n v="791"/>
    <n v="3164"/>
    <n v="7.3200000000000001E-2"/>
    <n v="1831.29"/>
    <n v="81362"/>
    <n v="2712"/>
  </r>
  <r>
    <x v="44"/>
    <n v="2024"/>
    <s v="Q1"/>
    <s v="Feb"/>
    <n v="2"/>
    <n v="609.95000000000005"/>
    <n v="1131"/>
    <n v="2262"/>
    <n v="5.4899999999999997E-2"/>
    <n v="1109.8900000000001"/>
    <n v="61474"/>
    <n v="2431"/>
  </r>
  <r>
    <x v="45"/>
    <n v="2024"/>
    <s v="Q1"/>
    <s v="Feb"/>
    <n v="2"/>
    <n v="2258.44"/>
    <n v="367"/>
    <n v="2202"/>
    <n v="5.9299999999999999E-2"/>
    <n v="1580.68"/>
    <n v="60588"/>
    <n v="3486"/>
  </r>
  <r>
    <x v="46"/>
    <n v="2024"/>
    <s v="Q1"/>
    <s v="Feb"/>
    <n v="2"/>
    <n v="1102.1600000000001"/>
    <n v="1037"/>
    <n v="4148"/>
    <n v="1.9E-2"/>
    <n v="3882.24"/>
    <n v="147262"/>
    <n v="5588"/>
  </r>
  <r>
    <x v="47"/>
    <n v="2024"/>
    <s v="Q1"/>
    <s v="Feb"/>
    <n v="2"/>
    <n v="1442.59"/>
    <n v="695"/>
    <n v="2085"/>
    <n v="4.0599999999999997E-2"/>
    <n v="0"/>
    <n v="0"/>
    <n v="0"/>
  </r>
  <r>
    <x v="48"/>
    <n v="2024"/>
    <s v="Q1"/>
    <s v="Feb"/>
    <n v="2"/>
    <n v="571.19000000000005"/>
    <n v="989"/>
    <n v="3956"/>
    <n v="7.3200000000000001E-2"/>
    <n v="776.85"/>
    <n v="57412"/>
    <n v="1582"/>
  </r>
  <r>
    <x v="49"/>
    <n v="2024"/>
    <s v="Q1"/>
    <s v="Feb"/>
    <n v="2"/>
    <n v="2234.9299999999998"/>
    <n v="1030"/>
    <n v="3090"/>
    <n v="4.3999999999999997E-2"/>
    <n v="907.11"/>
    <n v="68911"/>
    <n v="1848"/>
  </r>
  <r>
    <x v="50"/>
    <n v="2024"/>
    <s v="Q1"/>
    <s v="Feb"/>
    <n v="2"/>
    <n v="2551.69"/>
    <n v="358"/>
    <n v="1432"/>
    <n v="6.5000000000000002E-2"/>
    <n v="385.69"/>
    <n v="19334"/>
    <n v="1660"/>
  </r>
  <r>
    <x v="51"/>
    <n v="2024"/>
    <s v="Q1"/>
    <s v="Feb"/>
    <n v="2"/>
    <n v="1896.08"/>
    <n v="769"/>
    <n v="4614"/>
    <n v="2.4500000000000001E-2"/>
    <n v="2491.34"/>
    <n v="76569"/>
    <n v="2434"/>
  </r>
  <r>
    <x v="52"/>
    <n v="2024"/>
    <s v="Q1"/>
    <s v="Feb"/>
    <n v="2"/>
    <n v="1244.3"/>
    <n v="632"/>
    <n v="1896"/>
    <n v="4.5999999999999999E-2"/>
    <n v="941.23"/>
    <n v="72438"/>
    <n v="1118"/>
  </r>
  <r>
    <x v="53"/>
    <n v="2024"/>
    <s v="Q1"/>
    <s v="Feb"/>
    <n v="2"/>
    <n v="921.04"/>
    <n v="1047"/>
    <n v="6282"/>
    <n v="6.9900000000000004E-2"/>
    <n v="1196.79"/>
    <n v="38149"/>
    <n v="1621"/>
  </r>
  <r>
    <x v="54"/>
    <n v="2024"/>
    <s v="Q1"/>
    <s v="Feb"/>
    <n v="2"/>
    <n v="2188.87"/>
    <n v="863"/>
    <n v="3452"/>
    <n v="4.2799999999999998E-2"/>
    <n v="456.33"/>
    <n v="50134"/>
    <n v="1650"/>
  </r>
  <r>
    <x v="55"/>
    <n v="2024"/>
    <s v="Q1"/>
    <s v="Feb"/>
    <n v="2"/>
    <n v="1000.04"/>
    <n v="364"/>
    <n v="1456"/>
    <n v="6.7400000000000002E-2"/>
    <n v="2247.06"/>
    <n v="53661"/>
    <n v="2234"/>
  </r>
  <r>
    <x v="56"/>
    <n v="2024"/>
    <s v="Q1"/>
    <s v="Feb"/>
    <n v="2"/>
    <n v="1325.81"/>
    <n v="1101"/>
    <n v="4404"/>
    <n v="2.7099999999999999E-2"/>
    <n v="0"/>
    <n v="0"/>
    <n v="0"/>
  </r>
  <r>
    <x v="57"/>
    <n v="2024"/>
    <s v="Q1"/>
    <s v="Feb"/>
    <n v="2"/>
    <n v="831.07"/>
    <n v="496"/>
    <n v="2976"/>
    <n v="7.17E-2"/>
    <n v="980.9"/>
    <n v="29475"/>
    <n v="1289"/>
  </r>
  <r>
    <x v="58"/>
    <n v="2024"/>
    <s v="Q1"/>
    <s v="Feb"/>
    <n v="2"/>
    <n v="1415.73"/>
    <n v="337"/>
    <n v="1685"/>
    <n v="6.3399999999999998E-2"/>
    <n v="2975.46"/>
    <n v="167696"/>
    <n v="2811"/>
  </r>
  <r>
    <x v="59"/>
    <n v="2024"/>
    <s v="Q1"/>
    <s v="Feb"/>
    <n v="2"/>
    <n v="980.48"/>
    <n v="1028"/>
    <n v="6168"/>
    <n v="6.0199999999999997E-2"/>
    <n v="3362.74"/>
    <n v="51302"/>
    <n v="2276"/>
  </r>
  <r>
    <x v="60"/>
    <n v="2024"/>
    <s v="Q1"/>
    <s v="Mar"/>
    <n v="3"/>
    <n v="2116.96"/>
    <n v="381"/>
    <n v="1905"/>
    <n v="7.17E-2"/>
    <n v="2948.37"/>
    <n v="166006"/>
    <n v="6383"/>
  </r>
  <r>
    <x v="61"/>
    <n v="2024"/>
    <s v="Q1"/>
    <s v="Mar"/>
    <n v="3"/>
    <n v="1049.74"/>
    <n v="419"/>
    <n v="1676"/>
    <n v="4.5199999999999997E-2"/>
    <n v="1146.82"/>
    <n v="86811"/>
    <n v="1986"/>
  </r>
  <r>
    <x v="62"/>
    <n v="2024"/>
    <s v="Q1"/>
    <s v="Mar"/>
    <n v="3"/>
    <n v="897.25"/>
    <n v="871"/>
    <n v="4355"/>
    <n v="7.2800000000000004E-2"/>
    <n v="3227.17"/>
    <n v="92895"/>
    <n v="5081"/>
  </r>
  <r>
    <x v="63"/>
    <n v="2024"/>
    <s v="Q1"/>
    <s v="Mar"/>
    <n v="3"/>
    <n v="802.74"/>
    <n v="802"/>
    <n v="2406"/>
    <n v="5.6899999999999999E-2"/>
    <n v="552.49"/>
    <n v="28215"/>
    <n v="1552"/>
  </r>
  <r>
    <x v="64"/>
    <n v="2024"/>
    <s v="Q1"/>
    <s v="Mar"/>
    <n v="3"/>
    <n v="195.91"/>
    <n v="658"/>
    <n v="2632"/>
    <n v="3.9600000000000003E-2"/>
    <n v="128.9"/>
    <n v="38320"/>
    <n v="454"/>
  </r>
  <r>
    <x v="65"/>
    <n v="2024"/>
    <s v="Q1"/>
    <s v="Mar"/>
    <n v="3"/>
    <n v="1463.21"/>
    <n v="779"/>
    <n v="3895"/>
    <n v="1.9599999999999999E-2"/>
    <n v="2816.72"/>
    <n v="63932"/>
    <n v="2267"/>
  </r>
  <r>
    <x v="66"/>
    <n v="2024"/>
    <s v="Q1"/>
    <s v="Mar"/>
    <n v="3"/>
    <n v="818.73"/>
    <n v="480"/>
    <n v="960"/>
    <n v="3.3300000000000003E-2"/>
    <n v="724.43"/>
    <n v="38804"/>
    <n v="1180"/>
  </r>
  <r>
    <x v="67"/>
    <n v="2024"/>
    <s v="Q1"/>
    <s v="Mar"/>
    <n v="3"/>
    <n v="680.99"/>
    <n v="852"/>
    <n v="5112"/>
    <n v="2.6499999999999999E-2"/>
    <n v="131.44999999999999"/>
    <n v="27104"/>
    <n v="212"/>
  </r>
  <r>
    <x v="68"/>
    <n v="2024"/>
    <s v="Q1"/>
    <s v="Mar"/>
    <n v="3"/>
    <n v="877.78"/>
    <n v="475"/>
    <n v="950"/>
    <n v="1.6500000000000001E-2"/>
    <n v="3357.56"/>
    <n v="112787"/>
    <n v="3333"/>
  </r>
  <r>
    <x v="69"/>
    <n v="2024"/>
    <s v="Q1"/>
    <s v="Mar"/>
    <n v="3"/>
    <n v="2363.16"/>
    <n v="896"/>
    <n v="1792"/>
    <n v="2.64E-2"/>
    <n v="668.56"/>
    <n v="30317"/>
    <n v="2755"/>
  </r>
  <r>
    <x v="70"/>
    <n v="2024"/>
    <s v="Q1"/>
    <s v="Mar"/>
    <n v="3"/>
    <n v="721.62"/>
    <n v="1177"/>
    <n v="2354"/>
    <n v="6.6199999999999995E-2"/>
    <n v="2415.83"/>
    <n v="105167"/>
    <n v="4087"/>
  </r>
  <r>
    <x v="71"/>
    <n v="2024"/>
    <s v="Q1"/>
    <s v="Mar"/>
    <n v="3"/>
    <n v="434.33"/>
    <n v="322"/>
    <n v="1932"/>
    <n v="2.7E-2"/>
    <n v="1823.57"/>
    <n v="114508"/>
    <n v="3434"/>
  </r>
  <r>
    <x v="72"/>
    <n v="2024"/>
    <s v="Q1"/>
    <s v="Mar"/>
    <n v="3"/>
    <n v="1212.68"/>
    <n v="935"/>
    <n v="4675"/>
    <n v="2.5499999999999998E-2"/>
    <n v="3126.95"/>
    <n v="104068"/>
    <n v="5093"/>
  </r>
  <r>
    <x v="73"/>
    <n v="2024"/>
    <s v="Q1"/>
    <s v="Mar"/>
    <n v="3"/>
    <n v="918.99"/>
    <n v="385"/>
    <n v="2310"/>
    <n v="4.8300000000000003E-2"/>
    <n v="2327.16"/>
    <n v="93523"/>
    <n v="3339"/>
  </r>
  <r>
    <x v="74"/>
    <n v="2024"/>
    <s v="Q1"/>
    <s v="Mar"/>
    <n v="3"/>
    <n v="1352.26"/>
    <n v="498"/>
    <n v="2490"/>
    <n v="6.2899999999999998E-2"/>
    <n v="2953.59"/>
    <n v="47484"/>
    <n v="2086"/>
  </r>
  <r>
    <x v="75"/>
    <n v="2024"/>
    <s v="Q1"/>
    <s v="Mar"/>
    <n v="3"/>
    <n v="1463.77"/>
    <n v="444"/>
    <n v="888"/>
    <n v="1.8100000000000002E-2"/>
    <n v="537.1"/>
    <n v="30257"/>
    <n v="730"/>
  </r>
  <r>
    <x v="76"/>
    <n v="2024"/>
    <s v="Q1"/>
    <s v="Mar"/>
    <n v="3"/>
    <n v="1825.04"/>
    <n v="691"/>
    <n v="2764"/>
    <n v="3.8699999999999998E-2"/>
    <n v="1120.83"/>
    <n v="4317"/>
    <n v="1162"/>
  </r>
  <r>
    <x v="77"/>
    <n v="2024"/>
    <s v="Q1"/>
    <s v="Mar"/>
    <n v="3"/>
    <n v="632.98"/>
    <n v="728"/>
    <n v="1456"/>
    <n v="5.4399999999999997E-2"/>
    <n v="1319.73"/>
    <n v="55437"/>
    <n v="2191"/>
  </r>
  <r>
    <x v="78"/>
    <n v="2024"/>
    <s v="Q1"/>
    <s v="Mar"/>
    <n v="3"/>
    <n v="1405.53"/>
    <n v="911"/>
    <n v="1822"/>
    <n v="1.5800000000000002E-2"/>
    <n v="736.41"/>
    <n v="42984"/>
    <n v="1290"/>
  </r>
  <r>
    <x v="79"/>
    <n v="2024"/>
    <s v="Q1"/>
    <s v="Mar"/>
    <n v="3"/>
    <n v="1324.69"/>
    <n v="995"/>
    <n v="3980"/>
    <n v="6.2399999999999997E-2"/>
    <n v="0"/>
    <n v="0"/>
    <n v="0"/>
  </r>
  <r>
    <x v="80"/>
    <n v="2024"/>
    <s v="Q1"/>
    <s v="Mar"/>
    <n v="3"/>
    <n v="1412.85"/>
    <n v="361"/>
    <n v="1083"/>
    <n v="2.41E-2"/>
    <n v="2517.3000000000002"/>
    <n v="125834"/>
    <n v="5180"/>
  </r>
  <r>
    <x v="81"/>
    <n v="2024"/>
    <s v="Q1"/>
    <s v="Mar"/>
    <n v="3"/>
    <n v="0"/>
    <n v="799"/>
    <n v="3995"/>
    <n v="2.0799999999999999E-2"/>
    <n v="4795.68"/>
    <n v="192476"/>
    <n v="6166"/>
  </r>
  <r>
    <x v="82"/>
    <n v="2024"/>
    <s v="Q1"/>
    <s v="Mar"/>
    <n v="3"/>
    <n v="858.49"/>
    <n v="437"/>
    <n v="1748"/>
    <n v="4.1099999999999998E-2"/>
    <n v="835.9"/>
    <n v="11596"/>
    <n v="1749"/>
  </r>
  <r>
    <x v="83"/>
    <n v="2024"/>
    <s v="Q1"/>
    <s v="Mar"/>
    <n v="3"/>
    <n v="2025.71"/>
    <n v="1145"/>
    <n v="2290"/>
    <n v="3.9899999999999998E-2"/>
    <n v="1035.68"/>
    <n v="44426"/>
    <n v="491"/>
  </r>
  <r>
    <x v="84"/>
    <n v="2024"/>
    <s v="Q1"/>
    <s v="Mar"/>
    <n v="3"/>
    <n v="401.04"/>
    <n v="1132"/>
    <n v="6792"/>
    <n v="1.8200000000000001E-2"/>
    <n v="1239.81"/>
    <n v="77748"/>
    <n v="2286"/>
  </r>
  <r>
    <x v="85"/>
    <n v="2024"/>
    <s v="Q1"/>
    <s v="Mar"/>
    <n v="3"/>
    <n v="0"/>
    <n v="917"/>
    <n v="5502"/>
    <n v="6.4699999999999994E-2"/>
    <n v="3770.99"/>
    <n v="114708"/>
    <n v="4996"/>
  </r>
  <r>
    <x v="86"/>
    <n v="2024"/>
    <s v="Q1"/>
    <s v="Mar"/>
    <n v="3"/>
    <n v="968.93"/>
    <n v="345"/>
    <n v="1035"/>
    <n v="2.2499999999999999E-2"/>
    <n v="613.01"/>
    <n v="7769"/>
    <n v="295"/>
  </r>
  <r>
    <x v="87"/>
    <n v="2024"/>
    <s v="Q1"/>
    <s v="Mar"/>
    <n v="3"/>
    <n v="1017.5"/>
    <n v="747"/>
    <n v="3735"/>
    <n v="2.5499999999999998E-2"/>
    <n v="1224.8599999999999"/>
    <n v="59248"/>
    <n v="416"/>
  </r>
  <r>
    <x v="88"/>
    <n v="2024"/>
    <s v="Q1"/>
    <s v="Mar"/>
    <n v="3"/>
    <n v="0"/>
    <n v="660"/>
    <n v="1320"/>
    <n v="2.24E-2"/>
    <n v="2037.4"/>
    <n v="139749"/>
    <n v="4144"/>
  </r>
  <r>
    <x v="89"/>
    <n v="2024"/>
    <s v="Q1"/>
    <s v="Mar"/>
    <n v="3"/>
    <n v="1331.09"/>
    <n v="252"/>
    <n v="1260"/>
    <n v="2.87E-2"/>
    <n v="1522.72"/>
    <n v="56315"/>
    <n v="2001"/>
  </r>
  <r>
    <x v="90"/>
    <n v="2024"/>
    <s v="Q1"/>
    <s v="Mar"/>
    <n v="3"/>
    <n v="562.52"/>
    <n v="1052"/>
    <n v="5260"/>
    <n v="0.03"/>
    <n v="1843.15"/>
    <n v="90165"/>
    <n v="3648"/>
  </r>
  <r>
    <x v="91"/>
    <n v="2024"/>
    <s v="Q2"/>
    <s v="Apr"/>
    <n v="4"/>
    <n v="2357.46"/>
    <n v="963"/>
    <n v="5778"/>
    <n v="5.3699999999999998E-2"/>
    <n v="1798.72"/>
    <n v="70069"/>
    <n v="883"/>
  </r>
  <r>
    <x v="92"/>
    <n v="2024"/>
    <s v="Q2"/>
    <s v="Apr"/>
    <n v="4"/>
    <n v="767.97"/>
    <n v="748"/>
    <n v="2244"/>
    <n v="2.4E-2"/>
    <n v="1277.49"/>
    <n v="29496"/>
    <n v="1426"/>
  </r>
  <r>
    <x v="93"/>
    <n v="2024"/>
    <s v="Q2"/>
    <s v="Apr"/>
    <n v="4"/>
    <n v="1247.82"/>
    <n v="472"/>
    <n v="944"/>
    <n v="4.8500000000000001E-2"/>
    <n v="122.57"/>
    <n v="31994"/>
    <n v="105"/>
  </r>
  <r>
    <x v="94"/>
    <n v="2024"/>
    <s v="Q2"/>
    <s v="Apr"/>
    <n v="4"/>
    <n v="1252.8499999999999"/>
    <n v="805"/>
    <n v="1610"/>
    <n v="5.91E-2"/>
    <n v="1068.32"/>
    <n v="26209"/>
    <n v="412"/>
  </r>
  <r>
    <x v="95"/>
    <n v="2024"/>
    <s v="Q2"/>
    <s v="Apr"/>
    <n v="4"/>
    <n v="933.11"/>
    <n v="308"/>
    <n v="616"/>
    <n v="4.8800000000000003E-2"/>
    <n v="148.55000000000001"/>
    <n v="42541"/>
    <n v="634"/>
  </r>
  <r>
    <x v="96"/>
    <n v="2024"/>
    <s v="Q2"/>
    <s v="Apr"/>
    <n v="4"/>
    <n v="506.89"/>
    <n v="764"/>
    <n v="4584"/>
    <n v="2.1899999999999999E-2"/>
    <n v="1135.6300000000001"/>
    <n v="40433"/>
    <n v="1973"/>
  </r>
  <r>
    <x v="97"/>
    <n v="2024"/>
    <s v="Q2"/>
    <s v="Apr"/>
    <n v="4"/>
    <n v="872.95"/>
    <n v="770"/>
    <n v="1540"/>
    <n v="6.5600000000000006E-2"/>
    <n v="885.53"/>
    <n v="16572"/>
    <n v="1435"/>
  </r>
  <r>
    <x v="98"/>
    <n v="2024"/>
    <s v="Q2"/>
    <s v="Apr"/>
    <n v="4"/>
    <n v="2576.12"/>
    <n v="320"/>
    <n v="1920"/>
    <n v="1.6299999999999999E-2"/>
    <n v="430.29"/>
    <n v="32075"/>
    <n v="1357"/>
  </r>
  <r>
    <x v="99"/>
    <n v="2024"/>
    <s v="Q2"/>
    <s v="Apr"/>
    <n v="4"/>
    <n v="647.22"/>
    <n v="1132"/>
    <n v="3396"/>
    <n v="3.7400000000000003E-2"/>
    <n v="1767.14"/>
    <n v="58642"/>
    <n v="2659"/>
  </r>
  <r>
    <x v="100"/>
    <n v="2024"/>
    <s v="Q2"/>
    <s v="Apr"/>
    <n v="4"/>
    <n v="385.72"/>
    <n v="1161"/>
    <n v="6966"/>
    <n v="2.75E-2"/>
    <n v="1116.73"/>
    <n v="71938"/>
    <n v="264"/>
  </r>
  <r>
    <x v="101"/>
    <n v="2024"/>
    <s v="Q2"/>
    <s v="Apr"/>
    <n v="4"/>
    <n v="1875.97"/>
    <n v="858"/>
    <n v="1716"/>
    <n v="5.0999999999999997E-2"/>
    <n v="1422.73"/>
    <n v="79591"/>
    <n v="1793"/>
  </r>
  <r>
    <x v="102"/>
    <n v="2024"/>
    <s v="Q2"/>
    <s v="Apr"/>
    <n v="4"/>
    <n v="768.02"/>
    <n v="679"/>
    <n v="4074"/>
    <n v="4.7600000000000003E-2"/>
    <n v="775.37"/>
    <n v="37629"/>
    <n v="1657"/>
  </r>
  <r>
    <x v="103"/>
    <n v="2024"/>
    <s v="Q2"/>
    <s v="Apr"/>
    <n v="4"/>
    <n v="1139.27"/>
    <n v="573"/>
    <n v="2292"/>
    <n v="2.4899999999999999E-2"/>
    <n v="0"/>
    <n v="0"/>
    <n v="0"/>
  </r>
  <r>
    <x v="104"/>
    <n v="2024"/>
    <s v="Q2"/>
    <s v="Apr"/>
    <n v="4"/>
    <n v="2495.9699999999998"/>
    <n v="983"/>
    <n v="3932"/>
    <n v="2.7E-2"/>
    <n v="684.92"/>
    <n v="38540"/>
    <n v="1018"/>
  </r>
  <r>
    <x v="105"/>
    <n v="2024"/>
    <s v="Q2"/>
    <s v="Apr"/>
    <n v="4"/>
    <n v="687.52"/>
    <n v="655"/>
    <n v="1965"/>
    <n v="5.4300000000000001E-2"/>
    <n v="3000.44"/>
    <n v="100981"/>
    <n v="3850"/>
  </r>
  <r>
    <x v="106"/>
    <n v="2024"/>
    <s v="Q2"/>
    <s v="Apr"/>
    <n v="4"/>
    <n v="689.26"/>
    <n v="557"/>
    <n v="2785"/>
    <n v="3.1899999999999998E-2"/>
    <n v="1319.64"/>
    <n v="47469"/>
    <n v="1962"/>
  </r>
  <r>
    <x v="107"/>
    <n v="2024"/>
    <s v="Q2"/>
    <s v="Apr"/>
    <n v="4"/>
    <n v="3928.41"/>
    <n v="1019"/>
    <n v="2038"/>
    <n v="1.26E-2"/>
    <n v="1260.8399999999999"/>
    <n v="50863"/>
    <n v="3480"/>
  </r>
  <r>
    <x v="108"/>
    <n v="2024"/>
    <s v="Q2"/>
    <s v="Apr"/>
    <n v="4"/>
    <n v="0"/>
    <n v="886"/>
    <n v="5316"/>
    <n v="7.4800000000000005E-2"/>
    <n v="264.94"/>
    <n v="25738"/>
    <n v="1262"/>
  </r>
  <r>
    <x v="109"/>
    <n v="2024"/>
    <s v="Q2"/>
    <s v="Apr"/>
    <n v="4"/>
    <n v="73.88"/>
    <n v="325"/>
    <n v="1950"/>
    <n v="2.5399999999999999E-2"/>
    <n v="0"/>
    <n v="0"/>
    <n v="0"/>
  </r>
  <r>
    <x v="110"/>
    <n v="2024"/>
    <s v="Q2"/>
    <s v="Apr"/>
    <n v="4"/>
    <n v="401.76"/>
    <n v="521"/>
    <n v="1563"/>
    <n v="7.0800000000000002E-2"/>
    <n v="747.5"/>
    <n v="32894"/>
    <n v="1016"/>
  </r>
  <r>
    <x v="111"/>
    <n v="2024"/>
    <s v="Q2"/>
    <s v="Apr"/>
    <n v="4"/>
    <n v="1223.53"/>
    <n v="1152"/>
    <n v="2304"/>
    <n v="6.7400000000000002E-2"/>
    <n v="1579.83"/>
    <n v="101490"/>
    <n v="3379"/>
  </r>
  <r>
    <x v="112"/>
    <n v="2024"/>
    <s v="Q2"/>
    <s v="Apr"/>
    <n v="4"/>
    <n v="1307.04"/>
    <n v="628"/>
    <n v="2512"/>
    <n v="2.1899999999999999E-2"/>
    <n v="736.3"/>
    <n v="51839"/>
    <n v="1487"/>
  </r>
  <r>
    <x v="113"/>
    <n v="2024"/>
    <s v="Q2"/>
    <s v="Apr"/>
    <n v="4"/>
    <n v="936.47"/>
    <n v="1103"/>
    <n v="6618"/>
    <n v="5.6300000000000003E-2"/>
    <n v="0"/>
    <n v="0"/>
    <n v="0"/>
  </r>
  <r>
    <x v="114"/>
    <n v="2024"/>
    <s v="Q2"/>
    <s v="Apr"/>
    <n v="4"/>
    <n v="0"/>
    <n v="876"/>
    <n v="5256"/>
    <n v="1.2500000000000001E-2"/>
    <n v="416.49"/>
    <n v="8493"/>
    <n v="1748"/>
  </r>
  <r>
    <x v="115"/>
    <n v="2024"/>
    <s v="Q2"/>
    <s v="Apr"/>
    <n v="4"/>
    <n v="423.03"/>
    <n v="1086"/>
    <n v="6516"/>
    <n v="3.09E-2"/>
    <n v="1617.25"/>
    <n v="49726"/>
    <n v="3112"/>
  </r>
  <r>
    <x v="116"/>
    <n v="2024"/>
    <s v="Q2"/>
    <s v="Apr"/>
    <n v="4"/>
    <n v="214.18"/>
    <n v="929"/>
    <n v="1858"/>
    <n v="7.1199999999999999E-2"/>
    <n v="685.99"/>
    <n v="26603"/>
    <n v="914"/>
  </r>
  <r>
    <x v="117"/>
    <n v="2024"/>
    <s v="Q2"/>
    <s v="Apr"/>
    <n v="4"/>
    <n v="474.68"/>
    <n v="387"/>
    <n v="1548"/>
    <n v="1.9300000000000001E-2"/>
    <n v="705.26"/>
    <n v="18104"/>
    <n v="1052"/>
  </r>
  <r>
    <x v="118"/>
    <n v="2024"/>
    <s v="Q2"/>
    <s v="Apr"/>
    <n v="4"/>
    <n v="457.74"/>
    <n v="359"/>
    <n v="2154"/>
    <n v="2.18E-2"/>
    <n v="1557.81"/>
    <n v="46333"/>
    <n v="1893"/>
  </r>
  <r>
    <x v="119"/>
    <n v="2024"/>
    <s v="Q2"/>
    <s v="Apr"/>
    <n v="4"/>
    <n v="255.72"/>
    <n v="538"/>
    <n v="3228"/>
    <n v="2.53E-2"/>
    <n v="854.25"/>
    <n v="35953"/>
    <n v="747"/>
  </r>
  <r>
    <x v="120"/>
    <n v="2024"/>
    <s v="Q2"/>
    <s v="Apr"/>
    <n v="4"/>
    <n v="1170.7"/>
    <n v="601"/>
    <n v="1803"/>
    <n v="5.5300000000000002E-2"/>
    <n v="1460.57"/>
    <n v="79886"/>
    <n v="1861"/>
  </r>
  <r>
    <x v="121"/>
    <n v="2024"/>
    <s v="Q2"/>
    <s v="May"/>
    <n v="5"/>
    <n v="1223.43"/>
    <n v="1123"/>
    <n v="4492"/>
    <n v="4.3799999999999999E-2"/>
    <n v="1615.32"/>
    <n v="59271"/>
    <n v="1427"/>
  </r>
  <r>
    <x v="122"/>
    <n v="2024"/>
    <s v="Q2"/>
    <s v="May"/>
    <n v="5"/>
    <n v="1279.5"/>
    <n v="507"/>
    <n v="1014"/>
    <n v="1.78E-2"/>
    <n v="2687.55"/>
    <n v="86419"/>
    <n v="3247"/>
  </r>
  <r>
    <x v="123"/>
    <n v="2024"/>
    <s v="Q2"/>
    <s v="May"/>
    <n v="5"/>
    <n v="242.51"/>
    <n v="683"/>
    <n v="2732"/>
    <n v="1.4800000000000001E-2"/>
    <n v="2004.4"/>
    <n v="67475"/>
    <n v="3658"/>
  </r>
  <r>
    <x v="124"/>
    <n v="2024"/>
    <s v="Q2"/>
    <s v="May"/>
    <n v="5"/>
    <n v="2286.6999999999998"/>
    <n v="591"/>
    <n v="1773"/>
    <n v="5.21E-2"/>
    <n v="480.91"/>
    <n v="85202"/>
    <n v="550"/>
  </r>
  <r>
    <x v="125"/>
    <n v="2024"/>
    <s v="Q2"/>
    <s v="May"/>
    <n v="5"/>
    <n v="1077.3699999999999"/>
    <n v="518"/>
    <n v="1554"/>
    <n v="5.8700000000000002E-2"/>
    <n v="623.73"/>
    <n v="38089"/>
    <n v="1011"/>
  </r>
  <r>
    <x v="126"/>
    <n v="2024"/>
    <s v="Q2"/>
    <s v="May"/>
    <n v="5"/>
    <n v="1197.3499999999999"/>
    <n v="814"/>
    <n v="4070"/>
    <n v="4.7300000000000002E-2"/>
    <n v="798.67"/>
    <n v="48721"/>
    <n v="2279"/>
  </r>
  <r>
    <x v="127"/>
    <n v="2024"/>
    <s v="Q2"/>
    <s v="May"/>
    <n v="5"/>
    <n v="1459.55"/>
    <n v="364"/>
    <n v="728"/>
    <n v="7.1499999999999994E-2"/>
    <n v="453.05"/>
    <n v="9080"/>
    <n v="1505"/>
  </r>
  <r>
    <x v="128"/>
    <n v="2024"/>
    <s v="Q2"/>
    <s v="May"/>
    <n v="5"/>
    <n v="1958.11"/>
    <n v="957"/>
    <n v="2871"/>
    <n v="4.6399999999999997E-2"/>
    <n v="1551.01"/>
    <n v="57363"/>
    <n v="2894"/>
  </r>
  <r>
    <x v="129"/>
    <n v="2024"/>
    <s v="Q2"/>
    <s v="May"/>
    <n v="5"/>
    <n v="1056.32"/>
    <n v="1104"/>
    <n v="4416"/>
    <n v="4.87E-2"/>
    <n v="1970.62"/>
    <n v="80408"/>
    <n v="2571"/>
  </r>
  <r>
    <x v="130"/>
    <n v="2024"/>
    <s v="Q2"/>
    <s v="May"/>
    <n v="5"/>
    <n v="2075.67"/>
    <n v="401"/>
    <n v="2005"/>
    <n v="0.02"/>
    <n v="695.82"/>
    <n v="39893"/>
    <n v="582"/>
  </r>
  <r>
    <x v="131"/>
    <n v="2024"/>
    <s v="Q2"/>
    <s v="May"/>
    <n v="5"/>
    <n v="313.97000000000003"/>
    <n v="565"/>
    <n v="2260"/>
    <n v="6.8599999999999994E-2"/>
    <n v="122.49"/>
    <n v="26558"/>
    <n v="2862"/>
  </r>
  <r>
    <x v="132"/>
    <n v="2024"/>
    <s v="Q2"/>
    <s v="May"/>
    <n v="5"/>
    <n v="1313.6"/>
    <n v="1065"/>
    <n v="2130"/>
    <n v="6.8599999999999994E-2"/>
    <n v="0"/>
    <n v="0"/>
    <n v="0"/>
  </r>
  <r>
    <x v="133"/>
    <n v="2024"/>
    <s v="Q2"/>
    <s v="May"/>
    <n v="5"/>
    <n v="523.79"/>
    <n v="465"/>
    <n v="1395"/>
    <n v="5.3999999999999999E-2"/>
    <n v="320.85000000000002"/>
    <n v="19497"/>
    <n v="705"/>
  </r>
  <r>
    <x v="134"/>
    <n v="2024"/>
    <s v="Q2"/>
    <s v="May"/>
    <n v="5"/>
    <n v="376.02"/>
    <n v="612"/>
    <n v="3672"/>
    <n v="6.7699999999999996E-2"/>
    <n v="1041.53"/>
    <n v="7700"/>
    <n v="929"/>
  </r>
  <r>
    <x v="135"/>
    <n v="2024"/>
    <s v="Q2"/>
    <s v="May"/>
    <n v="5"/>
    <n v="1097.33"/>
    <n v="666"/>
    <n v="3996"/>
    <n v="5.9200000000000003E-2"/>
    <n v="1376.01"/>
    <n v="58669"/>
    <n v="2504"/>
  </r>
  <r>
    <x v="136"/>
    <n v="2024"/>
    <s v="Q2"/>
    <s v="May"/>
    <n v="5"/>
    <n v="1342.66"/>
    <n v="1197"/>
    <n v="3591"/>
    <n v="6.6500000000000004E-2"/>
    <n v="335.11"/>
    <n v="8344"/>
    <n v="133"/>
  </r>
  <r>
    <x v="137"/>
    <n v="2024"/>
    <s v="Q2"/>
    <s v="May"/>
    <n v="5"/>
    <n v="2127.4299999999998"/>
    <n v="1069"/>
    <n v="3207"/>
    <n v="6.7500000000000004E-2"/>
    <n v="2599.0500000000002"/>
    <n v="81459"/>
    <n v="1389"/>
  </r>
  <r>
    <x v="138"/>
    <n v="2024"/>
    <s v="Q2"/>
    <s v="May"/>
    <n v="5"/>
    <n v="84.79"/>
    <n v="275"/>
    <n v="825"/>
    <n v="5.8400000000000001E-2"/>
    <n v="1112.78"/>
    <n v="20374"/>
    <n v="1142"/>
  </r>
  <r>
    <x v="139"/>
    <n v="2024"/>
    <s v="Q2"/>
    <s v="May"/>
    <n v="5"/>
    <n v="1808.46"/>
    <n v="590"/>
    <n v="2950"/>
    <n v="6.25E-2"/>
    <n v="918.18"/>
    <n v="9459"/>
    <n v="736"/>
  </r>
  <r>
    <x v="140"/>
    <n v="2024"/>
    <s v="Q2"/>
    <s v="May"/>
    <n v="5"/>
    <n v="673.13"/>
    <n v="1134"/>
    <n v="3402"/>
    <n v="2.8799999999999999E-2"/>
    <n v="1587.92"/>
    <n v="87993"/>
    <n v="2265"/>
  </r>
  <r>
    <x v="141"/>
    <n v="2024"/>
    <s v="Q2"/>
    <s v="May"/>
    <n v="5"/>
    <n v="1221.22"/>
    <n v="1056"/>
    <n v="2112"/>
    <n v="3.61E-2"/>
    <n v="856.64"/>
    <n v="10696"/>
    <n v="541"/>
  </r>
  <r>
    <x v="142"/>
    <n v="2024"/>
    <s v="Q2"/>
    <s v="May"/>
    <n v="5"/>
    <n v="2845.19"/>
    <n v="289"/>
    <n v="1445"/>
    <n v="2.5999999999999999E-2"/>
    <n v="2000.85"/>
    <n v="97452"/>
    <n v="3622"/>
  </r>
  <r>
    <x v="143"/>
    <n v="2024"/>
    <s v="Q2"/>
    <s v="May"/>
    <n v="5"/>
    <n v="2107.0100000000002"/>
    <n v="1086"/>
    <n v="5430"/>
    <n v="3.4000000000000002E-2"/>
    <n v="1036.97"/>
    <n v="8436"/>
    <n v="496"/>
  </r>
  <r>
    <x v="144"/>
    <n v="2024"/>
    <s v="Q2"/>
    <s v="May"/>
    <n v="5"/>
    <n v="1449.47"/>
    <n v="1090"/>
    <n v="3270"/>
    <n v="2.5999999999999999E-2"/>
    <n v="837.08"/>
    <n v="33571"/>
    <n v="160"/>
  </r>
  <r>
    <x v="145"/>
    <n v="2024"/>
    <s v="Q2"/>
    <s v="May"/>
    <n v="5"/>
    <n v="2992.03"/>
    <n v="925"/>
    <n v="2775"/>
    <n v="3.7100000000000001E-2"/>
    <n v="1187.46"/>
    <n v="37605"/>
    <n v="1103"/>
  </r>
  <r>
    <x v="146"/>
    <n v="2024"/>
    <s v="Q2"/>
    <s v="May"/>
    <n v="5"/>
    <n v="763.71"/>
    <n v="535"/>
    <n v="1070"/>
    <n v="7.2900000000000006E-2"/>
    <n v="2692.73"/>
    <n v="44046"/>
    <n v="3427"/>
  </r>
  <r>
    <x v="147"/>
    <n v="2024"/>
    <s v="Q2"/>
    <s v="May"/>
    <n v="5"/>
    <n v="592.67999999999995"/>
    <n v="535"/>
    <n v="2140"/>
    <n v="5.2400000000000002E-2"/>
    <n v="1791.63"/>
    <n v="73117"/>
    <n v="2229"/>
  </r>
  <r>
    <x v="148"/>
    <n v="2024"/>
    <s v="Q2"/>
    <s v="May"/>
    <n v="5"/>
    <n v="313.45"/>
    <n v="659"/>
    <n v="3954"/>
    <n v="3.2899999999999999E-2"/>
    <n v="5880.74"/>
    <n v="176018"/>
    <n v="6644"/>
  </r>
  <r>
    <x v="149"/>
    <n v="2024"/>
    <s v="Q2"/>
    <s v="May"/>
    <n v="5"/>
    <n v="1032.54"/>
    <n v="278"/>
    <n v="556"/>
    <n v="6.7299999999999999E-2"/>
    <n v="0"/>
    <n v="0"/>
    <n v="0"/>
  </r>
  <r>
    <x v="150"/>
    <n v="2024"/>
    <s v="Q2"/>
    <s v="May"/>
    <n v="5"/>
    <n v="1968.24"/>
    <n v="517"/>
    <n v="1551"/>
    <n v="4.8599999999999997E-2"/>
    <n v="1323.16"/>
    <n v="64216"/>
    <n v="1863"/>
  </r>
  <r>
    <x v="151"/>
    <n v="2024"/>
    <s v="Q2"/>
    <s v="May"/>
    <n v="5"/>
    <n v="645.38"/>
    <n v="521"/>
    <n v="1042"/>
    <n v="1.8800000000000001E-2"/>
    <n v="1226.69"/>
    <n v="76551"/>
    <n v="1044"/>
  </r>
  <r>
    <x v="152"/>
    <n v="2024"/>
    <s v="Q2"/>
    <s v="Jun"/>
    <n v="6"/>
    <n v="1188.1500000000001"/>
    <n v="694"/>
    <n v="2776"/>
    <n v="5.79E-2"/>
    <n v="0"/>
    <n v="0"/>
    <n v="0"/>
  </r>
  <r>
    <x v="153"/>
    <n v="2024"/>
    <s v="Q2"/>
    <s v="Jun"/>
    <n v="6"/>
    <n v="1813.04"/>
    <n v="571"/>
    <n v="2855"/>
    <n v="5.0200000000000002E-2"/>
    <n v="3696.58"/>
    <n v="149341"/>
    <n v="6078"/>
  </r>
  <r>
    <x v="154"/>
    <n v="2024"/>
    <s v="Q2"/>
    <s v="Jun"/>
    <n v="6"/>
    <n v="2145.4299999999998"/>
    <n v="773"/>
    <n v="1546"/>
    <n v="3.6299999999999999E-2"/>
    <n v="3649.44"/>
    <n v="161001"/>
    <n v="4098"/>
  </r>
  <r>
    <x v="155"/>
    <n v="2024"/>
    <s v="Q2"/>
    <s v="Jun"/>
    <n v="6"/>
    <n v="366.68"/>
    <n v="840"/>
    <n v="2520"/>
    <n v="2.8000000000000001E-2"/>
    <n v="966.39"/>
    <n v="41840"/>
    <n v="1807"/>
  </r>
  <r>
    <x v="156"/>
    <n v="2024"/>
    <s v="Q2"/>
    <s v="Jun"/>
    <n v="6"/>
    <n v="2236.41"/>
    <n v="975"/>
    <n v="4875"/>
    <n v="1.21E-2"/>
    <n v="537.38"/>
    <n v="26672"/>
    <n v="1774"/>
  </r>
  <r>
    <x v="157"/>
    <n v="2024"/>
    <s v="Q2"/>
    <s v="Jun"/>
    <n v="6"/>
    <n v="289.52999999999997"/>
    <n v="1197"/>
    <n v="7182"/>
    <n v="5.5300000000000002E-2"/>
    <n v="1016.97"/>
    <n v="55862"/>
    <n v="2601"/>
  </r>
  <r>
    <x v="158"/>
    <n v="2024"/>
    <s v="Q2"/>
    <s v="Jun"/>
    <n v="6"/>
    <n v="932.24"/>
    <n v="1009"/>
    <n v="3027"/>
    <n v="3.49E-2"/>
    <n v="2011.82"/>
    <n v="48836"/>
    <n v="1915"/>
  </r>
  <r>
    <x v="159"/>
    <n v="2024"/>
    <s v="Q2"/>
    <s v="Jun"/>
    <n v="6"/>
    <n v="1696.71"/>
    <n v="321"/>
    <n v="1284"/>
    <n v="5.1299999999999998E-2"/>
    <n v="149.34"/>
    <n v="31933"/>
    <n v="46"/>
  </r>
  <r>
    <x v="160"/>
    <n v="2024"/>
    <s v="Q2"/>
    <s v="Jun"/>
    <n v="6"/>
    <n v="1002.96"/>
    <n v="929"/>
    <n v="1858"/>
    <n v="5.7299999999999997E-2"/>
    <n v="2149.69"/>
    <n v="109772"/>
    <n v="3004"/>
  </r>
  <r>
    <x v="161"/>
    <n v="2024"/>
    <s v="Q2"/>
    <s v="Jun"/>
    <n v="6"/>
    <n v="2836.78"/>
    <n v="557"/>
    <n v="3342"/>
    <n v="3.15E-2"/>
    <n v="1498.52"/>
    <n v="60969"/>
    <n v="1680"/>
  </r>
  <r>
    <x v="162"/>
    <n v="2024"/>
    <s v="Q2"/>
    <s v="Jun"/>
    <n v="6"/>
    <n v="779.19"/>
    <n v="668"/>
    <n v="2672"/>
    <n v="3.7400000000000003E-2"/>
    <n v="1062.33"/>
    <n v="75154"/>
    <n v="1626"/>
  </r>
  <r>
    <x v="163"/>
    <n v="2024"/>
    <s v="Q2"/>
    <s v="Jun"/>
    <n v="6"/>
    <n v="680.76"/>
    <n v="552"/>
    <n v="3312"/>
    <n v="0.02"/>
    <n v="2257.8200000000002"/>
    <n v="76397"/>
    <n v="2628"/>
  </r>
  <r>
    <x v="164"/>
    <n v="2024"/>
    <s v="Q2"/>
    <s v="Jun"/>
    <n v="6"/>
    <n v="1705.47"/>
    <n v="680"/>
    <n v="3400"/>
    <n v="5.4699999999999999E-2"/>
    <n v="2389.56"/>
    <n v="58325"/>
    <n v="3648"/>
  </r>
  <r>
    <x v="165"/>
    <n v="2024"/>
    <s v="Q2"/>
    <s v="Jun"/>
    <n v="6"/>
    <n v="1078.6199999999999"/>
    <n v="1174"/>
    <n v="3522"/>
    <n v="5.0799999999999998E-2"/>
    <n v="1548.1"/>
    <n v="81477"/>
    <n v="1913"/>
  </r>
  <r>
    <x v="166"/>
    <n v="2024"/>
    <s v="Q2"/>
    <s v="Jun"/>
    <n v="6"/>
    <n v="2146.17"/>
    <n v="558"/>
    <n v="2790"/>
    <n v="4.65E-2"/>
    <n v="647.64"/>
    <n v="2810"/>
    <n v="1640"/>
  </r>
  <r>
    <x v="167"/>
    <n v="2024"/>
    <s v="Q2"/>
    <s v="Jun"/>
    <n v="6"/>
    <n v="0"/>
    <n v="250"/>
    <n v="1000"/>
    <n v="3.0099999999999998E-2"/>
    <n v="1396.95"/>
    <n v="113111"/>
    <n v="6106"/>
  </r>
  <r>
    <x v="168"/>
    <n v="2024"/>
    <s v="Q2"/>
    <s v="Jun"/>
    <n v="6"/>
    <n v="2218.9899999999998"/>
    <n v="690"/>
    <n v="4140"/>
    <n v="5.0200000000000002E-2"/>
    <n v="522.42999999999995"/>
    <n v="29717"/>
    <n v="1506"/>
  </r>
  <r>
    <x v="169"/>
    <n v="2024"/>
    <s v="Q2"/>
    <s v="Jun"/>
    <n v="6"/>
    <n v="566.97"/>
    <n v="579"/>
    <n v="2895"/>
    <n v="3.9800000000000002E-2"/>
    <n v="2503.9299999999998"/>
    <n v="85854"/>
    <n v="3137"/>
  </r>
  <r>
    <x v="170"/>
    <n v="2024"/>
    <s v="Q2"/>
    <s v="Jun"/>
    <n v="6"/>
    <n v="1094.8399999999999"/>
    <n v="941"/>
    <n v="2823"/>
    <n v="4.4200000000000003E-2"/>
    <n v="720.15"/>
    <n v="11268"/>
    <n v="746"/>
  </r>
  <r>
    <x v="171"/>
    <n v="2024"/>
    <s v="Q2"/>
    <s v="Jun"/>
    <n v="6"/>
    <n v="710.34"/>
    <n v="1062"/>
    <n v="3186"/>
    <n v="5.3499999999999999E-2"/>
    <n v="987.8"/>
    <n v="44666"/>
    <n v="1247"/>
  </r>
  <r>
    <x v="172"/>
    <n v="2024"/>
    <s v="Q2"/>
    <s v="Jun"/>
    <n v="6"/>
    <n v="1065.01"/>
    <n v="540"/>
    <n v="3240"/>
    <n v="5.3800000000000001E-2"/>
    <n v="1857.85"/>
    <n v="30913"/>
    <n v="1295"/>
  </r>
  <r>
    <x v="173"/>
    <n v="2024"/>
    <s v="Q2"/>
    <s v="Jun"/>
    <n v="6"/>
    <n v="778.95"/>
    <n v="884"/>
    <n v="3536"/>
    <n v="1.7899999999999999E-2"/>
    <n v="1176.42"/>
    <n v="64921"/>
    <n v="896"/>
  </r>
  <r>
    <x v="174"/>
    <n v="2024"/>
    <s v="Q2"/>
    <s v="Jun"/>
    <n v="6"/>
    <n v="1120.73"/>
    <n v="1019"/>
    <n v="3057"/>
    <n v="5.4399999999999997E-2"/>
    <n v="1275.18"/>
    <n v="32150"/>
    <n v="1498"/>
  </r>
  <r>
    <x v="175"/>
    <n v="2024"/>
    <s v="Q2"/>
    <s v="Jun"/>
    <n v="6"/>
    <n v="1445.01"/>
    <n v="480"/>
    <n v="1440"/>
    <n v="2.1299999999999999E-2"/>
    <n v="827.25"/>
    <n v="44159"/>
    <n v="1675"/>
  </r>
  <r>
    <x v="176"/>
    <n v="2024"/>
    <s v="Q2"/>
    <s v="Jun"/>
    <n v="6"/>
    <n v="1900.11"/>
    <n v="297"/>
    <n v="891"/>
    <n v="7.3999999999999996E-2"/>
    <n v="584.4"/>
    <n v="47133"/>
    <n v="2576"/>
  </r>
  <r>
    <x v="177"/>
    <n v="2024"/>
    <s v="Q2"/>
    <s v="Jun"/>
    <n v="6"/>
    <n v="0"/>
    <n v="875"/>
    <n v="1750"/>
    <n v="4.07E-2"/>
    <n v="1145.46"/>
    <n v="69938"/>
    <n v="3494"/>
  </r>
  <r>
    <x v="178"/>
    <n v="2024"/>
    <s v="Q2"/>
    <s v="Jun"/>
    <n v="6"/>
    <n v="441.97"/>
    <n v="1157"/>
    <n v="6942"/>
    <n v="2.4199999999999999E-2"/>
    <n v="2248.64"/>
    <n v="119343"/>
    <n v="2730"/>
  </r>
  <r>
    <x v="179"/>
    <n v="2024"/>
    <s v="Q2"/>
    <s v="Jun"/>
    <n v="6"/>
    <n v="124.68"/>
    <n v="963"/>
    <n v="4815"/>
    <n v="4.3099999999999999E-2"/>
    <n v="1271.79"/>
    <n v="34432"/>
    <n v="3699"/>
  </r>
  <r>
    <x v="180"/>
    <n v="2024"/>
    <s v="Q2"/>
    <s v="Jun"/>
    <n v="6"/>
    <n v="799.61"/>
    <n v="499"/>
    <n v="1497"/>
    <n v="5.33E-2"/>
    <n v="0"/>
    <n v="0"/>
    <n v="0"/>
  </r>
  <r>
    <x v="181"/>
    <n v="2024"/>
    <s v="Q2"/>
    <s v="Jun"/>
    <n v="6"/>
    <n v="487.82"/>
    <n v="255"/>
    <n v="510"/>
    <n v="6.0999999999999999E-2"/>
    <n v="2058.73"/>
    <n v="27199"/>
    <n v="1397"/>
  </r>
  <r>
    <x v="182"/>
    <n v="2024"/>
    <s v="Q3"/>
    <s v="Jul"/>
    <n v="7"/>
    <n v="260.76"/>
    <n v="474"/>
    <n v="1422"/>
    <n v="6.2700000000000006E-2"/>
    <n v="1045.67"/>
    <n v="23753"/>
    <n v="589"/>
  </r>
  <r>
    <x v="183"/>
    <n v="2024"/>
    <s v="Q3"/>
    <s v="Jul"/>
    <n v="7"/>
    <n v="1020.85"/>
    <n v="962"/>
    <n v="5772"/>
    <n v="4.1300000000000003E-2"/>
    <n v="3161.12"/>
    <n v="85930"/>
    <n v="4155"/>
  </r>
  <r>
    <x v="184"/>
    <n v="2024"/>
    <s v="Q3"/>
    <s v="Jul"/>
    <n v="7"/>
    <n v="957.78"/>
    <n v="820"/>
    <n v="2460"/>
    <n v="6.9800000000000001E-2"/>
    <n v="1313.98"/>
    <n v="45377"/>
    <n v="1482"/>
  </r>
  <r>
    <x v="185"/>
    <n v="2024"/>
    <s v="Q3"/>
    <s v="Jul"/>
    <n v="7"/>
    <n v="1055.21"/>
    <n v="374"/>
    <n v="1870"/>
    <n v="2.0400000000000001E-2"/>
    <n v="3454.26"/>
    <n v="100804"/>
    <n v="4010"/>
  </r>
  <r>
    <x v="186"/>
    <n v="2024"/>
    <s v="Q3"/>
    <s v="Jul"/>
    <n v="7"/>
    <n v="0"/>
    <n v="725"/>
    <n v="4350"/>
    <n v="7.4200000000000002E-2"/>
    <n v="2790.37"/>
    <n v="81297"/>
    <n v="3611"/>
  </r>
  <r>
    <x v="187"/>
    <n v="2024"/>
    <s v="Q3"/>
    <s v="Jul"/>
    <n v="7"/>
    <n v="505.23"/>
    <n v="859"/>
    <n v="3436"/>
    <n v="7.1900000000000006E-2"/>
    <n v="1203.77"/>
    <n v="16251"/>
    <n v="631"/>
  </r>
  <r>
    <x v="188"/>
    <n v="2024"/>
    <s v="Q3"/>
    <s v="Jul"/>
    <n v="7"/>
    <n v="1479.22"/>
    <n v="1162"/>
    <n v="5810"/>
    <n v="5.0599999999999999E-2"/>
    <n v="1666.36"/>
    <n v="53283"/>
    <n v="4054"/>
  </r>
  <r>
    <x v="189"/>
    <n v="2024"/>
    <s v="Q3"/>
    <s v="Jul"/>
    <n v="7"/>
    <n v="635.91999999999996"/>
    <n v="986"/>
    <n v="5916"/>
    <n v="3.8899999999999997E-2"/>
    <n v="0"/>
    <n v="0"/>
    <n v="0"/>
  </r>
  <r>
    <x v="190"/>
    <n v="2024"/>
    <s v="Q3"/>
    <s v="Jul"/>
    <n v="7"/>
    <n v="1133.69"/>
    <n v="1178"/>
    <n v="7068"/>
    <n v="4.0099999999999997E-2"/>
    <n v="109.56"/>
    <n v="42999"/>
    <n v="655"/>
  </r>
  <r>
    <x v="191"/>
    <n v="2024"/>
    <s v="Q3"/>
    <s v="Jul"/>
    <n v="7"/>
    <n v="320.55"/>
    <n v="412"/>
    <n v="2060"/>
    <n v="4.0399999999999998E-2"/>
    <n v="1984.73"/>
    <n v="99571"/>
    <n v="2869"/>
  </r>
  <r>
    <x v="192"/>
    <n v="2024"/>
    <s v="Q3"/>
    <s v="Jul"/>
    <n v="7"/>
    <n v="1554.48"/>
    <n v="1019"/>
    <n v="3057"/>
    <n v="6.4899999999999999E-2"/>
    <n v="3612.38"/>
    <n v="144575"/>
    <n v="5002"/>
  </r>
  <r>
    <x v="193"/>
    <n v="2024"/>
    <s v="Q3"/>
    <s v="Jul"/>
    <n v="7"/>
    <n v="1858.13"/>
    <n v="533"/>
    <n v="3198"/>
    <n v="4.2500000000000003E-2"/>
    <n v="142.29"/>
    <n v="37343"/>
    <n v="302"/>
  </r>
  <r>
    <x v="194"/>
    <n v="2024"/>
    <s v="Q3"/>
    <s v="Jul"/>
    <n v="7"/>
    <n v="1232.33"/>
    <n v="494"/>
    <n v="1976"/>
    <n v="3.9699999999999999E-2"/>
    <n v="0"/>
    <n v="0"/>
    <n v="0"/>
  </r>
  <r>
    <x v="195"/>
    <n v="2024"/>
    <s v="Q3"/>
    <s v="Jul"/>
    <n v="7"/>
    <n v="1237.3800000000001"/>
    <n v="980"/>
    <n v="3920"/>
    <n v="2.6800000000000001E-2"/>
    <n v="2312.14"/>
    <n v="108658"/>
    <n v="1718"/>
  </r>
  <r>
    <x v="196"/>
    <n v="2024"/>
    <s v="Q3"/>
    <s v="Jul"/>
    <n v="7"/>
    <n v="1510.93"/>
    <n v="593"/>
    <n v="2372"/>
    <n v="6.83E-2"/>
    <n v="0"/>
    <n v="0"/>
    <n v="0"/>
  </r>
  <r>
    <x v="197"/>
    <n v="2024"/>
    <s v="Q3"/>
    <s v="Jul"/>
    <n v="7"/>
    <n v="669.76"/>
    <n v="332"/>
    <n v="996"/>
    <n v="2.1499999999999998E-2"/>
    <n v="969.88"/>
    <n v="44522"/>
    <n v="1662"/>
  </r>
  <r>
    <x v="198"/>
    <n v="2024"/>
    <s v="Q3"/>
    <s v="Jul"/>
    <n v="7"/>
    <n v="881.9"/>
    <n v="642"/>
    <n v="1926"/>
    <n v="5.6500000000000002E-2"/>
    <n v="2562.7600000000002"/>
    <n v="143770"/>
    <n v="4291"/>
  </r>
  <r>
    <x v="199"/>
    <n v="2024"/>
    <s v="Q3"/>
    <s v="Jul"/>
    <n v="7"/>
    <n v="948.65"/>
    <n v="315"/>
    <n v="1575"/>
    <n v="3.7699999999999997E-2"/>
    <n v="491.42"/>
    <n v="11171"/>
    <n v="1648"/>
  </r>
  <r>
    <x v="200"/>
    <n v="2024"/>
    <s v="Q3"/>
    <s v="Jul"/>
    <n v="7"/>
    <n v="1515.84"/>
    <n v="805"/>
    <n v="4025"/>
    <n v="3.8199999999999998E-2"/>
    <n v="0"/>
    <n v="0"/>
    <n v="0"/>
  </r>
  <r>
    <x v="201"/>
    <n v="2024"/>
    <s v="Q3"/>
    <s v="Jul"/>
    <n v="7"/>
    <n v="1481.13"/>
    <n v="461"/>
    <n v="2305"/>
    <n v="3.6499999999999998E-2"/>
    <n v="730.68"/>
    <n v="6081"/>
    <n v="920"/>
  </r>
  <r>
    <x v="202"/>
    <n v="2024"/>
    <s v="Q3"/>
    <s v="Jul"/>
    <n v="7"/>
    <n v="1102.08"/>
    <n v="1038"/>
    <n v="6228"/>
    <n v="7.1599999999999997E-2"/>
    <n v="405.04"/>
    <n v="37309"/>
    <n v="1180"/>
  </r>
  <r>
    <x v="203"/>
    <n v="2024"/>
    <s v="Q3"/>
    <s v="Jul"/>
    <n v="7"/>
    <n v="196.41"/>
    <n v="270"/>
    <n v="1620"/>
    <n v="3.5999999999999997E-2"/>
    <n v="2446.25"/>
    <n v="89313"/>
    <n v="1349"/>
  </r>
  <r>
    <x v="204"/>
    <n v="2024"/>
    <s v="Q3"/>
    <s v="Jul"/>
    <n v="7"/>
    <n v="442.26"/>
    <n v="256"/>
    <n v="1024"/>
    <n v="3.0800000000000001E-2"/>
    <n v="0"/>
    <n v="0"/>
    <n v="0"/>
  </r>
  <r>
    <x v="205"/>
    <n v="2024"/>
    <s v="Q3"/>
    <s v="Jul"/>
    <n v="7"/>
    <n v="693.7"/>
    <n v="649"/>
    <n v="3245"/>
    <n v="4.5900000000000003E-2"/>
    <n v="1058.54"/>
    <n v="20501"/>
    <n v="1614"/>
  </r>
  <r>
    <x v="206"/>
    <n v="2024"/>
    <s v="Q3"/>
    <s v="Jul"/>
    <n v="7"/>
    <n v="1322.18"/>
    <n v="1002"/>
    <n v="6012"/>
    <n v="6.2399999999999997E-2"/>
    <n v="312.68"/>
    <n v="10598"/>
    <n v="462"/>
  </r>
  <r>
    <x v="207"/>
    <n v="2024"/>
    <s v="Q3"/>
    <s v="Jul"/>
    <n v="7"/>
    <n v="1648.57"/>
    <n v="1169"/>
    <n v="3507"/>
    <n v="4.2799999999999998E-2"/>
    <n v="2378.92"/>
    <n v="79465"/>
    <n v="2212"/>
  </r>
  <r>
    <x v="208"/>
    <n v="2024"/>
    <s v="Q3"/>
    <s v="Jul"/>
    <n v="7"/>
    <n v="353.75"/>
    <n v="529"/>
    <n v="2645"/>
    <n v="4.2599999999999999E-2"/>
    <n v="0"/>
    <n v="0"/>
    <n v="0"/>
  </r>
  <r>
    <x v="209"/>
    <n v="2024"/>
    <s v="Q3"/>
    <s v="Jul"/>
    <n v="7"/>
    <n v="94.2"/>
    <n v="648"/>
    <n v="2592"/>
    <n v="5.4100000000000002E-2"/>
    <n v="1251.53"/>
    <n v="31715"/>
    <n v="2824"/>
  </r>
  <r>
    <x v="210"/>
    <n v="2024"/>
    <s v="Q3"/>
    <s v="Jul"/>
    <n v="7"/>
    <n v="410.73"/>
    <n v="1067"/>
    <n v="5335"/>
    <n v="5.7599999999999998E-2"/>
    <n v="996.84"/>
    <n v="6833"/>
    <n v="286"/>
  </r>
  <r>
    <x v="211"/>
    <n v="2024"/>
    <s v="Q3"/>
    <s v="Jul"/>
    <n v="7"/>
    <n v="629.01"/>
    <n v="1110"/>
    <n v="5550"/>
    <n v="6.9900000000000004E-2"/>
    <n v="3067.39"/>
    <n v="112959"/>
    <n v="3741"/>
  </r>
  <r>
    <x v="212"/>
    <n v="2024"/>
    <s v="Q3"/>
    <s v="Jul"/>
    <n v="7"/>
    <n v="2162.02"/>
    <n v="887"/>
    <n v="5322"/>
    <n v="1.37E-2"/>
    <n v="2776.42"/>
    <n v="97691"/>
    <n v="3610"/>
  </r>
  <r>
    <x v="213"/>
    <n v="2024"/>
    <s v="Q3"/>
    <s v="Aug"/>
    <n v="8"/>
    <n v="1264.18"/>
    <n v="653"/>
    <n v="3918"/>
    <n v="4.7600000000000003E-2"/>
    <n v="1345.61"/>
    <n v="31052"/>
    <n v="2148"/>
  </r>
  <r>
    <x v="214"/>
    <n v="2024"/>
    <s v="Q3"/>
    <s v="Aug"/>
    <n v="8"/>
    <n v="1395.5"/>
    <n v="277"/>
    <n v="554"/>
    <n v="5.2499999999999998E-2"/>
    <n v="2260.66"/>
    <n v="70616"/>
    <n v="2187"/>
  </r>
  <r>
    <x v="215"/>
    <n v="2024"/>
    <s v="Q3"/>
    <s v="Aug"/>
    <n v="8"/>
    <n v="352.96"/>
    <n v="388"/>
    <n v="1940"/>
    <n v="2.3400000000000001E-2"/>
    <n v="907.52"/>
    <n v="33211"/>
    <n v="948"/>
  </r>
  <r>
    <x v="216"/>
    <n v="2024"/>
    <s v="Q3"/>
    <s v="Aug"/>
    <n v="8"/>
    <n v="831.04"/>
    <n v="516"/>
    <n v="2580"/>
    <n v="3.2599999999999997E-2"/>
    <n v="2447.33"/>
    <n v="71406"/>
    <n v="2703"/>
  </r>
  <r>
    <x v="217"/>
    <n v="2024"/>
    <s v="Q3"/>
    <s v="Aug"/>
    <n v="8"/>
    <n v="1132.07"/>
    <n v="715"/>
    <n v="2860"/>
    <n v="3.3300000000000003E-2"/>
    <n v="342.7"/>
    <n v="17237"/>
    <n v="1789"/>
  </r>
  <r>
    <x v="218"/>
    <n v="2024"/>
    <s v="Q3"/>
    <s v="Aug"/>
    <n v="8"/>
    <n v="1355.99"/>
    <n v="1150"/>
    <n v="5750"/>
    <n v="2.9499999999999998E-2"/>
    <n v="2158.35"/>
    <n v="96953"/>
    <n v="2592"/>
  </r>
  <r>
    <x v="219"/>
    <n v="2024"/>
    <s v="Q3"/>
    <s v="Aug"/>
    <n v="8"/>
    <n v="1714.61"/>
    <n v="1101"/>
    <n v="5505"/>
    <n v="2.7900000000000001E-2"/>
    <n v="1612.17"/>
    <n v="37470"/>
    <n v="2085"/>
  </r>
  <r>
    <x v="220"/>
    <n v="2024"/>
    <s v="Q3"/>
    <s v="Aug"/>
    <n v="8"/>
    <n v="1515.11"/>
    <n v="333"/>
    <n v="1665"/>
    <n v="1.32E-2"/>
    <n v="1128.3900000000001"/>
    <n v="95410"/>
    <n v="2375"/>
  </r>
  <r>
    <x v="221"/>
    <n v="2024"/>
    <s v="Q3"/>
    <s v="Aug"/>
    <n v="8"/>
    <n v="1503.44"/>
    <n v="802"/>
    <n v="1604"/>
    <n v="7.4999999999999997E-2"/>
    <n v="2019.31"/>
    <n v="40034"/>
    <n v="3138"/>
  </r>
  <r>
    <x v="222"/>
    <n v="2024"/>
    <s v="Q3"/>
    <s v="Aug"/>
    <n v="8"/>
    <n v="576.70000000000005"/>
    <n v="608"/>
    <n v="1824"/>
    <n v="5.2999999999999999E-2"/>
    <n v="0"/>
    <n v="0"/>
    <n v="0"/>
  </r>
  <r>
    <x v="223"/>
    <n v="2024"/>
    <s v="Q3"/>
    <s v="Aug"/>
    <n v="8"/>
    <n v="1542.18"/>
    <n v="1049"/>
    <n v="2098"/>
    <n v="5.9499999999999997E-2"/>
    <n v="1126.3699999999999"/>
    <n v="54008"/>
    <n v="2328"/>
  </r>
  <r>
    <x v="224"/>
    <n v="2024"/>
    <s v="Q3"/>
    <s v="Aug"/>
    <n v="8"/>
    <n v="1357.95"/>
    <n v="503"/>
    <n v="1509"/>
    <n v="6.4899999999999999E-2"/>
    <n v="504.38"/>
    <n v="4019"/>
    <n v="1000"/>
  </r>
  <r>
    <x v="225"/>
    <n v="2024"/>
    <s v="Q3"/>
    <s v="Aug"/>
    <n v="8"/>
    <n v="266.02"/>
    <n v="886"/>
    <n v="2658"/>
    <n v="2.7E-2"/>
    <n v="1628.13"/>
    <n v="22954"/>
    <n v="2583"/>
  </r>
  <r>
    <x v="226"/>
    <n v="2024"/>
    <s v="Q3"/>
    <s v="Aug"/>
    <n v="8"/>
    <n v="1502.87"/>
    <n v="734"/>
    <n v="1468"/>
    <n v="4.7500000000000001E-2"/>
    <n v="0"/>
    <n v="0"/>
    <n v="0"/>
  </r>
  <r>
    <x v="227"/>
    <n v="2024"/>
    <s v="Q3"/>
    <s v="Aug"/>
    <n v="8"/>
    <n v="2122.5300000000002"/>
    <n v="473"/>
    <n v="2365"/>
    <n v="5.6099999999999997E-2"/>
    <n v="2126.5700000000002"/>
    <n v="117258"/>
    <n v="3272"/>
  </r>
  <r>
    <x v="228"/>
    <n v="2024"/>
    <s v="Q3"/>
    <s v="Aug"/>
    <n v="8"/>
    <n v="2031.15"/>
    <n v="1035"/>
    <n v="4140"/>
    <n v="2.2599999999999999E-2"/>
    <n v="442.64"/>
    <n v="75056"/>
    <n v="1862"/>
  </r>
  <r>
    <x v="229"/>
    <n v="2024"/>
    <s v="Q3"/>
    <s v="Aug"/>
    <n v="8"/>
    <n v="56.32"/>
    <n v="871"/>
    <n v="1742"/>
    <n v="6.0999999999999999E-2"/>
    <n v="2564.66"/>
    <n v="66181"/>
    <n v="3165"/>
  </r>
  <r>
    <x v="230"/>
    <n v="2024"/>
    <s v="Q3"/>
    <s v="Aug"/>
    <n v="8"/>
    <n v="1968.22"/>
    <n v="417"/>
    <n v="1668"/>
    <n v="1.8800000000000001E-2"/>
    <n v="4134.4399999999996"/>
    <n v="105908"/>
    <n v="2341"/>
  </r>
  <r>
    <x v="231"/>
    <n v="2024"/>
    <s v="Q3"/>
    <s v="Aug"/>
    <n v="8"/>
    <n v="1062.1099999999999"/>
    <n v="276"/>
    <n v="1104"/>
    <n v="4.8300000000000003E-2"/>
    <n v="689.61"/>
    <n v="73303"/>
    <n v="1805"/>
  </r>
  <r>
    <x v="232"/>
    <n v="2024"/>
    <s v="Q3"/>
    <s v="Aug"/>
    <n v="8"/>
    <n v="448.96"/>
    <n v="1179"/>
    <n v="5895"/>
    <n v="3.6999999999999998E-2"/>
    <n v="1247.5899999999999"/>
    <n v="25870"/>
    <n v="1204"/>
  </r>
  <r>
    <x v="233"/>
    <n v="2024"/>
    <s v="Q3"/>
    <s v="Aug"/>
    <n v="8"/>
    <n v="1287.5999999999999"/>
    <n v="982"/>
    <n v="2946"/>
    <n v="1.6799999999999999E-2"/>
    <n v="1190.6099999999999"/>
    <n v="30036"/>
    <n v="444"/>
  </r>
  <r>
    <x v="234"/>
    <n v="2024"/>
    <s v="Q3"/>
    <s v="Aug"/>
    <n v="8"/>
    <n v="1460.96"/>
    <n v="957"/>
    <n v="2871"/>
    <n v="1.84E-2"/>
    <n v="1171.73"/>
    <n v="34189"/>
    <n v="1709"/>
  </r>
  <r>
    <x v="235"/>
    <n v="2024"/>
    <s v="Q3"/>
    <s v="Aug"/>
    <n v="8"/>
    <n v="226.25"/>
    <n v="1041"/>
    <n v="4164"/>
    <n v="6.5600000000000006E-2"/>
    <n v="228.39"/>
    <n v="14352"/>
    <n v="1514"/>
  </r>
  <r>
    <x v="236"/>
    <n v="2024"/>
    <s v="Q3"/>
    <s v="Aug"/>
    <n v="8"/>
    <n v="792.35"/>
    <n v="864"/>
    <n v="1728"/>
    <n v="6.2199999999999998E-2"/>
    <n v="944.84"/>
    <n v="34958"/>
    <n v="1110"/>
  </r>
  <r>
    <x v="237"/>
    <n v="2024"/>
    <s v="Q3"/>
    <s v="Aug"/>
    <n v="8"/>
    <n v="600.39"/>
    <n v="829"/>
    <n v="1658"/>
    <n v="3.39E-2"/>
    <n v="164.78"/>
    <n v="13449"/>
    <n v="110"/>
  </r>
  <r>
    <x v="238"/>
    <n v="2024"/>
    <s v="Q3"/>
    <s v="Aug"/>
    <n v="8"/>
    <n v="502.61"/>
    <n v="688"/>
    <n v="2752"/>
    <n v="1.6299999999999999E-2"/>
    <n v="517.49"/>
    <n v="37122"/>
    <n v="763"/>
  </r>
  <r>
    <x v="239"/>
    <n v="2024"/>
    <s v="Q3"/>
    <s v="Aug"/>
    <n v="8"/>
    <n v="620.86"/>
    <n v="913"/>
    <n v="3652"/>
    <n v="1.2800000000000001E-2"/>
    <n v="753.74"/>
    <n v="7650"/>
    <n v="164"/>
  </r>
  <r>
    <x v="240"/>
    <n v="2024"/>
    <s v="Q3"/>
    <s v="Aug"/>
    <n v="8"/>
    <n v="904.72"/>
    <n v="680"/>
    <n v="3400"/>
    <n v="1.8599999999999998E-2"/>
    <n v="3253.82"/>
    <n v="59948"/>
    <n v="4770"/>
  </r>
  <r>
    <x v="241"/>
    <n v="2024"/>
    <s v="Q3"/>
    <s v="Aug"/>
    <n v="8"/>
    <n v="270.91000000000003"/>
    <n v="620"/>
    <n v="3100"/>
    <n v="5.6599999999999998E-2"/>
    <n v="1765.24"/>
    <n v="28263"/>
    <n v="396"/>
  </r>
  <r>
    <x v="242"/>
    <n v="2024"/>
    <s v="Q3"/>
    <s v="Aug"/>
    <n v="8"/>
    <n v="1978.55"/>
    <n v="695"/>
    <n v="2085"/>
    <n v="5.8200000000000002E-2"/>
    <n v="469.31"/>
    <n v="64193"/>
    <n v="640"/>
  </r>
  <r>
    <x v="243"/>
    <n v="2024"/>
    <s v="Q3"/>
    <s v="Aug"/>
    <n v="8"/>
    <n v="2234.0500000000002"/>
    <n v="916"/>
    <n v="3664"/>
    <n v="5.0799999999999998E-2"/>
    <n v="782.26"/>
    <n v="13231"/>
    <n v="199"/>
  </r>
  <r>
    <x v="244"/>
    <n v="2024"/>
    <s v="Q3"/>
    <s v="Sep"/>
    <n v="9"/>
    <n v="951.65"/>
    <n v="1191"/>
    <n v="7146"/>
    <n v="6.08E-2"/>
    <n v="55.37"/>
    <n v="36981"/>
    <n v="438"/>
  </r>
  <r>
    <x v="245"/>
    <n v="2024"/>
    <s v="Q3"/>
    <s v="Sep"/>
    <n v="9"/>
    <n v="249.68"/>
    <n v="726"/>
    <n v="3630"/>
    <n v="6.4000000000000001E-2"/>
    <n v="2528.65"/>
    <n v="97256"/>
    <n v="3459"/>
  </r>
  <r>
    <x v="246"/>
    <n v="2024"/>
    <s v="Q3"/>
    <s v="Sep"/>
    <n v="9"/>
    <n v="1369.75"/>
    <n v="856"/>
    <n v="3424"/>
    <n v="3.2300000000000002E-2"/>
    <n v="627.11"/>
    <n v="11107"/>
    <n v="930"/>
  </r>
  <r>
    <x v="247"/>
    <n v="2024"/>
    <s v="Q3"/>
    <s v="Sep"/>
    <n v="9"/>
    <n v="581.79"/>
    <n v="501"/>
    <n v="1002"/>
    <n v="2.9600000000000001E-2"/>
    <n v="0"/>
    <n v="0"/>
    <n v="0"/>
  </r>
  <r>
    <x v="248"/>
    <n v="2024"/>
    <s v="Q3"/>
    <s v="Sep"/>
    <n v="9"/>
    <n v="1657.34"/>
    <n v="711"/>
    <n v="2133"/>
    <n v="5.9299999999999999E-2"/>
    <n v="994.17"/>
    <n v="35768"/>
    <n v="1650"/>
  </r>
  <r>
    <x v="249"/>
    <n v="2024"/>
    <s v="Q3"/>
    <s v="Sep"/>
    <n v="9"/>
    <n v="667.02"/>
    <n v="833"/>
    <n v="4998"/>
    <n v="5.4100000000000002E-2"/>
    <n v="1583.92"/>
    <n v="101789"/>
    <n v="1057"/>
  </r>
  <r>
    <x v="250"/>
    <n v="2024"/>
    <s v="Q3"/>
    <s v="Sep"/>
    <n v="9"/>
    <n v="1138.6300000000001"/>
    <n v="594"/>
    <n v="1188"/>
    <n v="4.3099999999999999E-2"/>
    <n v="2892.89"/>
    <n v="69330"/>
    <n v="3804"/>
  </r>
  <r>
    <x v="251"/>
    <n v="2024"/>
    <s v="Q3"/>
    <s v="Sep"/>
    <n v="9"/>
    <n v="2429.27"/>
    <n v="582"/>
    <n v="1746"/>
    <n v="4.2700000000000002E-2"/>
    <n v="439.71"/>
    <n v="22479"/>
    <n v="1038"/>
  </r>
  <r>
    <x v="252"/>
    <n v="2024"/>
    <s v="Q3"/>
    <s v="Sep"/>
    <n v="9"/>
    <n v="1396.3"/>
    <n v="613"/>
    <n v="2452"/>
    <n v="3.3399999999999999E-2"/>
    <n v="2650.63"/>
    <n v="138222"/>
    <n v="1929"/>
  </r>
  <r>
    <x v="253"/>
    <n v="2024"/>
    <s v="Q3"/>
    <s v="Sep"/>
    <n v="9"/>
    <n v="1097.8"/>
    <n v="1151"/>
    <n v="6906"/>
    <n v="5.62E-2"/>
    <n v="1546.02"/>
    <n v="48794"/>
    <n v="3101"/>
  </r>
  <r>
    <x v="254"/>
    <n v="2024"/>
    <s v="Q3"/>
    <s v="Sep"/>
    <n v="9"/>
    <n v="1729.88"/>
    <n v="532"/>
    <n v="3192"/>
    <n v="1.26E-2"/>
    <n v="1605.22"/>
    <n v="122616"/>
    <n v="4274"/>
  </r>
  <r>
    <x v="255"/>
    <n v="2024"/>
    <s v="Q3"/>
    <s v="Sep"/>
    <n v="9"/>
    <n v="1365.67"/>
    <n v="445"/>
    <n v="890"/>
    <n v="2.7199999999999998E-2"/>
    <n v="1451.56"/>
    <n v="28893"/>
    <n v="2351"/>
  </r>
  <r>
    <x v="256"/>
    <n v="2024"/>
    <s v="Q3"/>
    <s v="Sep"/>
    <n v="9"/>
    <n v="1899.77"/>
    <n v="666"/>
    <n v="3330"/>
    <n v="4.7E-2"/>
    <n v="1590.85"/>
    <n v="34444"/>
    <n v="1673"/>
  </r>
  <r>
    <x v="257"/>
    <n v="2024"/>
    <s v="Q3"/>
    <s v="Sep"/>
    <n v="9"/>
    <n v="645.47"/>
    <n v="496"/>
    <n v="2480"/>
    <n v="5.2699999999999997E-2"/>
    <n v="1248.17"/>
    <n v="40950"/>
    <n v="983"/>
  </r>
  <r>
    <x v="258"/>
    <n v="2024"/>
    <s v="Q3"/>
    <s v="Sep"/>
    <n v="9"/>
    <n v="1094.42"/>
    <n v="752"/>
    <n v="3760"/>
    <n v="6.2E-2"/>
    <n v="0"/>
    <n v="0"/>
    <n v="0"/>
  </r>
  <r>
    <x v="259"/>
    <n v="2024"/>
    <s v="Q3"/>
    <s v="Sep"/>
    <n v="9"/>
    <n v="405.3"/>
    <n v="345"/>
    <n v="1380"/>
    <n v="2.5999999999999999E-2"/>
    <n v="1182.0899999999999"/>
    <n v="59624"/>
    <n v="974"/>
  </r>
  <r>
    <x v="260"/>
    <n v="2024"/>
    <s v="Q3"/>
    <s v="Sep"/>
    <n v="9"/>
    <n v="584.57000000000005"/>
    <n v="958"/>
    <n v="2874"/>
    <n v="3.1300000000000001E-2"/>
    <n v="0"/>
    <n v="0"/>
    <n v="0"/>
  </r>
  <r>
    <x v="261"/>
    <n v="2024"/>
    <s v="Q3"/>
    <s v="Sep"/>
    <n v="9"/>
    <n v="1552.32"/>
    <n v="845"/>
    <n v="3380"/>
    <n v="4.1799999999999997E-2"/>
    <n v="3275.41"/>
    <n v="63160"/>
    <n v="4279"/>
  </r>
  <r>
    <x v="262"/>
    <n v="2024"/>
    <s v="Q3"/>
    <s v="Sep"/>
    <n v="9"/>
    <n v="1364.94"/>
    <n v="793"/>
    <n v="3172"/>
    <n v="3.8800000000000001E-2"/>
    <n v="1254.6400000000001"/>
    <n v="54370"/>
    <n v="3085"/>
  </r>
  <r>
    <x v="263"/>
    <n v="2024"/>
    <s v="Q3"/>
    <s v="Sep"/>
    <n v="9"/>
    <n v="349.42"/>
    <n v="1013"/>
    <n v="6078"/>
    <n v="3.2800000000000003E-2"/>
    <n v="205.93"/>
    <n v="28974"/>
    <n v="151"/>
  </r>
  <r>
    <x v="264"/>
    <n v="2024"/>
    <s v="Q3"/>
    <s v="Sep"/>
    <n v="9"/>
    <n v="456.74"/>
    <n v="969"/>
    <n v="4845"/>
    <n v="2.9100000000000001E-2"/>
    <n v="641.46"/>
    <n v="35340"/>
    <n v="942"/>
  </r>
  <r>
    <x v="265"/>
    <n v="2024"/>
    <s v="Q3"/>
    <s v="Sep"/>
    <n v="9"/>
    <n v="1257.94"/>
    <n v="507"/>
    <n v="1521"/>
    <n v="1.9599999999999999E-2"/>
    <n v="1022.82"/>
    <n v="18423"/>
    <n v="432"/>
  </r>
  <r>
    <x v="266"/>
    <n v="2024"/>
    <s v="Q3"/>
    <s v="Sep"/>
    <n v="9"/>
    <n v="1448.53"/>
    <n v="447"/>
    <n v="1788"/>
    <n v="1.95E-2"/>
    <n v="855.97"/>
    <n v="26411"/>
    <n v="968"/>
  </r>
  <r>
    <x v="267"/>
    <n v="2024"/>
    <s v="Q3"/>
    <s v="Sep"/>
    <n v="9"/>
    <n v="987.35"/>
    <n v="798"/>
    <n v="2394"/>
    <n v="2.41E-2"/>
    <n v="2528.85"/>
    <n v="54713"/>
    <n v="4210"/>
  </r>
  <r>
    <x v="268"/>
    <n v="2024"/>
    <s v="Q3"/>
    <s v="Sep"/>
    <n v="9"/>
    <n v="1168.25"/>
    <n v="1006"/>
    <n v="5030"/>
    <n v="2.9399999999999999E-2"/>
    <n v="973.61"/>
    <n v="42873"/>
    <n v="2380"/>
  </r>
  <r>
    <x v="269"/>
    <n v="2024"/>
    <s v="Q3"/>
    <s v="Sep"/>
    <n v="9"/>
    <n v="408.22"/>
    <n v="853"/>
    <n v="5118"/>
    <n v="4.9599999999999998E-2"/>
    <n v="102.23"/>
    <n v="27903"/>
    <n v="1257"/>
  </r>
  <r>
    <x v="270"/>
    <n v="2024"/>
    <s v="Q3"/>
    <s v="Sep"/>
    <n v="9"/>
    <n v="1429.52"/>
    <n v="352"/>
    <n v="1056"/>
    <n v="3.0700000000000002E-2"/>
    <n v="887.04"/>
    <n v="16594"/>
    <n v="1739"/>
  </r>
  <r>
    <x v="271"/>
    <n v="2024"/>
    <s v="Q3"/>
    <s v="Sep"/>
    <n v="9"/>
    <n v="959.23"/>
    <n v="619"/>
    <n v="1857"/>
    <n v="3.1E-2"/>
    <n v="1065.78"/>
    <n v="46351"/>
    <n v="2578"/>
  </r>
  <r>
    <x v="272"/>
    <n v="2024"/>
    <s v="Q3"/>
    <s v="Sep"/>
    <n v="9"/>
    <n v="1651.46"/>
    <n v="975"/>
    <n v="5850"/>
    <n v="0.02"/>
    <n v="800.02"/>
    <n v="49729"/>
    <n v="2201"/>
  </r>
  <r>
    <x v="273"/>
    <n v="2024"/>
    <s v="Q3"/>
    <s v="Sep"/>
    <n v="9"/>
    <n v="925.27"/>
    <n v="296"/>
    <n v="592"/>
    <n v="4.6899999999999997E-2"/>
    <n v="2858.17"/>
    <n v="69257"/>
    <n v="4775"/>
  </r>
  <r>
    <x v="274"/>
    <n v="2024"/>
    <s v="Q4"/>
    <s v="Oct"/>
    <n v="10"/>
    <n v="593.39"/>
    <n v="964"/>
    <n v="2892"/>
    <n v="5.2200000000000003E-2"/>
    <n v="1661.14"/>
    <n v="75397"/>
    <n v="2906"/>
  </r>
  <r>
    <x v="275"/>
    <n v="2024"/>
    <s v="Q4"/>
    <s v="Oct"/>
    <n v="10"/>
    <n v="1887.19"/>
    <n v="1020"/>
    <n v="5100"/>
    <n v="1.8499999999999999E-2"/>
    <n v="1098.08"/>
    <n v="32581"/>
    <n v="2047"/>
  </r>
  <r>
    <x v="276"/>
    <n v="2024"/>
    <s v="Q4"/>
    <s v="Oct"/>
    <n v="10"/>
    <n v="1679.31"/>
    <n v="262"/>
    <n v="1572"/>
    <n v="2.9899999999999999E-2"/>
    <n v="4331.1899999999996"/>
    <n v="137605"/>
    <n v="4840"/>
  </r>
  <r>
    <x v="277"/>
    <n v="2024"/>
    <s v="Q4"/>
    <s v="Oct"/>
    <n v="10"/>
    <n v="2220.38"/>
    <n v="740"/>
    <n v="3700"/>
    <n v="3.3500000000000002E-2"/>
    <n v="1166.31"/>
    <n v="40648"/>
    <n v="495"/>
  </r>
  <r>
    <x v="278"/>
    <n v="2024"/>
    <s v="Q4"/>
    <s v="Oct"/>
    <n v="10"/>
    <n v="1160.1099999999999"/>
    <n v="302"/>
    <n v="1208"/>
    <n v="7.1300000000000002E-2"/>
    <n v="1780.71"/>
    <n v="60847"/>
    <n v="3180"/>
  </r>
  <r>
    <x v="279"/>
    <n v="2024"/>
    <s v="Q4"/>
    <s v="Oct"/>
    <n v="10"/>
    <n v="604.86"/>
    <n v="739"/>
    <n v="1478"/>
    <n v="6.3799999999999996E-2"/>
    <n v="1154.1500000000001"/>
    <n v="11442"/>
    <n v="640"/>
  </r>
  <r>
    <x v="280"/>
    <n v="2024"/>
    <s v="Q4"/>
    <s v="Oct"/>
    <n v="10"/>
    <n v="127.45"/>
    <n v="660"/>
    <n v="3300"/>
    <n v="1.67E-2"/>
    <n v="708.61"/>
    <n v="11820"/>
    <n v="366"/>
  </r>
  <r>
    <x v="281"/>
    <n v="2024"/>
    <s v="Q4"/>
    <s v="Oct"/>
    <n v="10"/>
    <n v="1457.78"/>
    <n v="894"/>
    <n v="1788"/>
    <n v="2.1600000000000001E-2"/>
    <n v="1862.98"/>
    <n v="110041"/>
    <n v="3941"/>
  </r>
  <r>
    <x v="282"/>
    <n v="2024"/>
    <s v="Q4"/>
    <s v="Oct"/>
    <n v="10"/>
    <n v="1492.09"/>
    <n v="1080"/>
    <n v="6480"/>
    <n v="7.1800000000000003E-2"/>
    <n v="1665.46"/>
    <n v="73293"/>
    <n v="3436"/>
  </r>
  <r>
    <x v="283"/>
    <n v="2024"/>
    <s v="Q4"/>
    <s v="Oct"/>
    <n v="10"/>
    <n v="1437.44"/>
    <n v="337"/>
    <n v="1011"/>
    <n v="1.95E-2"/>
    <n v="1406.39"/>
    <n v="51104"/>
    <n v="1592"/>
  </r>
  <r>
    <x v="284"/>
    <n v="2024"/>
    <s v="Q4"/>
    <s v="Oct"/>
    <n v="10"/>
    <n v="305.85000000000002"/>
    <n v="1032"/>
    <n v="5160"/>
    <n v="5.0200000000000002E-2"/>
    <n v="391.3"/>
    <n v="42601"/>
    <n v="2964"/>
  </r>
  <r>
    <x v="285"/>
    <n v="2024"/>
    <s v="Q4"/>
    <s v="Oct"/>
    <n v="10"/>
    <n v="1392.47"/>
    <n v="1059"/>
    <n v="6354"/>
    <n v="2.6200000000000001E-2"/>
    <n v="1153.6500000000001"/>
    <n v="69455"/>
    <n v="1355"/>
  </r>
  <r>
    <x v="286"/>
    <n v="2024"/>
    <s v="Q4"/>
    <s v="Oct"/>
    <n v="10"/>
    <n v="1950.75"/>
    <n v="785"/>
    <n v="3925"/>
    <n v="4.0399999999999998E-2"/>
    <n v="1928.98"/>
    <n v="47523"/>
    <n v="3065"/>
  </r>
  <r>
    <x v="287"/>
    <n v="2024"/>
    <s v="Q4"/>
    <s v="Oct"/>
    <n v="10"/>
    <n v="764.24"/>
    <n v="703"/>
    <n v="2812"/>
    <n v="6.6199999999999995E-2"/>
    <n v="931.56"/>
    <n v="115516"/>
    <n v="3525"/>
  </r>
  <r>
    <x v="288"/>
    <n v="2024"/>
    <s v="Q4"/>
    <s v="Oct"/>
    <n v="10"/>
    <n v="0"/>
    <n v="689"/>
    <n v="2756"/>
    <n v="4.7800000000000002E-2"/>
    <n v="4025.35"/>
    <n v="105857"/>
    <n v="4937"/>
  </r>
  <r>
    <x v="289"/>
    <n v="2024"/>
    <s v="Q4"/>
    <s v="Oct"/>
    <n v="10"/>
    <n v="377.76"/>
    <n v="311"/>
    <n v="1866"/>
    <n v="7.2499999999999995E-2"/>
    <n v="1955.69"/>
    <n v="40394"/>
    <n v="2978"/>
  </r>
  <r>
    <x v="290"/>
    <n v="2024"/>
    <s v="Q4"/>
    <s v="Oct"/>
    <n v="10"/>
    <n v="1585.74"/>
    <n v="351"/>
    <n v="1053"/>
    <n v="5.1400000000000001E-2"/>
    <n v="3417.75"/>
    <n v="103995"/>
    <n v="4039"/>
  </r>
  <r>
    <x v="291"/>
    <n v="2024"/>
    <s v="Q4"/>
    <s v="Oct"/>
    <n v="10"/>
    <n v="2992.58"/>
    <n v="520"/>
    <n v="1040"/>
    <n v="2.1899999999999999E-2"/>
    <n v="473.16"/>
    <n v="40706"/>
    <n v="3250"/>
  </r>
  <r>
    <x v="292"/>
    <n v="2024"/>
    <s v="Q4"/>
    <s v="Oct"/>
    <n v="10"/>
    <n v="943.44"/>
    <n v="427"/>
    <n v="2562"/>
    <n v="1.67E-2"/>
    <n v="1026.43"/>
    <n v="44536"/>
    <n v="698"/>
  </r>
  <r>
    <x v="293"/>
    <n v="2024"/>
    <s v="Q4"/>
    <s v="Oct"/>
    <n v="10"/>
    <n v="1115.1500000000001"/>
    <n v="252"/>
    <n v="1260"/>
    <n v="4.0399999999999998E-2"/>
    <n v="1156.3499999999999"/>
    <n v="43250"/>
    <n v="2686"/>
  </r>
  <r>
    <x v="294"/>
    <n v="2024"/>
    <s v="Q4"/>
    <s v="Oct"/>
    <n v="10"/>
    <n v="1417.16"/>
    <n v="858"/>
    <n v="4290"/>
    <n v="3.0300000000000001E-2"/>
    <n v="714.1"/>
    <n v="23015"/>
    <n v="515"/>
  </r>
  <r>
    <x v="295"/>
    <n v="2024"/>
    <s v="Q4"/>
    <s v="Oct"/>
    <n v="10"/>
    <n v="1114"/>
    <n v="487"/>
    <n v="1948"/>
    <n v="5.6500000000000002E-2"/>
    <n v="1647.31"/>
    <n v="108569"/>
    <n v="2139"/>
  </r>
  <r>
    <x v="296"/>
    <n v="2024"/>
    <s v="Q4"/>
    <s v="Oct"/>
    <n v="10"/>
    <n v="863.34"/>
    <n v="969"/>
    <n v="4845"/>
    <n v="1.6500000000000001E-2"/>
    <n v="3495.19"/>
    <n v="97554"/>
    <n v="3235"/>
  </r>
  <r>
    <x v="297"/>
    <n v="2024"/>
    <s v="Q4"/>
    <s v="Oct"/>
    <n v="10"/>
    <n v="1068.47"/>
    <n v="489"/>
    <n v="1956"/>
    <n v="6.1600000000000002E-2"/>
    <n v="2918.78"/>
    <n v="99022"/>
    <n v="2956"/>
  </r>
  <r>
    <x v="298"/>
    <n v="2024"/>
    <s v="Q4"/>
    <s v="Oct"/>
    <n v="10"/>
    <n v="1406.77"/>
    <n v="890"/>
    <n v="5340"/>
    <n v="5.3699999999999998E-2"/>
    <n v="1746.65"/>
    <n v="107912"/>
    <n v="2128"/>
  </r>
  <r>
    <x v="299"/>
    <n v="2024"/>
    <s v="Q4"/>
    <s v="Oct"/>
    <n v="10"/>
    <n v="932.24"/>
    <n v="452"/>
    <n v="2260"/>
    <n v="1.9199999999999998E-2"/>
    <n v="228.72"/>
    <n v="12772"/>
    <n v="950"/>
  </r>
  <r>
    <x v="300"/>
    <n v="2024"/>
    <s v="Q4"/>
    <s v="Oct"/>
    <n v="10"/>
    <n v="1195.51"/>
    <n v="480"/>
    <n v="1440"/>
    <n v="6.9199999999999998E-2"/>
    <n v="2447.9299999999998"/>
    <n v="115129"/>
    <n v="1537"/>
  </r>
  <r>
    <x v="301"/>
    <n v="2024"/>
    <s v="Q4"/>
    <s v="Oct"/>
    <n v="10"/>
    <n v="645.37"/>
    <n v="1096"/>
    <n v="3288"/>
    <n v="1.6500000000000001E-2"/>
    <n v="203.96"/>
    <n v="34841"/>
    <n v="1075"/>
  </r>
  <r>
    <x v="302"/>
    <n v="2024"/>
    <s v="Q4"/>
    <s v="Oct"/>
    <n v="10"/>
    <n v="1532.83"/>
    <n v="419"/>
    <n v="1676"/>
    <n v="4.9500000000000002E-2"/>
    <n v="794.35"/>
    <n v="28928"/>
    <n v="75"/>
  </r>
  <r>
    <x v="303"/>
    <n v="2024"/>
    <s v="Q4"/>
    <s v="Oct"/>
    <n v="10"/>
    <n v="1373.95"/>
    <n v="1094"/>
    <n v="6564"/>
    <n v="7.0000000000000007E-2"/>
    <n v="647.36"/>
    <n v="31167"/>
    <n v="49"/>
  </r>
  <r>
    <x v="304"/>
    <n v="2024"/>
    <s v="Q4"/>
    <s v="Oct"/>
    <n v="10"/>
    <n v="785.15"/>
    <n v="699"/>
    <n v="1398"/>
    <n v="4.1500000000000002E-2"/>
    <n v="582.12"/>
    <n v="38327"/>
    <n v="1651"/>
  </r>
  <r>
    <x v="305"/>
    <n v="2024"/>
    <s v="Q4"/>
    <s v="Nov"/>
    <n v="11"/>
    <n v="893.61"/>
    <n v="561"/>
    <n v="2805"/>
    <n v="7.1400000000000005E-2"/>
    <n v="2775.09"/>
    <n v="85117"/>
    <n v="3425"/>
  </r>
  <r>
    <x v="306"/>
    <n v="2024"/>
    <s v="Q4"/>
    <s v="Nov"/>
    <n v="11"/>
    <n v="361.65"/>
    <n v="762"/>
    <n v="4572"/>
    <n v="4.3099999999999999E-2"/>
    <n v="1060.29"/>
    <n v="20576"/>
    <n v="205"/>
  </r>
  <r>
    <x v="307"/>
    <n v="2024"/>
    <s v="Q4"/>
    <s v="Nov"/>
    <n v="11"/>
    <n v="1421.09"/>
    <n v="332"/>
    <n v="1992"/>
    <n v="1.4500000000000001E-2"/>
    <n v="0"/>
    <n v="0"/>
    <n v="0"/>
  </r>
  <r>
    <x v="308"/>
    <n v="2024"/>
    <s v="Q4"/>
    <s v="Nov"/>
    <n v="11"/>
    <n v="727.01"/>
    <n v="692"/>
    <n v="2768"/>
    <n v="0.05"/>
    <n v="942.57"/>
    <n v="14681"/>
    <n v="632"/>
  </r>
  <r>
    <x v="309"/>
    <n v="2024"/>
    <s v="Q4"/>
    <s v="Nov"/>
    <n v="11"/>
    <n v="1788.79"/>
    <n v="276"/>
    <n v="552"/>
    <n v="2.64E-2"/>
    <n v="3014.09"/>
    <n v="88637"/>
    <n v="995"/>
  </r>
  <r>
    <x v="310"/>
    <n v="2024"/>
    <s v="Q4"/>
    <s v="Nov"/>
    <n v="11"/>
    <n v="2080.89"/>
    <n v="940"/>
    <n v="5640"/>
    <n v="4.9000000000000002E-2"/>
    <n v="230.67"/>
    <n v="8636"/>
    <n v="708"/>
  </r>
  <r>
    <x v="311"/>
    <n v="2024"/>
    <s v="Q4"/>
    <s v="Nov"/>
    <n v="11"/>
    <n v="1621.66"/>
    <n v="271"/>
    <n v="1084"/>
    <n v="4.8300000000000003E-2"/>
    <n v="1703.87"/>
    <n v="75536"/>
    <n v="4735"/>
  </r>
  <r>
    <x v="312"/>
    <n v="2024"/>
    <s v="Q4"/>
    <s v="Nov"/>
    <n v="11"/>
    <n v="900.01"/>
    <n v="1031"/>
    <n v="3093"/>
    <n v="4.1599999999999998E-2"/>
    <n v="197.96"/>
    <n v="8336"/>
    <n v="836"/>
  </r>
  <r>
    <x v="313"/>
    <n v="2024"/>
    <s v="Q4"/>
    <s v="Nov"/>
    <n v="11"/>
    <n v="1913.98"/>
    <n v="917"/>
    <n v="4585"/>
    <n v="6.9699999999999998E-2"/>
    <n v="1633.67"/>
    <n v="43013"/>
    <n v="1485"/>
  </r>
  <r>
    <x v="314"/>
    <n v="2024"/>
    <s v="Q4"/>
    <s v="Nov"/>
    <n v="11"/>
    <n v="634.85"/>
    <n v="435"/>
    <n v="2610"/>
    <n v="3.95E-2"/>
    <n v="1837.93"/>
    <n v="65263"/>
    <n v="1968"/>
  </r>
  <r>
    <x v="315"/>
    <n v="2024"/>
    <s v="Q4"/>
    <s v="Nov"/>
    <n v="11"/>
    <n v="699.68"/>
    <n v="1083"/>
    <n v="5415"/>
    <n v="7.3099999999999998E-2"/>
    <n v="1038.96"/>
    <n v="7681"/>
    <n v="235"/>
  </r>
  <r>
    <x v="316"/>
    <n v="2024"/>
    <s v="Q4"/>
    <s v="Nov"/>
    <n v="11"/>
    <n v="525.88"/>
    <n v="731"/>
    <n v="2924"/>
    <n v="3.7699999999999997E-2"/>
    <n v="5039.82"/>
    <n v="206265"/>
    <n v="4958"/>
  </r>
  <r>
    <x v="317"/>
    <n v="2024"/>
    <s v="Q4"/>
    <s v="Nov"/>
    <n v="11"/>
    <n v="567.5"/>
    <n v="578"/>
    <n v="1156"/>
    <n v="6.6000000000000003E-2"/>
    <n v="1848.85"/>
    <n v="49404"/>
    <n v="2427"/>
  </r>
  <r>
    <x v="318"/>
    <n v="2024"/>
    <s v="Q4"/>
    <s v="Nov"/>
    <n v="11"/>
    <n v="463.97"/>
    <n v="587"/>
    <n v="2935"/>
    <n v="5.57E-2"/>
    <n v="3140.47"/>
    <n v="126967"/>
    <n v="4269"/>
  </r>
  <r>
    <x v="319"/>
    <n v="2024"/>
    <s v="Q4"/>
    <s v="Nov"/>
    <n v="11"/>
    <n v="469.88"/>
    <n v="545"/>
    <n v="2725"/>
    <n v="6.3299999999999995E-2"/>
    <n v="0"/>
    <n v="0"/>
    <n v="0"/>
  </r>
  <r>
    <x v="320"/>
    <n v="2024"/>
    <s v="Q4"/>
    <s v="Nov"/>
    <n v="11"/>
    <n v="1343.51"/>
    <n v="813"/>
    <n v="1626"/>
    <n v="4.07E-2"/>
    <n v="732.88"/>
    <n v="14815"/>
    <n v="967"/>
  </r>
  <r>
    <x v="321"/>
    <n v="2024"/>
    <s v="Q4"/>
    <s v="Nov"/>
    <n v="11"/>
    <n v="986.62"/>
    <n v="572"/>
    <n v="2288"/>
    <n v="3.2399999999999998E-2"/>
    <n v="1009.22"/>
    <n v="18900"/>
    <n v="684"/>
  </r>
  <r>
    <x v="322"/>
    <n v="2024"/>
    <s v="Q4"/>
    <s v="Nov"/>
    <n v="11"/>
    <n v="962.59"/>
    <n v="1041"/>
    <n v="5205"/>
    <n v="6.6500000000000004E-2"/>
    <n v="1172.8499999999999"/>
    <n v="41697"/>
    <n v="1789"/>
  </r>
  <r>
    <x v="323"/>
    <n v="2024"/>
    <s v="Q4"/>
    <s v="Nov"/>
    <n v="11"/>
    <n v="1699.88"/>
    <n v="1094"/>
    <n v="2188"/>
    <n v="5.3400000000000003E-2"/>
    <n v="125.8"/>
    <n v="8193"/>
    <n v="1172"/>
  </r>
  <r>
    <x v="324"/>
    <n v="2024"/>
    <s v="Q4"/>
    <s v="Nov"/>
    <n v="11"/>
    <n v="375.76"/>
    <n v="805"/>
    <n v="4025"/>
    <n v="3.7999999999999999E-2"/>
    <n v="1494.54"/>
    <n v="92602"/>
    <n v="2608"/>
  </r>
  <r>
    <x v="325"/>
    <n v="2024"/>
    <s v="Q4"/>
    <s v="Nov"/>
    <n v="11"/>
    <n v="1086.8"/>
    <n v="442"/>
    <n v="2652"/>
    <n v="3.4799999999999998E-2"/>
    <n v="3180.05"/>
    <n v="94536"/>
    <n v="4841"/>
  </r>
  <r>
    <x v="326"/>
    <n v="2024"/>
    <s v="Q4"/>
    <s v="Nov"/>
    <n v="11"/>
    <n v="1341.79"/>
    <n v="1024"/>
    <n v="5120"/>
    <n v="5.1400000000000001E-2"/>
    <n v="3015.14"/>
    <n v="103764"/>
    <n v="3686"/>
  </r>
  <r>
    <x v="327"/>
    <n v="2024"/>
    <s v="Q4"/>
    <s v="Nov"/>
    <n v="11"/>
    <n v="953.29"/>
    <n v="1028"/>
    <n v="2056"/>
    <n v="2.4799999999999999E-2"/>
    <n v="613.55999999999995"/>
    <n v="89946"/>
    <n v="1580"/>
  </r>
  <r>
    <x v="328"/>
    <n v="2024"/>
    <s v="Q4"/>
    <s v="Nov"/>
    <n v="11"/>
    <n v="667.32"/>
    <n v="812"/>
    <n v="2436"/>
    <n v="7.0400000000000004E-2"/>
    <n v="1428.76"/>
    <n v="77705"/>
    <n v="1629"/>
  </r>
  <r>
    <x v="329"/>
    <n v="2024"/>
    <s v="Q4"/>
    <s v="Nov"/>
    <n v="11"/>
    <n v="2664.49"/>
    <n v="698"/>
    <n v="3490"/>
    <n v="1.9599999999999999E-2"/>
    <n v="1935.63"/>
    <n v="74959"/>
    <n v="3550"/>
  </r>
  <r>
    <x v="330"/>
    <n v="2024"/>
    <s v="Q4"/>
    <s v="Nov"/>
    <n v="11"/>
    <n v="1919.15"/>
    <n v="895"/>
    <n v="5370"/>
    <n v="6.2399999999999997E-2"/>
    <n v="2627.7"/>
    <n v="145905"/>
    <n v="3526"/>
  </r>
  <r>
    <x v="331"/>
    <n v="2024"/>
    <s v="Q4"/>
    <s v="Nov"/>
    <n v="11"/>
    <n v="1090.24"/>
    <n v="976"/>
    <n v="2928"/>
    <n v="3.1600000000000003E-2"/>
    <n v="323.23"/>
    <n v="20850"/>
    <n v="1449"/>
  </r>
  <r>
    <x v="332"/>
    <n v="2024"/>
    <s v="Q4"/>
    <s v="Nov"/>
    <n v="11"/>
    <n v="2688.69"/>
    <n v="264"/>
    <n v="1584"/>
    <n v="3.7699999999999997E-2"/>
    <n v="1589.57"/>
    <n v="54755"/>
    <n v="798"/>
  </r>
  <r>
    <x v="333"/>
    <n v="2024"/>
    <s v="Q4"/>
    <s v="Nov"/>
    <n v="11"/>
    <n v="1233.73"/>
    <n v="480"/>
    <n v="960"/>
    <n v="4.1099999999999998E-2"/>
    <n v="919.3"/>
    <n v="20824"/>
    <n v="687"/>
  </r>
  <r>
    <x v="334"/>
    <n v="2024"/>
    <s v="Q4"/>
    <s v="Nov"/>
    <n v="11"/>
    <n v="1534.75"/>
    <n v="370"/>
    <n v="1110"/>
    <n v="4.3400000000000001E-2"/>
    <n v="1217.53"/>
    <n v="86978"/>
    <n v="3499"/>
  </r>
  <r>
    <x v="335"/>
    <n v="2024"/>
    <s v="Q4"/>
    <s v="Dec"/>
    <n v="12"/>
    <n v="1948.62"/>
    <n v="983"/>
    <n v="3932"/>
    <n v="4.41E-2"/>
    <n v="1717.71"/>
    <n v="79983"/>
    <n v="4199"/>
  </r>
  <r>
    <x v="336"/>
    <n v="2024"/>
    <s v="Q4"/>
    <s v="Dec"/>
    <n v="12"/>
    <n v="1149.57"/>
    <n v="529"/>
    <n v="2645"/>
    <n v="6.4600000000000005E-2"/>
    <n v="1572.17"/>
    <n v="109532"/>
    <n v="829"/>
  </r>
  <r>
    <x v="337"/>
    <n v="2024"/>
    <s v="Q4"/>
    <s v="Dec"/>
    <n v="12"/>
    <n v="2907.27"/>
    <n v="733"/>
    <n v="2199"/>
    <n v="4.0800000000000003E-2"/>
    <n v="1133.74"/>
    <n v="53762"/>
    <n v="2261"/>
  </r>
  <r>
    <x v="338"/>
    <n v="2024"/>
    <s v="Q4"/>
    <s v="Dec"/>
    <n v="12"/>
    <n v="362.62"/>
    <n v="398"/>
    <n v="1990"/>
    <n v="2.4E-2"/>
    <n v="2612.79"/>
    <n v="153319"/>
    <n v="5728"/>
  </r>
  <r>
    <x v="339"/>
    <n v="2024"/>
    <s v="Q4"/>
    <s v="Dec"/>
    <n v="12"/>
    <n v="799.66"/>
    <n v="863"/>
    <n v="5178"/>
    <n v="5.8999999999999997E-2"/>
    <n v="1448.7"/>
    <n v="81256"/>
    <n v="3526"/>
  </r>
  <r>
    <x v="340"/>
    <n v="2024"/>
    <s v="Q4"/>
    <s v="Dec"/>
    <n v="12"/>
    <n v="522.36"/>
    <n v="389"/>
    <n v="778"/>
    <n v="2.9399999999999999E-2"/>
    <n v="2384.37"/>
    <n v="106574"/>
    <n v="1847"/>
  </r>
  <r>
    <x v="341"/>
    <n v="2024"/>
    <s v="Q4"/>
    <s v="Dec"/>
    <n v="12"/>
    <n v="2320.56"/>
    <n v="1058"/>
    <n v="5290"/>
    <n v="3.3399999999999999E-2"/>
    <n v="1891.92"/>
    <n v="35520"/>
    <n v="662"/>
  </r>
  <r>
    <x v="342"/>
    <n v="2024"/>
    <s v="Q4"/>
    <s v="Dec"/>
    <n v="12"/>
    <n v="482.4"/>
    <n v="1056"/>
    <n v="6336"/>
    <n v="2.8799999999999999E-2"/>
    <n v="928.99"/>
    <n v="29026"/>
    <n v="311"/>
  </r>
  <r>
    <x v="343"/>
    <n v="2024"/>
    <s v="Q4"/>
    <s v="Dec"/>
    <n v="12"/>
    <n v="1341.45"/>
    <n v="252"/>
    <n v="1008"/>
    <n v="5.7700000000000001E-2"/>
    <n v="1761.51"/>
    <n v="125242"/>
    <n v="3009"/>
  </r>
  <r>
    <x v="344"/>
    <n v="2024"/>
    <s v="Q4"/>
    <s v="Dec"/>
    <n v="12"/>
    <n v="1581.18"/>
    <n v="1107"/>
    <n v="6642"/>
    <n v="4.8500000000000001E-2"/>
    <n v="2181.6999999999998"/>
    <n v="102348"/>
    <n v="2363"/>
  </r>
  <r>
    <x v="345"/>
    <n v="2024"/>
    <s v="Q4"/>
    <s v="Dec"/>
    <n v="12"/>
    <n v="961.83"/>
    <n v="925"/>
    <n v="4625"/>
    <n v="6.6500000000000004E-2"/>
    <n v="0"/>
    <n v="0"/>
    <n v="0"/>
  </r>
  <r>
    <x v="346"/>
    <n v="2024"/>
    <s v="Q4"/>
    <s v="Dec"/>
    <n v="12"/>
    <n v="1021.68"/>
    <n v="707"/>
    <n v="4242"/>
    <n v="4.2500000000000003E-2"/>
    <n v="2367.5500000000002"/>
    <n v="58694"/>
    <n v="4554"/>
  </r>
  <r>
    <x v="347"/>
    <n v="2024"/>
    <s v="Q4"/>
    <s v="Dec"/>
    <n v="12"/>
    <n v="3831.43"/>
    <n v="590"/>
    <n v="3540"/>
    <n v="6.0100000000000001E-2"/>
    <n v="3057.63"/>
    <n v="101610"/>
    <n v="3390"/>
  </r>
  <r>
    <x v="348"/>
    <n v="2024"/>
    <s v="Q4"/>
    <s v="Dec"/>
    <n v="12"/>
    <n v="1585.63"/>
    <n v="636"/>
    <n v="3180"/>
    <n v="7.0800000000000002E-2"/>
    <n v="0"/>
    <n v="0"/>
    <n v="0"/>
  </r>
  <r>
    <x v="349"/>
    <n v="2024"/>
    <s v="Q4"/>
    <s v="Dec"/>
    <n v="12"/>
    <n v="1489.09"/>
    <n v="1140"/>
    <n v="3420"/>
    <n v="7.3800000000000004E-2"/>
    <n v="1145.96"/>
    <n v="32252"/>
    <n v="1480"/>
  </r>
  <r>
    <x v="350"/>
    <n v="2024"/>
    <s v="Q4"/>
    <s v="Dec"/>
    <n v="12"/>
    <n v="1157.31"/>
    <n v="494"/>
    <n v="2964"/>
    <n v="3.61E-2"/>
    <n v="3140.45"/>
    <n v="83477"/>
    <n v="2964"/>
  </r>
  <r>
    <x v="351"/>
    <n v="2024"/>
    <s v="Q4"/>
    <s v="Dec"/>
    <n v="12"/>
    <n v="480.5"/>
    <n v="1126"/>
    <n v="5630"/>
    <n v="1.47E-2"/>
    <n v="364.25"/>
    <n v="14424"/>
    <n v="1886"/>
  </r>
  <r>
    <x v="352"/>
    <n v="2024"/>
    <s v="Q4"/>
    <s v="Dec"/>
    <n v="12"/>
    <n v="1115.43"/>
    <n v="1012"/>
    <n v="5060"/>
    <n v="5.6399999999999999E-2"/>
    <n v="2804.66"/>
    <n v="93183"/>
    <n v="1997"/>
  </r>
  <r>
    <x v="353"/>
    <n v="2024"/>
    <s v="Q4"/>
    <s v="Dec"/>
    <n v="12"/>
    <n v="1329.9"/>
    <n v="1080"/>
    <n v="5400"/>
    <n v="3.6299999999999999E-2"/>
    <n v="299.86"/>
    <n v="31143"/>
    <n v="513"/>
  </r>
  <r>
    <x v="354"/>
    <n v="2024"/>
    <s v="Q4"/>
    <s v="Dec"/>
    <n v="12"/>
    <n v="1598.42"/>
    <n v="929"/>
    <n v="2787"/>
    <n v="4.3200000000000002E-2"/>
    <n v="2778.59"/>
    <n v="81056"/>
    <n v="3447"/>
  </r>
  <r>
    <x v="355"/>
    <n v="2024"/>
    <s v="Q4"/>
    <s v="Dec"/>
    <n v="12"/>
    <n v="881.83"/>
    <n v="287"/>
    <n v="861"/>
    <n v="4.36E-2"/>
    <n v="1571.84"/>
    <n v="26618"/>
    <n v="1512"/>
  </r>
  <r>
    <x v="356"/>
    <n v="2024"/>
    <s v="Q4"/>
    <s v="Dec"/>
    <n v="12"/>
    <n v="1261.6300000000001"/>
    <n v="854"/>
    <n v="3416"/>
    <n v="6.6799999999999998E-2"/>
    <n v="565.30999999999995"/>
    <n v="46208"/>
    <n v="1806"/>
  </r>
  <r>
    <x v="357"/>
    <n v="2024"/>
    <s v="Q4"/>
    <s v="Dec"/>
    <n v="12"/>
    <n v="779.74"/>
    <n v="1145"/>
    <n v="5725"/>
    <n v="1.83E-2"/>
    <n v="1101.08"/>
    <n v="3848"/>
    <n v="1470"/>
  </r>
  <r>
    <x v="358"/>
    <n v="2024"/>
    <s v="Q4"/>
    <s v="Dec"/>
    <n v="12"/>
    <n v="2080.59"/>
    <n v="1182"/>
    <n v="5910"/>
    <n v="1.2999999999999999E-2"/>
    <n v="2564.62"/>
    <n v="156924"/>
    <n v="3814"/>
  </r>
  <r>
    <x v="359"/>
    <n v="2024"/>
    <s v="Q4"/>
    <s v="Dec"/>
    <n v="12"/>
    <n v="455.98"/>
    <n v="397"/>
    <n v="1985"/>
    <n v="6.6900000000000001E-2"/>
    <n v="1317.03"/>
    <n v="87966"/>
    <n v="1653"/>
  </r>
  <r>
    <x v="360"/>
    <n v="2024"/>
    <s v="Q4"/>
    <s v="Dec"/>
    <n v="12"/>
    <n v="1631.8"/>
    <n v="408"/>
    <n v="816"/>
    <n v="4.1599999999999998E-2"/>
    <n v="3156.91"/>
    <n v="181962"/>
    <n v="5520"/>
  </r>
  <r>
    <x v="361"/>
    <n v="2024"/>
    <s v="Q4"/>
    <s v="Dec"/>
    <n v="12"/>
    <n v="758.71"/>
    <n v="521"/>
    <n v="2084"/>
    <n v="5.1299999999999998E-2"/>
    <n v="565.89"/>
    <n v="2344"/>
    <n v="192"/>
  </r>
  <r>
    <x v="362"/>
    <n v="2024"/>
    <s v="Q4"/>
    <s v="Dec"/>
    <n v="12"/>
    <n v="1151.3499999999999"/>
    <n v="657"/>
    <n v="1314"/>
    <n v="6.5699999999999995E-2"/>
    <n v="1540.26"/>
    <n v="25156"/>
    <n v="1640"/>
  </r>
  <r>
    <x v="363"/>
    <n v="2024"/>
    <s v="Q4"/>
    <s v="Dec"/>
    <n v="12"/>
    <n v="974.35"/>
    <n v="1122"/>
    <n v="6732"/>
    <n v="3.5900000000000001E-2"/>
    <n v="1000.86"/>
    <n v="63332"/>
    <n v="2370"/>
  </r>
  <r>
    <x v="364"/>
    <n v="2024"/>
    <s v="Q4"/>
    <s v="Dec"/>
    <n v="12"/>
    <n v="1388.13"/>
    <n v="574"/>
    <n v="2870"/>
    <n v="6.7000000000000004E-2"/>
    <n v="1192.0899999999999"/>
    <n v="47216"/>
    <n v="32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7E410-E889-4C18-B918-7ADD26101BCC}" name="PivotTable4" cacheId="136" applyNumberFormats="0" applyBorderFormats="0" applyFontFormats="0" applyPatternFormats="0" applyAlignmentFormats="0" applyWidthHeightFormats="1" dataCaption="Values" tag="e3a223be-b69c-42d7-a4ea-7e39913c8730" updatedVersion="8" minRefreshableVersion="3" useAutoFormatting="1" itemPrintTitles="1" createdVersion="5" indent="0" outline="1" outlineData="1" multipleFieldFilters="0" chartFormat="30">
  <location ref="L2:M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_Amount" fld="1" baseField="0" baseItem="0"/>
  </dataFields>
  <chartFormats count="4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eb_Traffic]"/>
        <x15:activeTabTopLevelEntity name="[Sales_Orders]"/>
        <x15:activeTabTopLevelEntity name="[Campaign_Spend]"/>
        <x15:activeTabTopLevelEntity name="[States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C3CD7-CA52-446B-A0A8-B38F5B0C8A83}" name="PivotTable3" cacheId="123" applyNumberFormats="0" applyBorderFormats="0" applyFontFormats="0" applyPatternFormats="0" applyAlignmentFormats="0" applyWidthHeightFormats="1" dataCaption="Values" tag="9adf4f8d-54ea-4b83-bedd-ba7d08629d97" updatedVersion="8" minRefreshableVersion="3" useAutoFormatting="1" itemPrintTitles="1" createdVersion="5" indent="0" outline="1" outlineData="1" multipleFieldFilters="0" chartFormat="21">
  <location ref="A35:B48" firstHeaderRow="1" firstDataRow="1" firstDataCol="1"/>
  <pivotFields count="3">
    <pivotField axis="axisRow" allDrilled="1" subtotalTop="0" showAll="0" dataSourceSort="1" defaultSubtotal="0" defaultAttributeDrillState="1">
      <items count="3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dataField="1" subtotalTop="0" showAll="0" defaultSubtotal="0"/>
  </pivotFields>
  <rowFields count="2">
    <field x="1"/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Ad_Spend" fld="2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eb_Traffic]"/>
        <x15:activeTabTopLevelEntity name="[Sales_Orders]"/>
        <x15:activeTabTopLevelEntity name="[Campaign_S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D39FC-0994-4F0E-BF17-F2C6C9AD923E}" name="PivotTable2" cacheId="124" applyNumberFormats="0" applyBorderFormats="0" applyFontFormats="0" applyPatternFormats="0" applyAlignmentFormats="0" applyWidthHeightFormats="1" dataCaption="Values" tag="404cba51-e92a-46f1-ac79-10f7c973855c" updatedVersion="8" minRefreshableVersion="3" useAutoFormatting="1" itemPrintTitles="1" createdVersion="5" indent="0" outline="1" outlineData="1" multipleFieldFilters="0" chartFormat="12">
  <location ref="A18:B31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rowFields count="2">
    <field x="2"/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age_Views" fld="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8"/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Web_Traffic]"/>
        <x15:activeTabTopLevelEntity name="[Sales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4C333-3B7F-42CC-A305-0838F2733236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4">
  <location ref="A2:B14" firstHeaderRow="1" firstDataRow="1" firstDataCol="1"/>
  <pivotFields count="14">
    <pivotField axis="axisRow" numFmtId="16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Total_Sales" fld="5" baseField="0" baseItem="0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99E2D-094D-4CC9-8559-EDE9CF532811}" name="Table1" displayName="Table1" ref="A1:L366" totalsRowShown="0">
  <autoFilter ref="A1:L366" xr:uid="{5B999E2D-094D-4CC9-8559-EDE9CF532811}"/>
  <tableColumns count="12">
    <tableColumn id="1" xr3:uid="{F3EB9C49-07B9-47F8-A0CD-1533BD06865B}" name="Date" dataDxfId="3"/>
    <tableColumn id="2" xr3:uid="{9EADB7FD-9B7A-49BB-BC97-BF030E9DA226}" name="Year"/>
    <tableColumn id="3" xr3:uid="{F184D2C9-53AB-4869-911E-D43E1E9B3645}" name="Quarter"/>
    <tableColumn id="4" xr3:uid="{E554C834-D0F6-41F6-9C55-796CFA210C23}" name="Month"/>
    <tableColumn id="5" xr3:uid="{F96E4FE5-292F-4FAC-B576-46FC6B41B254}" name="Month_Number"/>
    <tableColumn id="6" xr3:uid="{46506A29-56A1-4868-9A2A-A2631B1C0337}" name="Total_Sales"/>
    <tableColumn id="7" xr3:uid="{4AC3F481-F735-46B9-80D3-D7603D336094}" name="Sessions"/>
    <tableColumn id="8" xr3:uid="{C03DBC51-525E-4B5B-B76C-866E681E46D0}" name="Page_Views"/>
    <tableColumn id="9" xr3:uid="{C167D3B5-5BCF-431E-8807-D123C6E8C3E4}" name="Conversion_Rate"/>
    <tableColumn id="10" xr3:uid="{5C5C2C89-DA87-45EF-B3AF-5765533EBFF4}" name="Ad_Spend"/>
    <tableColumn id="11" xr3:uid="{B9A3C718-D8A3-42A2-BEA7-73210AF97B8E}" name="Impressions"/>
    <tableColumn id="12" xr3:uid="{AA4D3C3B-C3BE-44BE-A94C-A8F4F59F5062}" name="Click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6ECE6-8F97-446E-8BC1-0349CC132342}" name="Table2" displayName="Table2" ref="A1:B27" totalsRowShown="0">
  <autoFilter ref="A1:B27" xr:uid="{AF66ECE6-8F97-446E-8BC1-0349CC132342}"/>
  <tableColumns count="2">
    <tableColumn id="1" xr3:uid="{53BDD2BA-E6F2-455F-9B21-09AB096308F7}" name="State"/>
    <tableColumn id="2" xr3:uid="{9BFAA1C2-0A6B-45D1-AC81-98E81F4394DE}" name="Total_Sal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66B741-649E-45C6-9573-255672D64712}" name="Table3" displayName="Table3" ref="A1:F1001" totalsRowShown="0">
  <autoFilter ref="A1:F1001" xr:uid="{B166B741-649E-45C6-9573-255672D64712}"/>
  <tableColumns count="6">
    <tableColumn id="1" xr3:uid="{995D131B-685B-4081-8684-5A4B159CBA65}" name="Order_ID"/>
    <tableColumn id="2" xr3:uid="{DB94CE1E-85D5-458A-85EC-E0A6139080A2}" name="Customer_ID"/>
    <tableColumn id="3" xr3:uid="{D40E5E22-8781-492E-983D-538C0A0D9F1B}" name="Order_Date" dataDxfId="2"/>
    <tableColumn id="4" xr3:uid="{A0DE55A3-8FD6-4EF4-BDDD-A504BD874397}" name="Sale_Amount"/>
    <tableColumn id="5" xr3:uid="{D233C3C5-6172-4B53-B13C-B20B282B1DA7}" name="Region"/>
    <tableColumn id="6" xr3:uid="{3A3E9F8A-38D3-4B06-B230-676F3DD0288D}" name="Sta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441F32-2D17-4AF2-A26F-7A9D5E50D9EE}" name="Table4" displayName="Table4" ref="A1:E618" totalsRowShown="0">
  <autoFilter ref="A1:E618" xr:uid="{B4441F32-2D17-4AF2-A26F-7A9D5E50D9EE}"/>
  <tableColumns count="5">
    <tableColumn id="1" xr3:uid="{69A37695-2008-42E4-B055-C9F761CE7FF5}" name="Spend_Date" dataDxfId="1"/>
    <tableColumn id="2" xr3:uid="{0F9AF784-4D46-437C-8742-1321279C6EA2}" name="Channel"/>
    <tableColumn id="3" xr3:uid="{26A18798-F795-4312-85B9-0AECD293327C}" name="Ad_Spend"/>
    <tableColumn id="4" xr3:uid="{AD96545D-EA47-4693-B11A-E598FFEBCE9F}" name="Impressions"/>
    <tableColumn id="5" xr3:uid="{E7055A26-F82F-479C-BB83-B114A7FA5EE3}" name="Click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046AB80-D616-45C5-9092-04E3BC135589}" name="Table5" displayName="Table5" ref="A1:D366" totalsRowShown="0">
  <autoFilter ref="A1:D366" xr:uid="{8046AB80-D616-45C5-9092-04E3BC135589}"/>
  <tableColumns count="4">
    <tableColumn id="1" xr3:uid="{899498F9-6C3F-4169-9292-1EC91031F449}" name="Visit_Date" dataDxfId="0"/>
    <tableColumn id="2" xr3:uid="{3E4DAD92-EA86-44C6-88BB-AA262EED5838}" name="Sessions"/>
    <tableColumn id="3" xr3:uid="{69A65EAF-1C4B-4E1E-B428-3343B044ABC1}" name="Page_Views"/>
    <tableColumn id="4" xr3:uid="{626EDC5E-D8F1-4949-806B-4C7D64DA75B1}" name="Conversion_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6"/>
  <sheetViews>
    <sheetView workbookViewId="0">
      <selection activeCell="D6" sqref="D6"/>
    </sheetView>
  </sheetViews>
  <sheetFormatPr defaultRowHeight="14.5" x14ac:dyDescent="0.35"/>
  <cols>
    <col min="1" max="1" width="11.36328125" customWidth="1"/>
    <col min="3" max="3" width="9.453125" customWidth="1"/>
    <col min="5" max="5" width="16.36328125" customWidth="1"/>
    <col min="6" max="6" width="12.26953125" customWidth="1"/>
    <col min="7" max="7" width="9.81640625" customWidth="1"/>
    <col min="8" max="8" width="12.7265625" customWidth="1"/>
    <col min="9" max="9" width="17" customWidth="1"/>
    <col min="10" max="10" width="11.26953125" customWidth="1"/>
    <col min="11" max="11" width="12.9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45292</v>
      </c>
      <c r="B2">
        <v>2024</v>
      </c>
      <c r="C2" t="s">
        <v>12</v>
      </c>
      <c r="D2" t="s">
        <v>13</v>
      </c>
      <c r="E2">
        <v>1</v>
      </c>
      <c r="F2">
        <v>1184.6199999999999</v>
      </c>
      <c r="G2">
        <v>904</v>
      </c>
      <c r="H2">
        <v>1808</v>
      </c>
      <c r="I2">
        <v>1.3599999999999999E-2</v>
      </c>
      <c r="J2">
        <v>1520.19</v>
      </c>
      <c r="K2">
        <v>51655</v>
      </c>
      <c r="L2">
        <v>612</v>
      </c>
    </row>
    <row r="3" spans="1:12" x14ac:dyDescent="0.35">
      <c r="A3" s="1">
        <v>45293</v>
      </c>
      <c r="B3">
        <v>2024</v>
      </c>
      <c r="C3" t="s">
        <v>12</v>
      </c>
      <c r="D3" t="s">
        <v>13</v>
      </c>
      <c r="E3">
        <v>1</v>
      </c>
      <c r="F3">
        <v>622.96</v>
      </c>
      <c r="G3">
        <v>531</v>
      </c>
      <c r="H3">
        <v>1593</v>
      </c>
      <c r="I3">
        <v>2.6100000000000002E-2</v>
      </c>
      <c r="J3">
        <v>2065.83</v>
      </c>
      <c r="K3">
        <v>64387</v>
      </c>
      <c r="L3">
        <v>2739</v>
      </c>
    </row>
    <row r="4" spans="1:12" x14ac:dyDescent="0.35">
      <c r="A4" s="1">
        <v>45294</v>
      </c>
      <c r="B4">
        <v>2024</v>
      </c>
      <c r="C4" t="s">
        <v>12</v>
      </c>
      <c r="D4" t="s">
        <v>13</v>
      </c>
      <c r="E4">
        <v>1</v>
      </c>
      <c r="F4">
        <v>1271.98</v>
      </c>
      <c r="G4">
        <v>1004</v>
      </c>
      <c r="H4">
        <v>2008</v>
      </c>
      <c r="I4">
        <v>5.4600000000000003E-2</v>
      </c>
      <c r="J4">
        <v>333.1</v>
      </c>
      <c r="K4">
        <v>16517</v>
      </c>
      <c r="L4">
        <v>1488</v>
      </c>
    </row>
    <row r="5" spans="1:12" x14ac:dyDescent="0.35">
      <c r="A5" s="1">
        <v>45295</v>
      </c>
      <c r="B5">
        <v>2024</v>
      </c>
      <c r="C5" t="s">
        <v>12</v>
      </c>
      <c r="D5" t="s">
        <v>13</v>
      </c>
      <c r="E5">
        <v>1</v>
      </c>
      <c r="F5">
        <v>957.31</v>
      </c>
      <c r="G5">
        <v>1163</v>
      </c>
      <c r="H5">
        <v>6978</v>
      </c>
      <c r="I5">
        <v>1.7500000000000002E-2</v>
      </c>
      <c r="J5">
        <v>0</v>
      </c>
      <c r="K5">
        <v>0</v>
      </c>
      <c r="L5">
        <v>0</v>
      </c>
    </row>
    <row r="6" spans="1:12" x14ac:dyDescent="0.35">
      <c r="A6" s="1">
        <v>45296</v>
      </c>
      <c r="B6">
        <v>2024</v>
      </c>
      <c r="C6" t="s">
        <v>12</v>
      </c>
      <c r="D6" t="s">
        <v>13</v>
      </c>
      <c r="E6">
        <v>1</v>
      </c>
      <c r="F6">
        <v>811.09</v>
      </c>
      <c r="G6">
        <v>682</v>
      </c>
      <c r="H6">
        <v>1364</v>
      </c>
      <c r="I6">
        <v>1.3899999999999999E-2</v>
      </c>
      <c r="J6">
        <v>2790.05</v>
      </c>
      <c r="K6">
        <v>73261</v>
      </c>
      <c r="L6">
        <v>3902</v>
      </c>
    </row>
    <row r="7" spans="1:12" x14ac:dyDescent="0.35">
      <c r="A7" s="1">
        <v>45297</v>
      </c>
      <c r="B7">
        <v>2024</v>
      </c>
      <c r="C7" t="s">
        <v>12</v>
      </c>
      <c r="D7" t="s">
        <v>13</v>
      </c>
      <c r="E7">
        <v>1</v>
      </c>
      <c r="F7">
        <v>1518.82</v>
      </c>
      <c r="G7">
        <v>473</v>
      </c>
      <c r="H7">
        <v>1419</v>
      </c>
      <c r="I7">
        <v>4.3799999999999999E-2</v>
      </c>
      <c r="J7">
        <v>0</v>
      </c>
      <c r="K7">
        <v>0</v>
      </c>
      <c r="L7">
        <v>0</v>
      </c>
    </row>
    <row r="8" spans="1:12" x14ac:dyDescent="0.35">
      <c r="A8" s="1">
        <v>45298</v>
      </c>
      <c r="B8">
        <v>2024</v>
      </c>
      <c r="C8" t="s">
        <v>12</v>
      </c>
      <c r="D8" t="s">
        <v>13</v>
      </c>
      <c r="E8">
        <v>1</v>
      </c>
      <c r="F8">
        <v>986.86</v>
      </c>
      <c r="G8">
        <v>277</v>
      </c>
      <c r="H8">
        <v>1662</v>
      </c>
      <c r="I8">
        <v>2.4500000000000001E-2</v>
      </c>
      <c r="J8">
        <v>1964.53</v>
      </c>
      <c r="K8">
        <v>55156</v>
      </c>
      <c r="L8">
        <v>2157</v>
      </c>
    </row>
    <row r="9" spans="1:12" x14ac:dyDescent="0.35">
      <c r="A9" s="1">
        <v>45299</v>
      </c>
      <c r="B9">
        <v>2024</v>
      </c>
      <c r="C9" t="s">
        <v>12</v>
      </c>
      <c r="D9" t="s">
        <v>13</v>
      </c>
      <c r="E9">
        <v>1</v>
      </c>
      <c r="F9">
        <v>1226.95</v>
      </c>
      <c r="G9">
        <v>915</v>
      </c>
      <c r="H9">
        <v>5490</v>
      </c>
      <c r="I9">
        <v>3.8399999999999997E-2</v>
      </c>
      <c r="J9">
        <v>1127.73</v>
      </c>
      <c r="K9">
        <v>9688</v>
      </c>
      <c r="L9">
        <v>1559</v>
      </c>
    </row>
    <row r="10" spans="1:12" x14ac:dyDescent="0.35">
      <c r="A10" s="1">
        <v>45300</v>
      </c>
      <c r="B10">
        <v>2024</v>
      </c>
      <c r="C10" t="s">
        <v>12</v>
      </c>
      <c r="D10" t="s">
        <v>13</v>
      </c>
      <c r="E10">
        <v>1</v>
      </c>
      <c r="F10">
        <v>876.81</v>
      </c>
      <c r="G10">
        <v>709</v>
      </c>
      <c r="H10">
        <v>4254</v>
      </c>
      <c r="I10">
        <v>2.9499999999999998E-2</v>
      </c>
      <c r="J10">
        <v>1894.91</v>
      </c>
      <c r="K10">
        <v>68261</v>
      </c>
      <c r="L10">
        <v>3200</v>
      </c>
    </row>
    <row r="11" spans="1:12" x14ac:dyDescent="0.35">
      <c r="A11" s="1">
        <v>45301</v>
      </c>
      <c r="B11">
        <v>2024</v>
      </c>
      <c r="C11" t="s">
        <v>12</v>
      </c>
      <c r="D11" t="s">
        <v>13</v>
      </c>
      <c r="E11">
        <v>1</v>
      </c>
      <c r="F11">
        <v>867.73</v>
      </c>
      <c r="G11">
        <v>1140</v>
      </c>
      <c r="H11">
        <v>2280</v>
      </c>
      <c r="I11">
        <v>5.9799999999999999E-2</v>
      </c>
      <c r="J11">
        <v>2017.89</v>
      </c>
      <c r="K11">
        <v>55638</v>
      </c>
      <c r="L11">
        <v>2658</v>
      </c>
    </row>
    <row r="12" spans="1:12" x14ac:dyDescent="0.35">
      <c r="A12" s="1">
        <v>45302</v>
      </c>
      <c r="B12">
        <v>2024</v>
      </c>
      <c r="C12" t="s">
        <v>12</v>
      </c>
      <c r="D12" t="s">
        <v>13</v>
      </c>
      <c r="E12">
        <v>1</v>
      </c>
      <c r="F12">
        <v>724.81</v>
      </c>
      <c r="G12">
        <v>413</v>
      </c>
      <c r="H12">
        <v>2065</v>
      </c>
      <c r="I12">
        <v>3.3399999999999999E-2</v>
      </c>
      <c r="J12">
        <v>1585.2</v>
      </c>
      <c r="K12">
        <v>32532</v>
      </c>
      <c r="L12">
        <v>2021</v>
      </c>
    </row>
    <row r="13" spans="1:12" x14ac:dyDescent="0.35">
      <c r="A13" s="1">
        <v>45303</v>
      </c>
      <c r="B13">
        <v>2024</v>
      </c>
      <c r="C13" t="s">
        <v>12</v>
      </c>
      <c r="D13" t="s">
        <v>13</v>
      </c>
      <c r="E13">
        <v>1</v>
      </c>
      <c r="F13">
        <v>1417.67</v>
      </c>
      <c r="G13">
        <v>409</v>
      </c>
      <c r="H13">
        <v>1227</v>
      </c>
      <c r="I13">
        <v>7.2300000000000003E-2</v>
      </c>
      <c r="J13">
        <v>534.27</v>
      </c>
      <c r="K13">
        <v>46830</v>
      </c>
      <c r="L13">
        <v>3209</v>
      </c>
    </row>
    <row r="14" spans="1:12" x14ac:dyDescent="0.35">
      <c r="A14" s="1">
        <v>45304</v>
      </c>
      <c r="B14">
        <v>2024</v>
      </c>
      <c r="C14" t="s">
        <v>12</v>
      </c>
      <c r="D14" t="s">
        <v>13</v>
      </c>
      <c r="E14">
        <v>1</v>
      </c>
      <c r="F14">
        <v>1140.27</v>
      </c>
      <c r="G14">
        <v>594</v>
      </c>
      <c r="H14">
        <v>1188</v>
      </c>
      <c r="I14">
        <v>1.78E-2</v>
      </c>
      <c r="J14">
        <v>1102.54</v>
      </c>
      <c r="K14">
        <v>16507</v>
      </c>
      <c r="L14">
        <v>1356</v>
      </c>
    </row>
    <row r="15" spans="1:12" x14ac:dyDescent="0.35">
      <c r="A15" s="1">
        <v>45305</v>
      </c>
      <c r="B15">
        <v>2024</v>
      </c>
      <c r="C15" t="s">
        <v>12</v>
      </c>
      <c r="D15" t="s">
        <v>13</v>
      </c>
      <c r="E15">
        <v>1</v>
      </c>
      <c r="F15">
        <v>0</v>
      </c>
      <c r="G15">
        <v>349</v>
      </c>
      <c r="H15">
        <v>1396</v>
      </c>
      <c r="I15">
        <v>6.54E-2</v>
      </c>
      <c r="J15">
        <v>690.99</v>
      </c>
      <c r="K15">
        <v>44954</v>
      </c>
      <c r="L15">
        <v>2415</v>
      </c>
    </row>
    <row r="16" spans="1:12" x14ac:dyDescent="0.35">
      <c r="A16" s="1">
        <v>45306</v>
      </c>
      <c r="B16">
        <v>2024</v>
      </c>
      <c r="C16" t="s">
        <v>12</v>
      </c>
      <c r="D16" t="s">
        <v>13</v>
      </c>
      <c r="E16">
        <v>1</v>
      </c>
      <c r="F16">
        <v>1745.88</v>
      </c>
      <c r="G16">
        <v>868</v>
      </c>
      <c r="H16">
        <v>3472</v>
      </c>
      <c r="I16">
        <v>6.2799999999999995E-2</v>
      </c>
      <c r="J16">
        <v>102.28</v>
      </c>
      <c r="K16">
        <v>44038</v>
      </c>
      <c r="L16">
        <v>1609</v>
      </c>
    </row>
    <row r="17" spans="1:12" x14ac:dyDescent="0.35">
      <c r="A17" s="1">
        <v>45307</v>
      </c>
      <c r="B17">
        <v>2024</v>
      </c>
      <c r="C17" t="s">
        <v>12</v>
      </c>
      <c r="D17" t="s">
        <v>13</v>
      </c>
      <c r="E17">
        <v>1</v>
      </c>
      <c r="F17">
        <v>1285.8</v>
      </c>
      <c r="G17">
        <v>997</v>
      </c>
      <c r="H17">
        <v>4985</v>
      </c>
      <c r="I17">
        <v>4.58E-2</v>
      </c>
      <c r="J17">
        <v>0</v>
      </c>
      <c r="K17">
        <v>0</v>
      </c>
      <c r="L17">
        <v>0</v>
      </c>
    </row>
    <row r="18" spans="1:12" x14ac:dyDescent="0.35">
      <c r="A18" s="1">
        <v>45308</v>
      </c>
      <c r="B18">
        <v>2024</v>
      </c>
      <c r="C18" t="s">
        <v>12</v>
      </c>
      <c r="D18" t="s">
        <v>13</v>
      </c>
      <c r="E18">
        <v>1</v>
      </c>
      <c r="F18">
        <v>3167.67</v>
      </c>
      <c r="G18">
        <v>1194</v>
      </c>
      <c r="H18">
        <v>5970</v>
      </c>
      <c r="I18">
        <v>1.7000000000000001E-2</v>
      </c>
      <c r="J18">
        <v>1036.27</v>
      </c>
      <c r="K18">
        <v>37593</v>
      </c>
      <c r="L18">
        <v>2759</v>
      </c>
    </row>
    <row r="19" spans="1:12" x14ac:dyDescent="0.35">
      <c r="A19" s="1">
        <v>45309</v>
      </c>
      <c r="B19">
        <v>2024</v>
      </c>
      <c r="C19" t="s">
        <v>12</v>
      </c>
      <c r="D19" t="s">
        <v>13</v>
      </c>
      <c r="E19">
        <v>1</v>
      </c>
      <c r="F19">
        <v>1189.21</v>
      </c>
      <c r="G19">
        <v>550</v>
      </c>
      <c r="H19">
        <v>3300</v>
      </c>
      <c r="I19">
        <v>6.7799999999999999E-2</v>
      </c>
      <c r="J19">
        <v>810.54</v>
      </c>
      <c r="K19">
        <v>24303</v>
      </c>
      <c r="L19">
        <v>775</v>
      </c>
    </row>
    <row r="20" spans="1:12" x14ac:dyDescent="0.35">
      <c r="A20" s="1">
        <v>45310</v>
      </c>
      <c r="B20">
        <v>2024</v>
      </c>
      <c r="C20" t="s">
        <v>12</v>
      </c>
      <c r="D20" t="s">
        <v>13</v>
      </c>
      <c r="E20">
        <v>1</v>
      </c>
      <c r="F20">
        <v>105.73</v>
      </c>
      <c r="G20">
        <v>620</v>
      </c>
      <c r="H20">
        <v>3720</v>
      </c>
      <c r="I20">
        <v>2.41E-2</v>
      </c>
      <c r="J20">
        <v>319.99</v>
      </c>
      <c r="K20">
        <v>20833</v>
      </c>
      <c r="L20">
        <v>495</v>
      </c>
    </row>
    <row r="21" spans="1:12" x14ac:dyDescent="0.35">
      <c r="A21" s="1">
        <v>45311</v>
      </c>
      <c r="B21">
        <v>2024</v>
      </c>
      <c r="C21" t="s">
        <v>12</v>
      </c>
      <c r="D21" t="s">
        <v>13</v>
      </c>
      <c r="E21">
        <v>1</v>
      </c>
      <c r="F21">
        <v>860.96</v>
      </c>
      <c r="G21">
        <v>321</v>
      </c>
      <c r="H21">
        <v>642</v>
      </c>
      <c r="I21">
        <v>5.3699999999999998E-2</v>
      </c>
      <c r="J21">
        <v>1058.03</v>
      </c>
      <c r="K21">
        <v>18763</v>
      </c>
      <c r="L21">
        <v>1609</v>
      </c>
    </row>
    <row r="22" spans="1:12" x14ac:dyDescent="0.35">
      <c r="A22" s="1">
        <v>45312</v>
      </c>
      <c r="B22">
        <v>2024</v>
      </c>
      <c r="C22" t="s">
        <v>12</v>
      </c>
      <c r="D22" t="s">
        <v>13</v>
      </c>
      <c r="E22">
        <v>1</v>
      </c>
      <c r="F22">
        <v>3162.84</v>
      </c>
      <c r="G22">
        <v>1041</v>
      </c>
      <c r="H22">
        <v>4164</v>
      </c>
      <c r="I22">
        <v>7.4099999999999999E-2</v>
      </c>
      <c r="J22">
        <v>94.75</v>
      </c>
      <c r="K22">
        <v>23826</v>
      </c>
      <c r="L22">
        <v>1676</v>
      </c>
    </row>
    <row r="23" spans="1:12" x14ac:dyDescent="0.35">
      <c r="A23" s="1">
        <v>45313</v>
      </c>
      <c r="B23">
        <v>2024</v>
      </c>
      <c r="C23" t="s">
        <v>12</v>
      </c>
      <c r="D23" t="s">
        <v>13</v>
      </c>
      <c r="E23">
        <v>1</v>
      </c>
      <c r="F23">
        <v>1154.3599999999999</v>
      </c>
      <c r="G23">
        <v>1125</v>
      </c>
      <c r="H23">
        <v>3375</v>
      </c>
      <c r="I23">
        <v>6.6600000000000006E-2</v>
      </c>
      <c r="J23">
        <v>2606.29</v>
      </c>
      <c r="K23">
        <v>135252</v>
      </c>
      <c r="L23">
        <v>3697</v>
      </c>
    </row>
    <row r="24" spans="1:12" x14ac:dyDescent="0.35">
      <c r="A24" s="1">
        <v>45314</v>
      </c>
      <c r="B24">
        <v>2024</v>
      </c>
      <c r="C24" t="s">
        <v>12</v>
      </c>
      <c r="D24" t="s">
        <v>13</v>
      </c>
      <c r="E24">
        <v>1</v>
      </c>
      <c r="F24">
        <v>2063.86</v>
      </c>
      <c r="G24">
        <v>639</v>
      </c>
      <c r="H24">
        <v>2556</v>
      </c>
      <c r="I24">
        <v>4.0599999999999997E-2</v>
      </c>
      <c r="J24">
        <v>1809.48</v>
      </c>
      <c r="K24">
        <v>85540</v>
      </c>
      <c r="L24">
        <v>1016</v>
      </c>
    </row>
    <row r="25" spans="1:12" x14ac:dyDescent="0.35">
      <c r="A25" s="1">
        <v>45315</v>
      </c>
      <c r="B25">
        <v>2024</v>
      </c>
      <c r="C25" t="s">
        <v>12</v>
      </c>
      <c r="D25" t="s">
        <v>13</v>
      </c>
      <c r="E25">
        <v>1</v>
      </c>
      <c r="F25">
        <v>1574.13</v>
      </c>
      <c r="G25">
        <v>1104</v>
      </c>
      <c r="H25">
        <v>4416</v>
      </c>
      <c r="I25">
        <v>2.2200000000000001E-2</v>
      </c>
      <c r="J25">
        <v>1074.3900000000001</v>
      </c>
      <c r="K25">
        <v>60045</v>
      </c>
      <c r="L25">
        <v>1192</v>
      </c>
    </row>
    <row r="26" spans="1:12" x14ac:dyDescent="0.35">
      <c r="A26" s="1">
        <v>45316</v>
      </c>
      <c r="B26">
        <v>2024</v>
      </c>
      <c r="C26" t="s">
        <v>12</v>
      </c>
      <c r="D26" t="s">
        <v>13</v>
      </c>
      <c r="E26">
        <v>1</v>
      </c>
      <c r="F26">
        <v>0</v>
      </c>
      <c r="G26">
        <v>613</v>
      </c>
      <c r="H26">
        <v>1839</v>
      </c>
      <c r="I26">
        <v>5.4199999999999998E-2</v>
      </c>
      <c r="J26">
        <v>0</v>
      </c>
      <c r="K26">
        <v>0</v>
      </c>
      <c r="L26">
        <v>0</v>
      </c>
    </row>
    <row r="27" spans="1:12" x14ac:dyDescent="0.35">
      <c r="A27" s="1">
        <v>45317</v>
      </c>
      <c r="B27">
        <v>2024</v>
      </c>
      <c r="C27" t="s">
        <v>12</v>
      </c>
      <c r="D27" t="s">
        <v>13</v>
      </c>
      <c r="E27">
        <v>1</v>
      </c>
      <c r="F27">
        <v>414.01</v>
      </c>
      <c r="G27">
        <v>968</v>
      </c>
      <c r="H27">
        <v>1936</v>
      </c>
      <c r="I27">
        <v>5.04E-2</v>
      </c>
      <c r="J27">
        <v>968.32</v>
      </c>
      <c r="K27">
        <v>58271</v>
      </c>
      <c r="L27">
        <v>1500</v>
      </c>
    </row>
    <row r="28" spans="1:12" x14ac:dyDescent="0.35">
      <c r="A28" s="1">
        <v>45318</v>
      </c>
      <c r="B28">
        <v>2024</v>
      </c>
      <c r="C28" t="s">
        <v>12</v>
      </c>
      <c r="D28" t="s">
        <v>13</v>
      </c>
      <c r="E28">
        <v>1</v>
      </c>
      <c r="F28">
        <v>1309.82</v>
      </c>
      <c r="G28">
        <v>425</v>
      </c>
      <c r="H28">
        <v>2550</v>
      </c>
      <c r="I28">
        <v>5.79E-2</v>
      </c>
      <c r="J28">
        <v>740.47</v>
      </c>
      <c r="K28">
        <v>25045</v>
      </c>
      <c r="L28">
        <v>242</v>
      </c>
    </row>
    <row r="29" spans="1:12" x14ac:dyDescent="0.35">
      <c r="A29" s="1">
        <v>45319</v>
      </c>
      <c r="B29">
        <v>2024</v>
      </c>
      <c r="C29" t="s">
        <v>12</v>
      </c>
      <c r="D29" t="s">
        <v>13</v>
      </c>
      <c r="E29">
        <v>1</v>
      </c>
      <c r="F29">
        <v>699.13</v>
      </c>
      <c r="G29">
        <v>417</v>
      </c>
      <c r="H29">
        <v>2085</v>
      </c>
      <c r="I29">
        <v>3.5900000000000001E-2</v>
      </c>
      <c r="J29">
        <v>3746.88</v>
      </c>
      <c r="K29">
        <v>76592</v>
      </c>
      <c r="L29">
        <v>3176</v>
      </c>
    </row>
    <row r="30" spans="1:12" x14ac:dyDescent="0.35">
      <c r="A30" s="1">
        <v>45320</v>
      </c>
      <c r="B30">
        <v>2024</v>
      </c>
      <c r="C30" t="s">
        <v>12</v>
      </c>
      <c r="D30" t="s">
        <v>13</v>
      </c>
      <c r="E30">
        <v>1</v>
      </c>
      <c r="F30">
        <v>1611.25</v>
      </c>
      <c r="G30">
        <v>1197</v>
      </c>
      <c r="H30">
        <v>7182</v>
      </c>
      <c r="I30">
        <v>2.58E-2</v>
      </c>
      <c r="J30">
        <v>2866.62</v>
      </c>
      <c r="K30">
        <v>106416</v>
      </c>
      <c r="L30">
        <v>4614</v>
      </c>
    </row>
    <row r="31" spans="1:12" x14ac:dyDescent="0.35">
      <c r="A31" s="1">
        <v>45321</v>
      </c>
      <c r="B31">
        <v>2024</v>
      </c>
      <c r="C31" t="s">
        <v>12</v>
      </c>
      <c r="D31" t="s">
        <v>13</v>
      </c>
      <c r="E31">
        <v>1</v>
      </c>
      <c r="F31">
        <v>1609.29</v>
      </c>
      <c r="G31">
        <v>582</v>
      </c>
      <c r="H31">
        <v>1164</v>
      </c>
      <c r="I31">
        <v>2.64E-2</v>
      </c>
      <c r="J31">
        <v>88.03</v>
      </c>
      <c r="K31">
        <v>5313</v>
      </c>
      <c r="L31">
        <v>768</v>
      </c>
    </row>
    <row r="32" spans="1:12" x14ac:dyDescent="0.35">
      <c r="A32" s="1">
        <v>45322</v>
      </c>
      <c r="B32">
        <v>2024</v>
      </c>
      <c r="C32" t="s">
        <v>12</v>
      </c>
      <c r="D32" t="s">
        <v>13</v>
      </c>
      <c r="E32">
        <v>1</v>
      </c>
      <c r="F32">
        <v>1678.49</v>
      </c>
      <c r="G32">
        <v>282</v>
      </c>
      <c r="H32">
        <v>1128</v>
      </c>
      <c r="I32">
        <v>3.73E-2</v>
      </c>
      <c r="J32">
        <v>1647.53</v>
      </c>
      <c r="K32">
        <v>50065</v>
      </c>
      <c r="L32">
        <v>3194</v>
      </c>
    </row>
    <row r="33" spans="1:12" x14ac:dyDescent="0.35">
      <c r="A33" s="1">
        <v>45323</v>
      </c>
      <c r="B33">
        <v>2024</v>
      </c>
      <c r="C33" t="s">
        <v>12</v>
      </c>
      <c r="D33" t="s">
        <v>14</v>
      </c>
      <c r="E33">
        <v>2</v>
      </c>
      <c r="F33">
        <v>582.6</v>
      </c>
      <c r="G33">
        <v>317</v>
      </c>
      <c r="H33">
        <v>951</v>
      </c>
      <c r="I33">
        <v>6.9500000000000006E-2</v>
      </c>
      <c r="J33">
        <v>825.37</v>
      </c>
      <c r="K33">
        <v>72966</v>
      </c>
      <c r="L33">
        <v>2476</v>
      </c>
    </row>
    <row r="34" spans="1:12" x14ac:dyDescent="0.35">
      <c r="A34" s="1">
        <v>45324</v>
      </c>
      <c r="B34">
        <v>2024</v>
      </c>
      <c r="C34" t="s">
        <v>12</v>
      </c>
      <c r="D34" t="s">
        <v>14</v>
      </c>
      <c r="E34">
        <v>2</v>
      </c>
      <c r="F34">
        <v>306.08</v>
      </c>
      <c r="G34">
        <v>830</v>
      </c>
      <c r="H34">
        <v>3320</v>
      </c>
      <c r="I34">
        <v>2.5399999999999999E-2</v>
      </c>
      <c r="J34">
        <v>3023.79</v>
      </c>
      <c r="K34">
        <v>31137</v>
      </c>
      <c r="L34">
        <v>3827</v>
      </c>
    </row>
    <row r="35" spans="1:12" x14ac:dyDescent="0.35">
      <c r="A35" s="1">
        <v>45325</v>
      </c>
      <c r="B35">
        <v>2024</v>
      </c>
      <c r="C35" t="s">
        <v>12</v>
      </c>
      <c r="D35" t="s">
        <v>14</v>
      </c>
      <c r="E35">
        <v>2</v>
      </c>
      <c r="F35">
        <v>561.12</v>
      </c>
      <c r="G35">
        <v>761</v>
      </c>
      <c r="H35">
        <v>3805</v>
      </c>
      <c r="I35">
        <v>6.7699999999999996E-2</v>
      </c>
      <c r="J35">
        <v>1087.8699999999999</v>
      </c>
      <c r="K35">
        <v>31060</v>
      </c>
      <c r="L35">
        <v>1687</v>
      </c>
    </row>
    <row r="36" spans="1:12" x14ac:dyDescent="0.35">
      <c r="A36" s="1">
        <v>45326</v>
      </c>
      <c r="B36">
        <v>2024</v>
      </c>
      <c r="C36" t="s">
        <v>12</v>
      </c>
      <c r="D36" t="s">
        <v>14</v>
      </c>
      <c r="E36">
        <v>2</v>
      </c>
      <c r="F36">
        <v>546.79</v>
      </c>
      <c r="G36">
        <v>908</v>
      </c>
      <c r="H36">
        <v>4540</v>
      </c>
      <c r="I36">
        <v>2.1000000000000001E-2</v>
      </c>
      <c r="J36">
        <v>496.31</v>
      </c>
      <c r="K36">
        <v>28041</v>
      </c>
      <c r="L36">
        <v>1160</v>
      </c>
    </row>
    <row r="37" spans="1:12" x14ac:dyDescent="0.35">
      <c r="A37" s="1">
        <v>45327</v>
      </c>
      <c r="B37">
        <v>2024</v>
      </c>
      <c r="C37" t="s">
        <v>12</v>
      </c>
      <c r="D37" t="s">
        <v>14</v>
      </c>
      <c r="E37">
        <v>2</v>
      </c>
      <c r="F37">
        <v>1094.83</v>
      </c>
      <c r="G37">
        <v>392</v>
      </c>
      <c r="H37">
        <v>1176</v>
      </c>
      <c r="I37">
        <v>5.8900000000000001E-2</v>
      </c>
      <c r="J37">
        <v>484.94</v>
      </c>
      <c r="K37">
        <v>10664</v>
      </c>
      <c r="L37">
        <v>252</v>
      </c>
    </row>
    <row r="38" spans="1:12" x14ac:dyDescent="0.35">
      <c r="A38" s="1">
        <v>45328</v>
      </c>
      <c r="B38">
        <v>2024</v>
      </c>
      <c r="C38" t="s">
        <v>12</v>
      </c>
      <c r="D38" t="s">
        <v>14</v>
      </c>
      <c r="E38">
        <v>2</v>
      </c>
      <c r="F38">
        <v>309.22000000000003</v>
      </c>
      <c r="G38">
        <v>801</v>
      </c>
      <c r="H38">
        <v>3204</v>
      </c>
      <c r="I38">
        <v>5.91E-2</v>
      </c>
      <c r="J38">
        <v>1174.95</v>
      </c>
      <c r="K38">
        <v>52453</v>
      </c>
      <c r="L38">
        <v>931</v>
      </c>
    </row>
    <row r="39" spans="1:12" x14ac:dyDescent="0.35">
      <c r="A39" s="1">
        <v>45329</v>
      </c>
      <c r="B39">
        <v>2024</v>
      </c>
      <c r="C39" t="s">
        <v>12</v>
      </c>
      <c r="D39" t="s">
        <v>14</v>
      </c>
      <c r="E39">
        <v>2</v>
      </c>
      <c r="F39">
        <v>0</v>
      </c>
      <c r="G39">
        <v>688</v>
      </c>
      <c r="H39">
        <v>4128</v>
      </c>
      <c r="I39">
        <v>3.7199999999999997E-2</v>
      </c>
      <c r="J39">
        <v>1801.97</v>
      </c>
      <c r="K39">
        <v>71577</v>
      </c>
      <c r="L39">
        <v>2018</v>
      </c>
    </row>
    <row r="40" spans="1:12" x14ac:dyDescent="0.35">
      <c r="A40" s="1">
        <v>45330</v>
      </c>
      <c r="B40">
        <v>2024</v>
      </c>
      <c r="C40" t="s">
        <v>12</v>
      </c>
      <c r="D40" t="s">
        <v>14</v>
      </c>
      <c r="E40">
        <v>2</v>
      </c>
      <c r="F40">
        <v>198.07</v>
      </c>
      <c r="G40">
        <v>474</v>
      </c>
      <c r="H40">
        <v>1422</v>
      </c>
      <c r="I40">
        <v>4.41E-2</v>
      </c>
      <c r="J40">
        <v>1978.95</v>
      </c>
      <c r="K40">
        <v>105842</v>
      </c>
      <c r="L40">
        <v>2563</v>
      </c>
    </row>
    <row r="41" spans="1:12" x14ac:dyDescent="0.35">
      <c r="A41" s="1">
        <v>45331</v>
      </c>
      <c r="B41">
        <v>2024</v>
      </c>
      <c r="C41" t="s">
        <v>12</v>
      </c>
      <c r="D41" t="s">
        <v>14</v>
      </c>
      <c r="E41">
        <v>2</v>
      </c>
      <c r="F41">
        <v>1593.91</v>
      </c>
      <c r="G41">
        <v>343</v>
      </c>
      <c r="H41">
        <v>686</v>
      </c>
      <c r="I41">
        <v>6.6199999999999995E-2</v>
      </c>
      <c r="J41">
        <v>1843.32</v>
      </c>
      <c r="K41">
        <v>43395</v>
      </c>
      <c r="L41">
        <v>3662</v>
      </c>
    </row>
    <row r="42" spans="1:12" x14ac:dyDescent="0.35">
      <c r="A42" s="1">
        <v>45332</v>
      </c>
      <c r="B42">
        <v>2024</v>
      </c>
      <c r="C42" t="s">
        <v>12</v>
      </c>
      <c r="D42" t="s">
        <v>14</v>
      </c>
      <c r="E42">
        <v>2</v>
      </c>
      <c r="F42">
        <v>2340.77</v>
      </c>
      <c r="G42">
        <v>406</v>
      </c>
      <c r="H42">
        <v>1218</v>
      </c>
      <c r="I42">
        <v>6.1899999999999997E-2</v>
      </c>
      <c r="J42">
        <v>1112.6099999999999</v>
      </c>
      <c r="K42">
        <v>44989</v>
      </c>
      <c r="L42">
        <v>555</v>
      </c>
    </row>
    <row r="43" spans="1:12" x14ac:dyDescent="0.35">
      <c r="A43" s="1">
        <v>45333</v>
      </c>
      <c r="B43">
        <v>2024</v>
      </c>
      <c r="C43" t="s">
        <v>12</v>
      </c>
      <c r="D43" t="s">
        <v>14</v>
      </c>
      <c r="E43">
        <v>2</v>
      </c>
      <c r="F43">
        <v>479.98</v>
      </c>
      <c r="G43">
        <v>682</v>
      </c>
      <c r="H43">
        <v>4092</v>
      </c>
      <c r="I43">
        <v>1.6E-2</v>
      </c>
      <c r="J43">
        <v>432.52</v>
      </c>
      <c r="K43">
        <v>13588</v>
      </c>
      <c r="L43">
        <v>671</v>
      </c>
    </row>
    <row r="44" spans="1:12" x14ac:dyDescent="0.35">
      <c r="A44" s="1">
        <v>45334</v>
      </c>
      <c r="B44">
        <v>2024</v>
      </c>
      <c r="C44" t="s">
        <v>12</v>
      </c>
      <c r="D44" t="s">
        <v>14</v>
      </c>
      <c r="E44">
        <v>2</v>
      </c>
      <c r="F44">
        <v>668.36</v>
      </c>
      <c r="G44">
        <v>640</v>
      </c>
      <c r="H44">
        <v>3840</v>
      </c>
      <c r="I44">
        <v>7.4800000000000005E-2</v>
      </c>
      <c r="J44">
        <v>878.81</v>
      </c>
      <c r="K44">
        <v>79115</v>
      </c>
      <c r="L44">
        <v>2580</v>
      </c>
    </row>
    <row r="45" spans="1:12" x14ac:dyDescent="0.35">
      <c r="A45" s="1">
        <v>45335</v>
      </c>
      <c r="B45">
        <v>2024</v>
      </c>
      <c r="C45" t="s">
        <v>12</v>
      </c>
      <c r="D45" t="s">
        <v>14</v>
      </c>
      <c r="E45">
        <v>2</v>
      </c>
      <c r="F45">
        <v>1485.35</v>
      </c>
      <c r="G45">
        <v>791</v>
      </c>
      <c r="H45">
        <v>3164</v>
      </c>
      <c r="I45">
        <v>7.3200000000000001E-2</v>
      </c>
      <c r="J45">
        <v>1831.29</v>
      </c>
      <c r="K45">
        <v>81362</v>
      </c>
      <c r="L45">
        <v>2712</v>
      </c>
    </row>
    <row r="46" spans="1:12" x14ac:dyDescent="0.35">
      <c r="A46" s="1">
        <v>45336</v>
      </c>
      <c r="B46">
        <v>2024</v>
      </c>
      <c r="C46" t="s">
        <v>12</v>
      </c>
      <c r="D46" t="s">
        <v>14</v>
      </c>
      <c r="E46">
        <v>2</v>
      </c>
      <c r="F46">
        <v>609.95000000000005</v>
      </c>
      <c r="G46">
        <v>1131</v>
      </c>
      <c r="H46">
        <v>2262</v>
      </c>
      <c r="I46">
        <v>5.4899999999999997E-2</v>
      </c>
      <c r="J46">
        <v>1109.8900000000001</v>
      </c>
      <c r="K46">
        <v>61474</v>
      </c>
      <c r="L46">
        <v>2431</v>
      </c>
    </row>
    <row r="47" spans="1:12" x14ac:dyDescent="0.35">
      <c r="A47" s="1">
        <v>45337</v>
      </c>
      <c r="B47">
        <v>2024</v>
      </c>
      <c r="C47" t="s">
        <v>12</v>
      </c>
      <c r="D47" t="s">
        <v>14</v>
      </c>
      <c r="E47">
        <v>2</v>
      </c>
      <c r="F47">
        <v>2258.44</v>
      </c>
      <c r="G47">
        <v>367</v>
      </c>
      <c r="H47">
        <v>2202</v>
      </c>
      <c r="I47">
        <v>5.9299999999999999E-2</v>
      </c>
      <c r="J47">
        <v>1580.68</v>
      </c>
      <c r="K47">
        <v>60588</v>
      </c>
      <c r="L47">
        <v>3486</v>
      </c>
    </row>
    <row r="48" spans="1:12" x14ac:dyDescent="0.35">
      <c r="A48" s="1">
        <v>45338</v>
      </c>
      <c r="B48">
        <v>2024</v>
      </c>
      <c r="C48" t="s">
        <v>12</v>
      </c>
      <c r="D48" t="s">
        <v>14</v>
      </c>
      <c r="E48">
        <v>2</v>
      </c>
      <c r="F48">
        <v>1102.1600000000001</v>
      </c>
      <c r="G48">
        <v>1037</v>
      </c>
      <c r="H48">
        <v>4148</v>
      </c>
      <c r="I48">
        <v>1.9E-2</v>
      </c>
      <c r="J48">
        <v>3882.24</v>
      </c>
      <c r="K48">
        <v>147262</v>
      </c>
      <c r="L48">
        <v>5588</v>
      </c>
    </row>
    <row r="49" spans="1:12" x14ac:dyDescent="0.35">
      <c r="A49" s="1">
        <v>45339</v>
      </c>
      <c r="B49">
        <v>2024</v>
      </c>
      <c r="C49" t="s">
        <v>12</v>
      </c>
      <c r="D49" t="s">
        <v>14</v>
      </c>
      <c r="E49">
        <v>2</v>
      </c>
      <c r="F49">
        <v>1442.59</v>
      </c>
      <c r="G49">
        <v>695</v>
      </c>
      <c r="H49">
        <v>2085</v>
      </c>
      <c r="I49">
        <v>4.0599999999999997E-2</v>
      </c>
      <c r="J49">
        <v>0</v>
      </c>
      <c r="K49">
        <v>0</v>
      </c>
      <c r="L49">
        <v>0</v>
      </c>
    </row>
    <row r="50" spans="1:12" x14ac:dyDescent="0.35">
      <c r="A50" s="1">
        <v>45340</v>
      </c>
      <c r="B50">
        <v>2024</v>
      </c>
      <c r="C50" t="s">
        <v>12</v>
      </c>
      <c r="D50" t="s">
        <v>14</v>
      </c>
      <c r="E50">
        <v>2</v>
      </c>
      <c r="F50">
        <v>571.19000000000005</v>
      </c>
      <c r="G50">
        <v>989</v>
      </c>
      <c r="H50">
        <v>3956</v>
      </c>
      <c r="I50">
        <v>7.3200000000000001E-2</v>
      </c>
      <c r="J50">
        <v>776.85</v>
      </c>
      <c r="K50">
        <v>57412</v>
      </c>
      <c r="L50">
        <v>1582</v>
      </c>
    </row>
    <row r="51" spans="1:12" x14ac:dyDescent="0.35">
      <c r="A51" s="1">
        <v>45341</v>
      </c>
      <c r="B51">
        <v>2024</v>
      </c>
      <c r="C51" t="s">
        <v>12</v>
      </c>
      <c r="D51" t="s">
        <v>14</v>
      </c>
      <c r="E51">
        <v>2</v>
      </c>
      <c r="F51">
        <v>2234.9299999999998</v>
      </c>
      <c r="G51">
        <v>1030</v>
      </c>
      <c r="H51">
        <v>3090</v>
      </c>
      <c r="I51">
        <v>4.3999999999999997E-2</v>
      </c>
      <c r="J51">
        <v>907.11</v>
      </c>
      <c r="K51">
        <v>68911</v>
      </c>
      <c r="L51">
        <v>1848</v>
      </c>
    </row>
    <row r="52" spans="1:12" x14ac:dyDescent="0.35">
      <c r="A52" s="1">
        <v>45342</v>
      </c>
      <c r="B52">
        <v>2024</v>
      </c>
      <c r="C52" t="s">
        <v>12</v>
      </c>
      <c r="D52" t="s">
        <v>14</v>
      </c>
      <c r="E52">
        <v>2</v>
      </c>
      <c r="F52">
        <v>2551.69</v>
      </c>
      <c r="G52">
        <v>358</v>
      </c>
      <c r="H52">
        <v>1432</v>
      </c>
      <c r="I52">
        <v>6.5000000000000002E-2</v>
      </c>
      <c r="J52">
        <v>385.69</v>
      </c>
      <c r="K52">
        <v>19334</v>
      </c>
      <c r="L52">
        <v>1660</v>
      </c>
    </row>
    <row r="53" spans="1:12" x14ac:dyDescent="0.35">
      <c r="A53" s="1">
        <v>45343</v>
      </c>
      <c r="B53">
        <v>2024</v>
      </c>
      <c r="C53" t="s">
        <v>12</v>
      </c>
      <c r="D53" t="s">
        <v>14</v>
      </c>
      <c r="E53">
        <v>2</v>
      </c>
      <c r="F53">
        <v>1896.08</v>
      </c>
      <c r="G53">
        <v>769</v>
      </c>
      <c r="H53">
        <v>4614</v>
      </c>
      <c r="I53">
        <v>2.4500000000000001E-2</v>
      </c>
      <c r="J53">
        <v>2491.34</v>
      </c>
      <c r="K53">
        <v>76569</v>
      </c>
      <c r="L53">
        <v>2434</v>
      </c>
    </row>
    <row r="54" spans="1:12" x14ac:dyDescent="0.35">
      <c r="A54" s="1">
        <v>45344</v>
      </c>
      <c r="B54">
        <v>2024</v>
      </c>
      <c r="C54" t="s">
        <v>12</v>
      </c>
      <c r="D54" t="s">
        <v>14</v>
      </c>
      <c r="E54">
        <v>2</v>
      </c>
      <c r="F54">
        <v>1244.3</v>
      </c>
      <c r="G54">
        <v>632</v>
      </c>
      <c r="H54">
        <v>1896</v>
      </c>
      <c r="I54">
        <v>4.5999999999999999E-2</v>
      </c>
      <c r="J54">
        <v>941.23</v>
      </c>
      <c r="K54">
        <v>72438</v>
      </c>
      <c r="L54">
        <v>1118</v>
      </c>
    </row>
    <row r="55" spans="1:12" x14ac:dyDescent="0.35">
      <c r="A55" s="1">
        <v>45345</v>
      </c>
      <c r="B55">
        <v>2024</v>
      </c>
      <c r="C55" t="s">
        <v>12</v>
      </c>
      <c r="D55" t="s">
        <v>14</v>
      </c>
      <c r="E55">
        <v>2</v>
      </c>
      <c r="F55">
        <v>921.04</v>
      </c>
      <c r="G55">
        <v>1047</v>
      </c>
      <c r="H55">
        <v>6282</v>
      </c>
      <c r="I55">
        <v>6.9900000000000004E-2</v>
      </c>
      <c r="J55">
        <v>1196.79</v>
      </c>
      <c r="K55">
        <v>38149</v>
      </c>
      <c r="L55">
        <v>1621</v>
      </c>
    </row>
    <row r="56" spans="1:12" x14ac:dyDescent="0.35">
      <c r="A56" s="1">
        <v>45346</v>
      </c>
      <c r="B56">
        <v>2024</v>
      </c>
      <c r="C56" t="s">
        <v>12</v>
      </c>
      <c r="D56" t="s">
        <v>14</v>
      </c>
      <c r="E56">
        <v>2</v>
      </c>
      <c r="F56">
        <v>2188.87</v>
      </c>
      <c r="G56">
        <v>863</v>
      </c>
      <c r="H56">
        <v>3452</v>
      </c>
      <c r="I56">
        <v>4.2799999999999998E-2</v>
      </c>
      <c r="J56">
        <v>456.33</v>
      </c>
      <c r="K56">
        <v>50134</v>
      </c>
      <c r="L56">
        <v>1650</v>
      </c>
    </row>
    <row r="57" spans="1:12" x14ac:dyDescent="0.35">
      <c r="A57" s="1">
        <v>45347</v>
      </c>
      <c r="B57">
        <v>2024</v>
      </c>
      <c r="C57" t="s">
        <v>12</v>
      </c>
      <c r="D57" t="s">
        <v>14</v>
      </c>
      <c r="E57">
        <v>2</v>
      </c>
      <c r="F57">
        <v>1000.04</v>
      </c>
      <c r="G57">
        <v>364</v>
      </c>
      <c r="H57">
        <v>1456</v>
      </c>
      <c r="I57">
        <v>6.7400000000000002E-2</v>
      </c>
      <c r="J57">
        <v>2247.06</v>
      </c>
      <c r="K57">
        <v>53661</v>
      </c>
      <c r="L57">
        <v>2234</v>
      </c>
    </row>
    <row r="58" spans="1:12" x14ac:dyDescent="0.35">
      <c r="A58" s="1">
        <v>45348</v>
      </c>
      <c r="B58">
        <v>2024</v>
      </c>
      <c r="C58" t="s">
        <v>12</v>
      </c>
      <c r="D58" t="s">
        <v>14</v>
      </c>
      <c r="E58">
        <v>2</v>
      </c>
      <c r="F58">
        <v>1325.81</v>
      </c>
      <c r="G58">
        <v>1101</v>
      </c>
      <c r="H58">
        <v>4404</v>
      </c>
      <c r="I58">
        <v>2.7099999999999999E-2</v>
      </c>
      <c r="J58">
        <v>0</v>
      </c>
      <c r="K58">
        <v>0</v>
      </c>
      <c r="L58">
        <v>0</v>
      </c>
    </row>
    <row r="59" spans="1:12" x14ac:dyDescent="0.35">
      <c r="A59" s="1">
        <v>45349</v>
      </c>
      <c r="B59">
        <v>2024</v>
      </c>
      <c r="C59" t="s">
        <v>12</v>
      </c>
      <c r="D59" t="s">
        <v>14</v>
      </c>
      <c r="E59">
        <v>2</v>
      </c>
      <c r="F59">
        <v>831.07</v>
      </c>
      <c r="G59">
        <v>496</v>
      </c>
      <c r="H59">
        <v>2976</v>
      </c>
      <c r="I59">
        <v>7.17E-2</v>
      </c>
      <c r="J59">
        <v>980.9</v>
      </c>
      <c r="K59">
        <v>29475</v>
      </c>
      <c r="L59">
        <v>1289</v>
      </c>
    </row>
    <row r="60" spans="1:12" x14ac:dyDescent="0.35">
      <c r="A60" s="1">
        <v>45350</v>
      </c>
      <c r="B60">
        <v>2024</v>
      </c>
      <c r="C60" t="s">
        <v>12</v>
      </c>
      <c r="D60" t="s">
        <v>14</v>
      </c>
      <c r="E60">
        <v>2</v>
      </c>
      <c r="F60">
        <v>1415.73</v>
      </c>
      <c r="G60">
        <v>337</v>
      </c>
      <c r="H60">
        <v>1685</v>
      </c>
      <c r="I60">
        <v>6.3399999999999998E-2</v>
      </c>
      <c r="J60">
        <v>2975.46</v>
      </c>
      <c r="K60">
        <v>167696</v>
      </c>
      <c r="L60">
        <v>2811</v>
      </c>
    </row>
    <row r="61" spans="1:12" x14ac:dyDescent="0.35">
      <c r="A61" s="1">
        <v>45351</v>
      </c>
      <c r="B61">
        <v>2024</v>
      </c>
      <c r="C61" t="s">
        <v>12</v>
      </c>
      <c r="D61" t="s">
        <v>14</v>
      </c>
      <c r="E61">
        <v>2</v>
      </c>
      <c r="F61">
        <v>980.48</v>
      </c>
      <c r="G61">
        <v>1028</v>
      </c>
      <c r="H61">
        <v>6168</v>
      </c>
      <c r="I61">
        <v>6.0199999999999997E-2</v>
      </c>
      <c r="J61">
        <v>3362.74</v>
      </c>
      <c r="K61">
        <v>51302</v>
      </c>
      <c r="L61">
        <v>2276</v>
      </c>
    </row>
    <row r="62" spans="1:12" x14ac:dyDescent="0.35">
      <c r="A62" s="1">
        <v>45352</v>
      </c>
      <c r="B62">
        <v>2024</v>
      </c>
      <c r="C62" t="s">
        <v>12</v>
      </c>
      <c r="D62" t="s">
        <v>15</v>
      </c>
      <c r="E62">
        <v>3</v>
      </c>
      <c r="F62">
        <v>2116.96</v>
      </c>
      <c r="G62">
        <v>381</v>
      </c>
      <c r="H62">
        <v>1905</v>
      </c>
      <c r="I62">
        <v>7.17E-2</v>
      </c>
      <c r="J62">
        <v>2948.37</v>
      </c>
      <c r="K62">
        <v>166006</v>
      </c>
      <c r="L62">
        <v>6383</v>
      </c>
    </row>
    <row r="63" spans="1:12" x14ac:dyDescent="0.35">
      <c r="A63" s="1">
        <v>45353</v>
      </c>
      <c r="B63">
        <v>2024</v>
      </c>
      <c r="C63" t="s">
        <v>12</v>
      </c>
      <c r="D63" t="s">
        <v>15</v>
      </c>
      <c r="E63">
        <v>3</v>
      </c>
      <c r="F63">
        <v>1049.74</v>
      </c>
      <c r="G63">
        <v>419</v>
      </c>
      <c r="H63">
        <v>1676</v>
      </c>
      <c r="I63">
        <v>4.5199999999999997E-2</v>
      </c>
      <c r="J63">
        <v>1146.82</v>
      </c>
      <c r="K63">
        <v>86811</v>
      </c>
      <c r="L63">
        <v>1986</v>
      </c>
    </row>
    <row r="64" spans="1:12" x14ac:dyDescent="0.35">
      <c r="A64" s="1">
        <v>45354</v>
      </c>
      <c r="B64">
        <v>2024</v>
      </c>
      <c r="C64" t="s">
        <v>12</v>
      </c>
      <c r="D64" t="s">
        <v>15</v>
      </c>
      <c r="E64">
        <v>3</v>
      </c>
      <c r="F64">
        <v>897.25</v>
      </c>
      <c r="G64">
        <v>871</v>
      </c>
      <c r="H64">
        <v>4355</v>
      </c>
      <c r="I64">
        <v>7.2800000000000004E-2</v>
      </c>
      <c r="J64">
        <v>3227.17</v>
      </c>
      <c r="K64">
        <v>92895</v>
      </c>
      <c r="L64">
        <v>5081</v>
      </c>
    </row>
    <row r="65" spans="1:12" x14ac:dyDescent="0.35">
      <c r="A65" s="1">
        <v>45355</v>
      </c>
      <c r="B65">
        <v>2024</v>
      </c>
      <c r="C65" t="s">
        <v>12</v>
      </c>
      <c r="D65" t="s">
        <v>15</v>
      </c>
      <c r="E65">
        <v>3</v>
      </c>
      <c r="F65">
        <v>802.74</v>
      </c>
      <c r="G65">
        <v>802</v>
      </c>
      <c r="H65">
        <v>2406</v>
      </c>
      <c r="I65">
        <v>5.6899999999999999E-2</v>
      </c>
      <c r="J65">
        <v>552.49</v>
      </c>
      <c r="K65">
        <v>28215</v>
      </c>
      <c r="L65">
        <v>1552</v>
      </c>
    </row>
    <row r="66" spans="1:12" x14ac:dyDescent="0.35">
      <c r="A66" s="1">
        <v>45356</v>
      </c>
      <c r="B66">
        <v>2024</v>
      </c>
      <c r="C66" t="s">
        <v>12</v>
      </c>
      <c r="D66" t="s">
        <v>15</v>
      </c>
      <c r="E66">
        <v>3</v>
      </c>
      <c r="F66">
        <v>195.91</v>
      </c>
      <c r="G66">
        <v>658</v>
      </c>
      <c r="H66">
        <v>2632</v>
      </c>
      <c r="I66">
        <v>3.9600000000000003E-2</v>
      </c>
      <c r="J66">
        <v>128.9</v>
      </c>
      <c r="K66">
        <v>38320</v>
      </c>
      <c r="L66">
        <v>454</v>
      </c>
    </row>
    <row r="67" spans="1:12" x14ac:dyDescent="0.35">
      <c r="A67" s="1">
        <v>45357</v>
      </c>
      <c r="B67">
        <v>2024</v>
      </c>
      <c r="C67" t="s">
        <v>12</v>
      </c>
      <c r="D67" t="s">
        <v>15</v>
      </c>
      <c r="E67">
        <v>3</v>
      </c>
      <c r="F67">
        <v>1463.21</v>
      </c>
      <c r="G67">
        <v>779</v>
      </c>
      <c r="H67">
        <v>3895</v>
      </c>
      <c r="I67">
        <v>1.9599999999999999E-2</v>
      </c>
      <c r="J67">
        <v>2816.72</v>
      </c>
      <c r="K67">
        <v>63932</v>
      </c>
      <c r="L67">
        <v>2267</v>
      </c>
    </row>
    <row r="68" spans="1:12" x14ac:dyDescent="0.35">
      <c r="A68" s="1">
        <v>45358</v>
      </c>
      <c r="B68">
        <v>2024</v>
      </c>
      <c r="C68" t="s">
        <v>12</v>
      </c>
      <c r="D68" t="s">
        <v>15</v>
      </c>
      <c r="E68">
        <v>3</v>
      </c>
      <c r="F68">
        <v>818.73</v>
      </c>
      <c r="G68">
        <v>480</v>
      </c>
      <c r="H68">
        <v>960</v>
      </c>
      <c r="I68">
        <v>3.3300000000000003E-2</v>
      </c>
      <c r="J68">
        <v>724.43</v>
      </c>
      <c r="K68">
        <v>38804</v>
      </c>
      <c r="L68">
        <v>1180</v>
      </c>
    </row>
    <row r="69" spans="1:12" x14ac:dyDescent="0.35">
      <c r="A69" s="1">
        <v>45359</v>
      </c>
      <c r="B69">
        <v>2024</v>
      </c>
      <c r="C69" t="s">
        <v>12</v>
      </c>
      <c r="D69" t="s">
        <v>15</v>
      </c>
      <c r="E69">
        <v>3</v>
      </c>
      <c r="F69">
        <v>680.99</v>
      </c>
      <c r="G69">
        <v>852</v>
      </c>
      <c r="H69">
        <v>5112</v>
      </c>
      <c r="I69">
        <v>2.6499999999999999E-2</v>
      </c>
      <c r="J69">
        <v>131.44999999999999</v>
      </c>
      <c r="K69">
        <v>27104</v>
      </c>
      <c r="L69">
        <v>212</v>
      </c>
    </row>
    <row r="70" spans="1:12" x14ac:dyDescent="0.35">
      <c r="A70" s="1">
        <v>45360</v>
      </c>
      <c r="B70">
        <v>2024</v>
      </c>
      <c r="C70" t="s">
        <v>12</v>
      </c>
      <c r="D70" t="s">
        <v>15</v>
      </c>
      <c r="E70">
        <v>3</v>
      </c>
      <c r="F70">
        <v>877.78</v>
      </c>
      <c r="G70">
        <v>475</v>
      </c>
      <c r="H70">
        <v>950</v>
      </c>
      <c r="I70">
        <v>1.6500000000000001E-2</v>
      </c>
      <c r="J70">
        <v>3357.56</v>
      </c>
      <c r="K70">
        <v>112787</v>
      </c>
      <c r="L70">
        <v>3333</v>
      </c>
    </row>
    <row r="71" spans="1:12" x14ac:dyDescent="0.35">
      <c r="A71" s="1">
        <v>45361</v>
      </c>
      <c r="B71">
        <v>2024</v>
      </c>
      <c r="C71" t="s">
        <v>12</v>
      </c>
      <c r="D71" t="s">
        <v>15</v>
      </c>
      <c r="E71">
        <v>3</v>
      </c>
      <c r="F71">
        <v>2363.16</v>
      </c>
      <c r="G71">
        <v>896</v>
      </c>
      <c r="H71">
        <v>1792</v>
      </c>
      <c r="I71">
        <v>2.64E-2</v>
      </c>
      <c r="J71">
        <v>668.56</v>
      </c>
      <c r="K71">
        <v>30317</v>
      </c>
      <c r="L71">
        <v>2755</v>
      </c>
    </row>
    <row r="72" spans="1:12" x14ac:dyDescent="0.35">
      <c r="A72" s="1">
        <v>45362</v>
      </c>
      <c r="B72">
        <v>2024</v>
      </c>
      <c r="C72" t="s">
        <v>12</v>
      </c>
      <c r="D72" t="s">
        <v>15</v>
      </c>
      <c r="E72">
        <v>3</v>
      </c>
      <c r="F72">
        <v>721.62</v>
      </c>
      <c r="G72">
        <v>1177</v>
      </c>
      <c r="H72">
        <v>2354</v>
      </c>
      <c r="I72">
        <v>6.6199999999999995E-2</v>
      </c>
      <c r="J72">
        <v>2415.83</v>
      </c>
      <c r="K72">
        <v>105167</v>
      </c>
      <c r="L72">
        <v>4087</v>
      </c>
    </row>
    <row r="73" spans="1:12" x14ac:dyDescent="0.35">
      <c r="A73" s="1">
        <v>45363</v>
      </c>
      <c r="B73">
        <v>2024</v>
      </c>
      <c r="C73" t="s">
        <v>12</v>
      </c>
      <c r="D73" t="s">
        <v>15</v>
      </c>
      <c r="E73">
        <v>3</v>
      </c>
      <c r="F73">
        <v>434.33</v>
      </c>
      <c r="G73">
        <v>322</v>
      </c>
      <c r="H73">
        <v>1932</v>
      </c>
      <c r="I73">
        <v>2.7E-2</v>
      </c>
      <c r="J73">
        <v>1823.57</v>
      </c>
      <c r="K73">
        <v>114508</v>
      </c>
      <c r="L73">
        <v>3434</v>
      </c>
    </row>
    <row r="74" spans="1:12" x14ac:dyDescent="0.35">
      <c r="A74" s="1">
        <v>45364</v>
      </c>
      <c r="B74">
        <v>2024</v>
      </c>
      <c r="C74" t="s">
        <v>12</v>
      </c>
      <c r="D74" t="s">
        <v>15</v>
      </c>
      <c r="E74">
        <v>3</v>
      </c>
      <c r="F74">
        <v>1212.68</v>
      </c>
      <c r="G74">
        <v>935</v>
      </c>
      <c r="H74">
        <v>4675</v>
      </c>
      <c r="I74">
        <v>2.5499999999999998E-2</v>
      </c>
      <c r="J74">
        <v>3126.95</v>
      </c>
      <c r="K74">
        <v>104068</v>
      </c>
      <c r="L74">
        <v>5093</v>
      </c>
    </row>
    <row r="75" spans="1:12" x14ac:dyDescent="0.35">
      <c r="A75" s="1">
        <v>45365</v>
      </c>
      <c r="B75">
        <v>2024</v>
      </c>
      <c r="C75" t="s">
        <v>12</v>
      </c>
      <c r="D75" t="s">
        <v>15</v>
      </c>
      <c r="E75">
        <v>3</v>
      </c>
      <c r="F75">
        <v>918.99</v>
      </c>
      <c r="G75">
        <v>385</v>
      </c>
      <c r="H75">
        <v>2310</v>
      </c>
      <c r="I75">
        <v>4.8300000000000003E-2</v>
      </c>
      <c r="J75">
        <v>2327.16</v>
      </c>
      <c r="K75">
        <v>93523</v>
      </c>
      <c r="L75">
        <v>3339</v>
      </c>
    </row>
    <row r="76" spans="1:12" x14ac:dyDescent="0.35">
      <c r="A76" s="1">
        <v>45366</v>
      </c>
      <c r="B76">
        <v>2024</v>
      </c>
      <c r="C76" t="s">
        <v>12</v>
      </c>
      <c r="D76" t="s">
        <v>15</v>
      </c>
      <c r="E76">
        <v>3</v>
      </c>
      <c r="F76">
        <v>1352.26</v>
      </c>
      <c r="G76">
        <v>498</v>
      </c>
      <c r="H76">
        <v>2490</v>
      </c>
      <c r="I76">
        <v>6.2899999999999998E-2</v>
      </c>
      <c r="J76">
        <v>2953.59</v>
      </c>
      <c r="K76">
        <v>47484</v>
      </c>
      <c r="L76">
        <v>2086</v>
      </c>
    </row>
    <row r="77" spans="1:12" x14ac:dyDescent="0.35">
      <c r="A77" s="1">
        <v>45367</v>
      </c>
      <c r="B77">
        <v>2024</v>
      </c>
      <c r="C77" t="s">
        <v>12</v>
      </c>
      <c r="D77" t="s">
        <v>15</v>
      </c>
      <c r="E77">
        <v>3</v>
      </c>
      <c r="F77">
        <v>1463.77</v>
      </c>
      <c r="G77">
        <v>444</v>
      </c>
      <c r="H77">
        <v>888</v>
      </c>
      <c r="I77">
        <v>1.8100000000000002E-2</v>
      </c>
      <c r="J77">
        <v>537.1</v>
      </c>
      <c r="K77">
        <v>30257</v>
      </c>
      <c r="L77">
        <v>730</v>
      </c>
    </row>
    <row r="78" spans="1:12" x14ac:dyDescent="0.35">
      <c r="A78" s="1">
        <v>45368</v>
      </c>
      <c r="B78">
        <v>2024</v>
      </c>
      <c r="C78" t="s">
        <v>12</v>
      </c>
      <c r="D78" t="s">
        <v>15</v>
      </c>
      <c r="E78">
        <v>3</v>
      </c>
      <c r="F78">
        <v>1825.04</v>
      </c>
      <c r="G78">
        <v>691</v>
      </c>
      <c r="H78">
        <v>2764</v>
      </c>
      <c r="I78">
        <v>3.8699999999999998E-2</v>
      </c>
      <c r="J78">
        <v>1120.83</v>
      </c>
      <c r="K78">
        <v>4317</v>
      </c>
      <c r="L78">
        <v>1162</v>
      </c>
    </row>
    <row r="79" spans="1:12" x14ac:dyDescent="0.35">
      <c r="A79" s="1">
        <v>45369</v>
      </c>
      <c r="B79">
        <v>2024</v>
      </c>
      <c r="C79" t="s">
        <v>12</v>
      </c>
      <c r="D79" t="s">
        <v>15</v>
      </c>
      <c r="E79">
        <v>3</v>
      </c>
      <c r="F79">
        <v>632.98</v>
      </c>
      <c r="G79">
        <v>728</v>
      </c>
      <c r="H79">
        <v>1456</v>
      </c>
      <c r="I79">
        <v>5.4399999999999997E-2</v>
      </c>
      <c r="J79">
        <v>1319.73</v>
      </c>
      <c r="K79">
        <v>55437</v>
      </c>
      <c r="L79">
        <v>2191</v>
      </c>
    </row>
    <row r="80" spans="1:12" x14ac:dyDescent="0.35">
      <c r="A80" s="1">
        <v>45370</v>
      </c>
      <c r="B80">
        <v>2024</v>
      </c>
      <c r="C80" t="s">
        <v>12</v>
      </c>
      <c r="D80" t="s">
        <v>15</v>
      </c>
      <c r="E80">
        <v>3</v>
      </c>
      <c r="F80">
        <v>1405.53</v>
      </c>
      <c r="G80">
        <v>911</v>
      </c>
      <c r="H80">
        <v>1822</v>
      </c>
      <c r="I80">
        <v>1.5800000000000002E-2</v>
      </c>
      <c r="J80">
        <v>736.41</v>
      </c>
      <c r="K80">
        <v>42984</v>
      </c>
      <c r="L80">
        <v>1290</v>
      </c>
    </row>
    <row r="81" spans="1:12" x14ac:dyDescent="0.35">
      <c r="A81" s="1">
        <v>45371</v>
      </c>
      <c r="B81">
        <v>2024</v>
      </c>
      <c r="C81" t="s">
        <v>12</v>
      </c>
      <c r="D81" t="s">
        <v>15</v>
      </c>
      <c r="E81">
        <v>3</v>
      </c>
      <c r="F81">
        <v>1324.69</v>
      </c>
      <c r="G81">
        <v>995</v>
      </c>
      <c r="H81">
        <v>3980</v>
      </c>
      <c r="I81">
        <v>6.2399999999999997E-2</v>
      </c>
      <c r="J81">
        <v>0</v>
      </c>
      <c r="K81">
        <v>0</v>
      </c>
      <c r="L81">
        <v>0</v>
      </c>
    </row>
    <row r="82" spans="1:12" x14ac:dyDescent="0.35">
      <c r="A82" s="1">
        <v>45372</v>
      </c>
      <c r="B82">
        <v>2024</v>
      </c>
      <c r="C82" t="s">
        <v>12</v>
      </c>
      <c r="D82" t="s">
        <v>15</v>
      </c>
      <c r="E82">
        <v>3</v>
      </c>
      <c r="F82">
        <v>1412.85</v>
      </c>
      <c r="G82">
        <v>361</v>
      </c>
      <c r="H82">
        <v>1083</v>
      </c>
      <c r="I82">
        <v>2.41E-2</v>
      </c>
      <c r="J82">
        <v>2517.3000000000002</v>
      </c>
      <c r="K82">
        <v>125834</v>
      </c>
      <c r="L82">
        <v>5180</v>
      </c>
    </row>
    <row r="83" spans="1:12" x14ac:dyDescent="0.35">
      <c r="A83" s="1">
        <v>45373</v>
      </c>
      <c r="B83">
        <v>2024</v>
      </c>
      <c r="C83" t="s">
        <v>12</v>
      </c>
      <c r="D83" t="s">
        <v>15</v>
      </c>
      <c r="E83">
        <v>3</v>
      </c>
      <c r="F83">
        <v>0</v>
      </c>
      <c r="G83">
        <v>799</v>
      </c>
      <c r="H83">
        <v>3995</v>
      </c>
      <c r="I83">
        <v>2.0799999999999999E-2</v>
      </c>
      <c r="J83">
        <v>4795.68</v>
      </c>
      <c r="K83">
        <v>192476</v>
      </c>
      <c r="L83">
        <v>6166</v>
      </c>
    </row>
    <row r="84" spans="1:12" x14ac:dyDescent="0.35">
      <c r="A84" s="1">
        <v>45374</v>
      </c>
      <c r="B84">
        <v>2024</v>
      </c>
      <c r="C84" t="s">
        <v>12</v>
      </c>
      <c r="D84" t="s">
        <v>15</v>
      </c>
      <c r="E84">
        <v>3</v>
      </c>
      <c r="F84">
        <v>858.49</v>
      </c>
      <c r="G84">
        <v>437</v>
      </c>
      <c r="H84">
        <v>1748</v>
      </c>
      <c r="I84">
        <v>4.1099999999999998E-2</v>
      </c>
      <c r="J84">
        <v>835.9</v>
      </c>
      <c r="K84">
        <v>11596</v>
      </c>
      <c r="L84">
        <v>1749</v>
      </c>
    </row>
    <row r="85" spans="1:12" x14ac:dyDescent="0.35">
      <c r="A85" s="1">
        <v>45375</v>
      </c>
      <c r="B85">
        <v>2024</v>
      </c>
      <c r="C85" t="s">
        <v>12</v>
      </c>
      <c r="D85" t="s">
        <v>15</v>
      </c>
      <c r="E85">
        <v>3</v>
      </c>
      <c r="F85">
        <v>2025.71</v>
      </c>
      <c r="G85">
        <v>1145</v>
      </c>
      <c r="H85">
        <v>2290</v>
      </c>
      <c r="I85">
        <v>3.9899999999999998E-2</v>
      </c>
      <c r="J85">
        <v>1035.68</v>
      </c>
      <c r="K85">
        <v>44426</v>
      </c>
      <c r="L85">
        <v>491</v>
      </c>
    </row>
    <row r="86" spans="1:12" x14ac:dyDescent="0.35">
      <c r="A86" s="1">
        <v>45376</v>
      </c>
      <c r="B86">
        <v>2024</v>
      </c>
      <c r="C86" t="s">
        <v>12</v>
      </c>
      <c r="D86" t="s">
        <v>15</v>
      </c>
      <c r="E86">
        <v>3</v>
      </c>
      <c r="F86">
        <v>401.04</v>
      </c>
      <c r="G86">
        <v>1132</v>
      </c>
      <c r="H86">
        <v>6792</v>
      </c>
      <c r="I86">
        <v>1.8200000000000001E-2</v>
      </c>
      <c r="J86">
        <v>1239.81</v>
      </c>
      <c r="K86">
        <v>77748</v>
      </c>
      <c r="L86">
        <v>2286</v>
      </c>
    </row>
    <row r="87" spans="1:12" x14ac:dyDescent="0.35">
      <c r="A87" s="1">
        <v>45377</v>
      </c>
      <c r="B87">
        <v>2024</v>
      </c>
      <c r="C87" t="s">
        <v>12</v>
      </c>
      <c r="D87" t="s">
        <v>15</v>
      </c>
      <c r="E87">
        <v>3</v>
      </c>
      <c r="F87">
        <v>0</v>
      </c>
      <c r="G87">
        <v>917</v>
      </c>
      <c r="H87">
        <v>5502</v>
      </c>
      <c r="I87">
        <v>6.4699999999999994E-2</v>
      </c>
      <c r="J87">
        <v>3770.99</v>
      </c>
      <c r="K87">
        <v>114708</v>
      </c>
      <c r="L87">
        <v>4996</v>
      </c>
    </row>
    <row r="88" spans="1:12" x14ac:dyDescent="0.35">
      <c r="A88" s="1">
        <v>45378</v>
      </c>
      <c r="B88">
        <v>2024</v>
      </c>
      <c r="C88" t="s">
        <v>12</v>
      </c>
      <c r="D88" t="s">
        <v>15</v>
      </c>
      <c r="E88">
        <v>3</v>
      </c>
      <c r="F88">
        <v>968.93</v>
      </c>
      <c r="G88">
        <v>345</v>
      </c>
      <c r="H88">
        <v>1035</v>
      </c>
      <c r="I88">
        <v>2.2499999999999999E-2</v>
      </c>
      <c r="J88">
        <v>613.01</v>
      </c>
      <c r="K88">
        <v>7769</v>
      </c>
      <c r="L88">
        <v>295</v>
      </c>
    </row>
    <row r="89" spans="1:12" x14ac:dyDescent="0.35">
      <c r="A89" s="1">
        <v>45379</v>
      </c>
      <c r="B89">
        <v>2024</v>
      </c>
      <c r="C89" t="s">
        <v>12</v>
      </c>
      <c r="D89" t="s">
        <v>15</v>
      </c>
      <c r="E89">
        <v>3</v>
      </c>
      <c r="F89">
        <v>1017.5</v>
      </c>
      <c r="G89">
        <v>747</v>
      </c>
      <c r="H89">
        <v>3735</v>
      </c>
      <c r="I89">
        <v>2.5499999999999998E-2</v>
      </c>
      <c r="J89">
        <v>1224.8599999999999</v>
      </c>
      <c r="K89">
        <v>59248</v>
      </c>
      <c r="L89">
        <v>416</v>
      </c>
    </row>
    <row r="90" spans="1:12" x14ac:dyDescent="0.35">
      <c r="A90" s="1">
        <v>45380</v>
      </c>
      <c r="B90">
        <v>2024</v>
      </c>
      <c r="C90" t="s">
        <v>12</v>
      </c>
      <c r="D90" t="s">
        <v>15</v>
      </c>
      <c r="E90">
        <v>3</v>
      </c>
      <c r="F90">
        <v>0</v>
      </c>
      <c r="G90">
        <v>660</v>
      </c>
      <c r="H90">
        <v>1320</v>
      </c>
      <c r="I90">
        <v>2.24E-2</v>
      </c>
      <c r="J90">
        <v>2037.4</v>
      </c>
      <c r="K90">
        <v>139749</v>
      </c>
      <c r="L90">
        <v>4144</v>
      </c>
    </row>
    <row r="91" spans="1:12" x14ac:dyDescent="0.35">
      <c r="A91" s="1">
        <v>45381</v>
      </c>
      <c r="B91">
        <v>2024</v>
      </c>
      <c r="C91" t="s">
        <v>12</v>
      </c>
      <c r="D91" t="s">
        <v>15</v>
      </c>
      <c r="E91">
        <v>3</v>
      </c>
      <c r="F91">
        <v>1331.09</v>
      </c>
      <c r="G91">
        <v>252</v>
      </c>
      <c r="H91">
        <v>1260</v>
      </c>
      <c r="I91">
        <v>2.87E-2</v>
      </c>
      <c r="J91">
        <v>1522.72</v>
      </c>
      <c r="K91">
        <v>56315</v>
      </c>
      <c r="L91">
        <v>2001</v>
      </c>
    </row>
    <row r="92" spans="1:12" x14ac:dyDescent="0.35">
      <c r="A92" s="1">
        <v>45382</v>
      </c>
      <c r="B92">
        <v>2024</v>
      </c>
      <c r="C92" t="s">
        <v>12</v>
      </c>
      <c r="D92" t="s">
        <v>15</v>
      </c>
      <c r="E92">
        <v>3</v>
      </c>
      <c r="F92">
        <v>562.52</v>
      </c>
      <c r="G92">
        <v>1052</v>
      </c>
      <c r="H92">
        <v>5260</v>
      </c>
      <c r="I92">
        <v>0.03</v>
      </c>
      <c r="J92">
        <v>1843.15</v>
      </c>
      <c r="K92">
        <v>90165</v>
      </c>
      <c r="L92">
        <v>3648</v>
      </c>
    </row>
    <row r="93" spans="1:12" x14ac:dyDescent="0.35">
      <c r="A93" s="1">
        <v>45383</v>
      </c>
      <c r="B93">
        <v>2024</v>
      </c>
      <c r="C93" t="s">
        <v>16</v>
      </c>
      <c r="D93" t="s">
        <v>17</v>
      </c>
      <c r="E93">
        <v>4</v>
      </c>
      <c r="F93">
        <v>2357.46</v>
      </c>
      <c r="G93">
        <v>963</v>
      </c>
      <c r="H93">
        <v>5778</v>
      </c>
      <c r="I93">
        <v>5.3699999999999998E-2</v>
      </c>
      <c r="J93">
        <v>1798.72</v>
      </c>
      <c r="K93">
        <v>70069</v>
      </c>
      <c r="L93">
        <v>883</v>
      </c>
    </row>
    <row r="94" spans="1:12" x14ac:dyDescent="0.35">
      <c r="A94" s="1">
        <v>45384</v>
      </c>
      <c r="B94">
        <v>2024</v>
      </c>
      <c r="C94" t="s">
        <v>16</v>
      </c>
      <c r="D94" t="s">
        <v>17</v>
      </c>
      <c r="E94">
        <v>4</v>
      </c>
      <c r="F94">
        <v>767.97</v>
      </c>
      <c r="G94">
        <v>748</v>
      </c>
      <c r="H94">
        <v>2244</v>
      </c>
      <c r="I94">
        <v>2.4E-2</v>
      </c>
      <c r="J94">
        <v>1277.49</v>
      </c>
      <c r="K94">
        <v>29496</v>
      </c>
      <c r="L94">
        <v>1426</v>
      </c>
    </row>
    <row r="95" spans="1:12" x14ac:dyDescent="0.35">
      <c r="A95" s="1">
        <v>45385</v>
      </c>
      <c r="B95">
        <v>2024</v>
      </c>
      <c r="C95" t="s">
        <v>16</v>
      </c>
      <c r="D95" t="s">
        <v>17</v>
      </c>
      <c r="E95">
        <v>4</v>
      </c>
      <c r="F95">
        <v>1247.82</v>
      </c>
      <c r="G95">
        <v>472</v>
      </c>
      <c r="H95">
        <v>944</v>
      </c>
      <c r="I95">
        <v>4.8500000000000001E-2</v>
      </c>
      <c r="J95">
        <v>122.57</v>
      </c>
      <c r="K95">
        <v>31994</v>
      </c>
      <c r="L95">
        <v>105</v>
      </c>
    </row>
    <row r="96" spans="1:12" x14ac:dyDescent="0.35">
      <c r="A96" s="1">
        <v>45386</v>
      </c>
      <c r="B96">
        <v>2024</v>
      </c>
      <c r="C96" t="s">
        <v>16</v>
      </c>
      <c r="D96" t="s">
        <v>17</v>
      </c>
      <c r="E96">
        <v>4</v>
      </c>
      <c r="F96">
        <v>1252.8499999999999</v>
      </c>
      <c r="G96">
        <v>805</v>
      </c>
      <c r="H96">
        <v>1610</v>
      </c>
      <c r="I96">
        <v>5.91E-2</v>
      </c>
      <c r="J96">
        <v>1068.32</v>
      </c>
      <c r="K96">
        <v>26209</v>
      </c>
      <c r="L96">
        <v>412</v>
      </c>
    </row>
    <row r="97" spans="1:12" x14ac:dyDescent="0.35">
      <c r="A97" s="1">
        <v>45387</v>
      </c>
      <c r="B97">
        <v>2024</v>
      </c>
      <c r="C97" t="s">
        <v>16</v>
      </c>
      <c r="D97" t="s">
        <v>17</v>
      </c>
      <c r="E97">
        <v>4</v>
      </c>
      <c r="F97">
        <v>933.11</v>
      </c>
      <c r="G97">
        <v>308</v>
      </c>
      <c r="H97">
        <v>616</v>
      </c>
      <c r="I97">
        <v>4.8800000000000003E-2</v>
      </c>
      <c r="J97">
        <v>148.55000000000001</v>
      </c>
      <c r="K97">
        <v>42541</v>
      </c>
      <c r="L97">
        <v>634</v>
      </c>
    </row>
    <row r="98" spans="1:12" x14ac:dyDescent="0.35">
      <c r="A98" s="1">
        <v>45388</v>
      </c>
      <c r="B98">
        <v>2024</v>
      </c>
      <c r="C98" t="s">
        <v>16</v>
      </c>
      <c r="D98" t="s">
        <v>17</v>
      </c>
      <c r="E98">
        <v>4</v>
      </c>
      <c r="F98">
        <v>506.89</v>
      </c>
      <c r="G98">
        <v>764</v>
      </c>
      <c r="H98">
        <v>4584</v>
      </c>
      <c r="I98">
        <v>2.1899999999999999E-2</v>
      </c>
      <c r="J98">
        <v>1135.6300000000001</v>
      </c>
      <c r="K98">
        <v>40433</v>
      </c>
      <c r="L98">
        <v>1973</v>
      </c>
    </row>
    <row r="99" spans="1:12" x14ac:dyDescent="0.35">
      <c r="A99" s="1">
        <v>45389</v>
      </c>
      <c r="B99">
        <v>2024</v>
      </c>
      <c r="C99" t="s">
        <v>16</v>
      </c>
      <c r="D99" t="s">
        <v>17</v>
      </c>
      <c r="E99">
        <v>4</v>
      </c>
      <c r="F99">
        <v>872.95</v>
      </c>
      <c r="G99">
        <v>770</v>
      </c>
      <c r="H99">
        <v>1540</v>
      </c>
      <c r="I99">
        <v>6.5600000000000006E-2</v>
      </c>
      <c r="J99">
        <v>885.53</v>
      </c>
      <c r="K99">
        <v>16572</v>
      </c>
      <c r="L99">
        <v>1435</v>
      </c>
    </row>
    <row r="100" spans="1:12" x14ac:dyDescent="0.35">
      <c r="A100" s="1">
        <v>45390</v>
      </c>
      <c r="B100">
        <v>2024</v>
      </c>
      <c r="C100" t="s">
        <v>16</v>
      </c>
      <c r="D100" t="s">
        <v>17</v>
      </c>
      <c r="E100">
        <v>4</v>
      </c>
      <c r="F100">
        <v>2576.12</v>
      </c>
      <c r="G100">
        <v>320</v>
      </c>
      <c r="H100">
        <v>1920</v>
      </c>
      <c r="I100">
        <v>1.6299999999999999E-2</v>
      </c>
      <c r="J100">
        <v>430.29</v>
      </c>
      <c r="K100">
        <v>32075</v>
      </c>
      <c r="L100">
        <v>1357</v>
      </c>
    </row>
    <row r="101" spans="1:12" x14ac:dyDescent="0.35">
      <c r="A101" s="1">
        <v>45391</v>
      </c>
      <c r="B101">
        <v>2024</v>
      </c>
      <c r="C101" t="s">
        <v>16</v>
      </c>
      <c r="D101" t="s">
        <v>17</v>
      </c>
      <c r="E101">
        <v>4</v>
      </c>
      <c r="F101">
        <v>647.22</v>
      </c>
      <c r="G101">
        <v>1132</v>
      </c>
      <c r="H101">
        <v>3396</v>
      </c>
      <c r="I101">
        <v>3.7400000000000003E-2</v>
      </c>
      <c r="J101">
        <v>1767.14</v>
      </c>
      <c r="K101">
        <v>58642</v>
      </c>
      <c r="L101">
        <v>2659</v>
      </c>
    </row>
    <row r="102" spans="1:12" x14ac:dyDescent="0.35">
      <c r="A102" s="1">
        <v>45392</v>
      </c>
      <c r="B102">
        <v>2024</v>
      </c>
      <c r="C102" t="s">
        <v>16</v>
      </c>
      <c r="D102" t="s">
        <v>17</v>
      </c>
      <c r="E102">
        <v>4</v>
      </c>
      <c r="F102">
        <v>385.72</v>
      </c>
      <c r="G102">
        <v>1161</v>
      </c>
      <c r="H102">
        <v>6966</v>
      </c>
      <c r="I102">
        <v>2.75E-2</v>
      </c>
      <c r="J102">
        <v>1116.73</v>
      </c>
      <c r="K102">
        <v>71938</v>
      </c>
      <c r="L102">
        <v>264</v>
      </c>
    </row>
    <row r="103" spans="1:12" x14ac:dyDescent="0.35">
      <c r="A103" s="1">
        <v>45393</v>
      </c>
      <c r="B103">
        <v>2024</v>
      </c>
      <c r="C103" t="s">
        <v>16</v>
      </c>
      <c r="D103" t="s">
        <v>17</v>
      </c>
      <c r="E103">
        <v>4</v>
      </c>
      <c r="F103">
        <v>1875.97</v>
      </c>
      <c r="G103">
        <v>858</v>
      </c>
      <c r="H103">
        <v>1716</v>
      </c>
      <c r="I103">
        <v>5.0999999999999997E-2</v>
      </c>
      <c r="J103">
        <v>1422.73</v>
      </c>
      <c r="K103">
        <v>79591</v>
      </c>
      <c r="L103">
        <v>1793</v>
      </c>
    </row>
    <row r="104" spans="1:12" x14ac:dyDescent="0.35">
      <c r="A104" s="1">
        <v>45394</v>
      </c>
      <c r="B104">
        <v>2024</v>
      </c>
      <c r="C104" t="s">
        <v>16</v>
      </c>
      <c r="D104" t="s">
        <v>17</v>
      </c>
      <c r="E104">
        <v>4</v>
      </c>
      <c r="F104">
        <v>768.02</v>
      </c>
      <c r="G104">
        <v>679</v>
      </c>
      <c r="H104">
        <v>4074</v>
      </c>
      <c r="I104">
        <v>4.7600000000000003E-2</v>
      </c>
      <c r="J104">
        <v>775.37</v>
      </c>
      <c r="K104">
        <v>37629</v>
      </c>
      <c r="L104">
        <v>1657</v>
      </c>
    </row>
    <row r="105" spans="1:12" x14ac:dyDescent="0.35">
      <c r="A105" s="1">
        <v>45395</v>
      </c>
      <c r="B105">
        <v>2024</v>
      </c>
      <c r="C105" t="s">
        <v>16</v>
      </c>
      <c r="D105" t="s">
        <v>17</v>
      </c>
      <c r="E105">
        <v>4</v>
      </c>
      <c r="F105">
        <v>1139.27</v>
      </c>
      <c r="G105">
        <v>573</v>
      </c>
      <c r="H105">
        <v>2292</v>
      </c>
      <c r="I105">
        <v>2.4899999999999999E-2</v>
      </c>
      <c r="J105">
        <v>0</v>
      </c>
      <c r="K105">
        <v>0</v>
      </c>
      <c r="L105">
        <v>0</v>
      </c>
    </row>
    <row r="106" spans="1:12" x14ac:dyDescent="0.35">
      <c r="A106" s="1">
        <v>45396</v>
      </c>
      <c r="B106">
        <v>2024</v>
      </c>
      <c r="C106" t="s">
        <v>16</v>
      </c>
      <c r="D106" t="s">
        <v>17</v>
      </c>
      <c r="E106">
        <v>4</v>
      </c>
      <c r="F106">
        <v>2495.9699999999998</v>
      </c>
      <c r="G106">
        <v>983</v>
      </c>
      <c r="H106">
        <v>3932</v>
      </c>
      <c r="I106">
        <v>2.7E-2</v>
      </c>
      <c r="J106">
        <v>684.92</v>
      </c>
      <c r="K106">
        <v>38540</v>
      </c>
      <c r="L106">
        <v>1018</v>
      </c>
    </row>
    <row r="107" spans="1:12" x14ac:dyDescent="0.35">
      <c r="A107" s="1">
        <v>45397</v>
      </c>
      <c r="B107">
        <v>2024</v>
      </c>
      <c r="C107" t="s">
        <v>16</v>
      </c>
      <c r="D107" t="s">
        <v>17</v>
      </c>
      <c r="E107">
        <v>4</v>
      </c>
      <c r="F107">
        <v>687.52</v>
      </c>
      <c r="G107">
        <v>655</v>
      </c>
      <c r="H107">
        <v>1965</v>
      </c>
      <c r="I107">
        <v>5.4300000000000001E-2</v>
      </c>
      <c r="J107">
        <v>3000.44</v>
      </c>
      <c r="K107">
        <v>100981</v>
      </c>
      <c r="L107">
        <v>3850</v>
      </c>
    </row>
    <row r="108" spans="1:12" x14ac:dyDescent="0.35">
      <c r="A108" s="1">
        <v>45398</v>
      </c>
      <c r="B108">
        <v>2024</v>
      </c>
      <c r="C108" t="s">
        <v>16</v>
      </c>
      <c r="D108" t="s">
        <v>17</v>
      </c>
      <c r="E108">
        <v>4</v>
      </c>
      <c r="F108">
        <v>689.26</v>
      </c>
      <c r="G108">
        <v>557</v>
      </c>
      <c r="H108">
        <v>2785</v>
      </c>
      <c r="I108">
        <v>3.1899999999999998E-2</v>
      </c>
      <c r="J108">
        <v>1319.64</v>
      </c>
      <c r="K108">
        <v>47469</v>
      </c>
      <c r="L108">
        <v>1962</v>
      </c>
    </row>
    <row r="109" spans="1:12" x14ac:dyDescent="0.35">
      <c r="A109" s="1">
        <v>45399</v>
      </c>
      <c r="B109">
        <v>2024</v>
      </c>
      <c r="C109" t="s">
        <v>16</v>
      </c>
      <c r="D109" t="s">
        <v>17</v>
      </c>
      <c r="E109">
        <v>4</v>
      </c>
      <c r="F109">
        <v>3928.41</v>
      </c>
      <c r="G109">
        <v>1019</v>
      </c>
      <c r="H109">
        <v>2038</v>
      </c>
      <c r="I109">
        <v>1.26E-2</v>
      </c>
      <c r="J109">
        <v>1260.8399999999999</v>
      </c>
      <c r="K109">
        <v>50863</v>
      </c>
      <c r="L109">
        <v>3480</v>
      </c>
    </row>
    <row r="110" spans="1:12" x14ac:dyDescent="0.35">
      <c r="A110" s="1">
        <v>45400</v>
      </c>
      <c r="B110">
        <v>2024</v>
      </c>
      <c r="C110" t="s">
        <v>16</v>
      </c>
      <c r="D110" t="s">
        <v>17</v>
      </c>
      <c r="E110">
        <v>4</v>
      </c>
      <c r="F110">
        <v>0</v>
      </c>
      <c r="G110">
        <v>886</v>
      </c>
      <c r="H110">
        <v>5316</v>
      </c>
      <c r="I110">
        <v>7.4800000000000005E-2</v>
      </c>
      <c r="J110">
        <v>264.94</v>
      </c>
      <c r="K110">
        <v>25738</v>
      </c>
      <c r="L110">
        <v>1262</v>
      </c>
    </row>
    <row r="111" spans="1:12" x14ac:dyDescent="0.35">
      <c r="A111" s="1">
        <v>45401</v>
      </c>
      <c r="B111">
        <v>2024</v>
      </c>
      <c r="C111" t="s">
        <v>16</v>
      </c>
      <c r="D111" t="s">
        <v>17</v>
      </c>
      <c r="E111">
        <v>4</v>
      </c>
      <c r="F111">
        <v>73.88</v>
      </c>
      <c r="G111">
        <v>325</v>
      </c>
      <c r="H111">
        <v>1950</v>
      </c>
      <c r="I111">
        <v>2.5399999999999999E-2</v>
      </c>
      <c r="J111">
        <v>0</v>
      </c>
      <c r="K111">
        <v>0</v>
      </c>
      <c r="L111">
        <v>0</v>
      </c>
    </row>
    <row r="112" spans="1:12" x14ac:dyDescent="0.35">
      <c r="A112" s="1">
        <v>45402</v>
      </c>
      <c r="B112">
        <v>2024</v>
      </c>
      <c r="C112" t="s">
        <v>16</v>
      </c>
      <c r="D112" t="s">
        <v>17</v>
      </c>
      <c r="E112">
        <v>4</v>
      </c>
      <c r="F112">
        <v>401.76</v>
      </c>
      <c r="G112">
        <v>521</v>
      </c>
      <c r="H112">
        <v>1563</v>
      </c>
      <c r="I112">
        <v>7.0800000000000002E-2</v>
      </c>
      <c r="J112">
        <v>747.5</v>
      </c>
      <c r="K112">
        <v>32894</v>
      </c>
      <c r="L112">
        <v>1016</v>
      </c>
    </row>
    <row r="113" spans="1:12" x14ac:dyDescent="0.35">
      <c r="A113" s="1">
        <v>45403</v>
      </c>
      <c r="B113">
        <v>2024</v>
      </c>
      <c r="C113" t="s">
        <v>16</v>
      </c>
      <c r="D113" t="s">
        <v>17</v>
      </c>
      <c r="E113">
        <v>4</v>
      </c>
      <c r="F113">
        <v>1223.53</v>
      </c>
      <c r="G113">
        <v>1152</v>
      </c>
      <c r="H113">
        <v>2304</v>
      </c>
      <c r="I113">
        <v>6.7400000000000002E-2</v>
      </c>
      <c r="J113">
        <v>1579.83</v>
      </c>
      <c r="K113">
        <v>101490</v>
      </c>
      <c r="L113">
        <v>3379</v>
      </c>
    </row>
    <row r="114" spans="1:12" x14ac:dyDescent="0.35">
      <c r="A114" s="1">
        <v>45404</v>
      </c>
      <c r="B114">
        <v>2024</v>
      </c>
      <c r="C114" t="s">
        <v>16</v>
      </c>
      <c r="D114" t="s">
        <v>17</v>
      </c>
      <c r="E114">
        <v>4</v>
      </c>
      <c r="F114">
        <v>1307.04</v>
      </c>
      <c r="G114">
        <v>628</v>
      </c>
      <c r="H114">
        <v>2512</v>
      </c>
      <c r="I114">
        <v>2.1899999999999999E-2</v>
      </c>
      <c r="J114">
        <v>736.3</v>
      </c>
      <c r="K114">
        <v>51839</v>
      </c>
      <c r="L114">
        <v>1487</v>
      </c>
    </row>
    <row r="115" spans="1:12" x14ac:dyDescent="0.35">
      <c r="A115" s="1">
        <v>45405</v>
      </c>
      <c r="B115">
        <v>2024</v>
      </c>
      <c r="C115" t="s">
        <v>16</v>
      </c>
      <c r="D115" t="s">
        <v>17</v>
      </c>
      <c r="E115">
        <v>4</v>
      </c>
      <c r="F115">
        <v>936.47</v>
      </c>
      <c r="G115">
        <v>1103</v>
      </c>
      <c r="H115">
        <v>6618</v>
      </c>
      <c r="I115">
        <v>5.6300000000000003E-2</v>
      </c>
      <c r="J115">
        <v>0</v>
      </c>
      <c r="K115">
        <v>0</v>
      </c>
      <c r="L115">
        <v>0</v>
      </c>
    </row>
    <row r="116" spans="1:12" x14ac:dyDescent="0.35">
      <c r="A116" s="1">
        <v>45406</v>
      </c>
      <c r="B116">
        <v>2024</v>
      </c>
      <c r="C116" t="s">
        <v>16</v>
      </c>
      <c r="D116" t="s">
        <v>17</v>
      </c>
      <c r="E116">
        <v>4</v>
      </c>
      <c r="F116">
        <v>0</v>
      </c>
      <c r="G116">
        <v>876</v>
      </c>
      <c r="H116">
        <v>5256</v>
      </c>
      <c r="I116">
        <v>1.2500000000000001E-2</v>
      </c>
      <c r="J116">
        <v>416.49</v>
      </c>
      <c r="K116">
        <v>8493</v>
      </c>
      <c r="L116">
        <v>1748</v>
      </c>
    </row>
    <row r="117" spans="1:12" x14ac:dyDescent="0.35">
      <c r="A117" s="1">
        <v>45407</v>
      </c>
      <c r="B117">
        <v>2024</v>
      </c>
      <c r="C117" t="s">
        <v>16</v>
      </c>
      <c r="D117" t="s">
        <v>17</v>
      </c>
      <c r="E117">
        <v>4</v>
      </c>
      <c r="F117">
        <v>423.03</v>
      </c>
      <c r="G117">
        <v>1086</v>
      </c>
      <c r="H117">
        <v>6516</v>
      </c>
      <c r="I117">
        <v>3.09E-2</v>
      </c>
      <c r="J117">
        <v>1617.25</v>
      </c>
      <c r="K117">
        <v>49726</v>
      </c>
      <c r="L117">
        <v>3112</v>
      </c>
    </row>
    <row r="118" spans="1:12" x14ac:dyDescent="0.35">
      <c r="A118" s="1">
        <v>45408</v>
      </c>
      <c r="B118">
        <v>2024</v>
      </c>
      <c r="C118" t="s">
        <v>16</v>
      </c>
      <c r="D118" t="s">
        <v>17</v>
      </c>
      <c r="E118">
        <v>4</v>
      </c>
      <c r="F118">
        <v>214.18</v>
      </c>
      <c r="G118">
        <v>929</v>
      </c>
      <c r="H118">
        <v>1858</v>
      </c>
      <c r="I118">
        <v>7.1199999999999999E-2</v>
      </c>
      <c r="J118">
        <v>685.99</v>
      </c>
      <c r="K118">
        <v>26603</v>
      </c>
      <c r="L118">
        <v>914</v>
      </c>
    </row>
    <row r="119" spans="1:12" x14ac:dyDescent="0.35">
      <c r="A119" s="1">
        <v>45409</v>
      </c>
      <c r="B119">
        <v>2024</v>
      </c>
      <c r="C119" t="s">
        <v>16</v>
      </c>
      <c r="D119" t="s">
        <v>17</v>
      </c>
      <c r="E119">
        <v>4</v>
      </c>
      <c r="F119">
        <v>474.68</v>
      </c>
      <c r="G119">
        <v>387</v>
      </c>
      <c r="H119">
        <v>1548</v>
      </c>
      <c r="I119">
        <v>1.9300000000000001E-2</v>
      </c>
      <c r="J119">
        <v>705.26</v>
      </c>
      <c r="K119">
        <v>18104</v>
      </c>
      <c r="L119">
        <v>1052</v>
      </c>
    </row>
    <row r="120" spans="1:12" x14ac:dyDescent="0.35">
      <c r="A120" s="1">
        <v>45410</v>
      </c>
      <c r="B120">
        <v>2024</v>
      </c>
      <c r="C120" t="s">
        <v>16</v>
      </c>
      <c r="D120" t="s">
        <v>17</v>
      </c>
      <c r="E120">
        <v>4</v>
      </c>
      <c r="F120">
        <v>457.74</v>
      </c>
      <c r="G120">
        <v>359</v>
      </c>
      <c r="H120">
        <v>2154</v>
      </c>
      <c r="I120">
        <v>2.18E-2</v>
      </c>
      <c r="J120">
        <v>1557.81</v>
      </c>
      <c r="K120">
        <v>46333</v>
      </c>
      <c r="L120">
        <v>1893</v>
      </c>
    </row>
    <row r="121" spans="1:12" x14ac:dyDescent="0.35">
      <c r="A121" s="1">
        <v>45411</v>
      </c>
      <c r="B121">
        <v>2024</v>
      </c>
      <c r="C121" t="s">
        <v>16</v>
      </c>
      <c r="D121" t="s">
        <v>17</v>
      </c>
      <c r="E121">
        <v>4</v>
      </c>
      <c r="F121">
        <v>255.72</v>
      </c>
      <c r="G121">
        <v>538</v>
      </c>
      <c r="H121">
        <v>3228</v>
      </c>
      <c r="I121">
        <v>2.53E-2</v>
      </c>
      <c r="J121">
        <v>854.25</v>
      </c>
      <c r="K121">
        <v>35953</v>
      </c>
      <c r="L121">
        <v>747</v>
      </c>
    </row>
    <row r="122" spans="1:12" x14ac:dyDescent="0.35">
      <c r="A122" s="1">
        <v>45412</v>
      </c>
      <c r="B122">
        <v>2024</v>
      </c>
      <c r="C122" t="s">
        <v>16</v>
      </c>
      <c r="D122" t="s">
        <v>17</v>
      </c>
      <c r="E122">
        <v>4</v>
      </c>
      <c r="F122">
        <v>1170.7</v>
      </c>
      <c r="G122">
        <v>601</v>
      </c>
      <c r="H122">
        <v>1803</v>
      </c>
      <c r="I122">
        <v>5.5300000000000002E-2</v>
      </c>
      <c r="J122">
        <v>1460.57</v>
      </c>
      <c r="K122">
        <v>79886</v>
      </c>
      <c r="L122">
        <v>1861</v>
      </c>
    </row>
    <row r="123" spans="1:12" x14ac:dyDescent="0.35">
      <c r="A123" s="1">
        <v>45413</v>
      </c>
      <c r="B123">
        <v>2024</v>
      </c>
      <c r="C123" t="s">
        <v>16</v>
      </c>
      <c r="D123" t="s">
        <v>18</v>
      </c>
      <c r="E123">
        <v>5</v>
      </c>
      <c r="F123">
        <v>1223.43</v>
      </c>
      <c r="G123">
        <v>1123</v>
      </c>
      <c r="H123">
        <v>4492</v>
      </c>
      <c r="I123">
        <v>4.3799999999999999E-2</v>
      </c>
      <c r="J123">
        <v>1615.32</v>
      </c>
      <c r="K123">
        <v>59271</v>
      </c>
      <c r="L123">
        <v>1427</v>
      </c>
    </row>
    <row r="124" spans="1:12" x14ac:dyDescent="0.35">
      <c r="A124" s="1">
        <v>45414</v>
      </c>
      <c r="B124">
        <v>2024</v>
      </c>
      <c r="C124" t="s">
        <v>16</v>
      </c>
      <c r="D124" t="s">
        <v>18</v>
      </c>
      <c r="E124">
        <v>5</v>
      </c>
      <c r="F124">
        <v>1279.5</v>
      </c>
      <c r="G124">
        <v>507</v>
      </c>
      <c r="H124">
        <v>1014</v>
      </c>
      <c r="I124">
        <v>1.78E-2</v>
      </c>
      <c r="J124">
        <v>2687.55</v>
      </c>
      <c r="K124">
        <v>86419</v>
      </c>
      <c r="L124">
        <v>3247</v>
      </c>
    </row>
    <row r="125" spans="1:12" x14ac:dyDescent="0.35">
      <c r="A125" s="1">
        <v>45415</v>
      </c>
      <c r="B125">
        <v>2024</v>
      </c>
      <c r="C125" t="s">
        <v>16</v>
      </c>
      <c r="D125" t="s">
        <v>18</v>
      </c>
      <c r="E125">
        <v>5</v>
      </c>
      <c r="F125">
        <v>242.51</v>
      </c>
      <c r="G125">
        <v>683</v>
      </c>
      <c r="H125">
        <v>2732</v>
      </c>
      <c r="I125">
        <v>1.4800000000000001E-2</v>
      </c>
      <c r="J125">
        <v>2004.4</v>
      </c>
      <c r="K125">
        <v>67475</v>
      </c>
      <c r="L125">
        <v>3658</v>
      </c>
    </row>
    <row r="126" spans="1:12" x14ac:dyDescent="0.35">
      <c r="A126" s="1">
        <v>45416</v>
      </c>
      <c r="B126">
        <v>2024</v>
      </c>
      <c r="C126" t="s">
        <v>16</v>
      </c>
      <c r="D126" t="s">
        <v>18</v>
      </c>
      <c r="E126">
        <v>5</v>
      </c>
      <c r="F126">
        <v>2286.6999999999998</v>
      </c>
      <c r="G126">
        <v>591</v>
      </c>
      <c r="H126">
        <v>1773</v>
      </c>
      <c r="I126">
        <v>5.21E-2</v>
      </c>
      <c r="J126">
        <v>480.91</v>
      </c>
      <c r="K126">
        <v>85202</v>
      </c>
      <c r="L126">
        <v>550</v>
      </c>
    </row>
    <row r="127" spans="1:12" x14ac:dyDescent="0.35">
      <c r="A127" s="1">
        <v>45417</v>
      </c>
      <c r="B127">
        <v>2024</v>
      </c>
      <c r="C127" t="s">
        <v>16</v>
      </c>
      <c r="D127" t="s">
        <v>18</v>
      </c>
      <c r="E127">
        <v>5</v>
      </c>
      <c r="F127">
        <v>1077.3699999999999</v>
      </c>
      <c r="G127">
        <v>518</v>
      </c>
      <c r="H127">
        <v>1554</v>
      </c>
      <c r="I127">
        <v>5.8700000000000002E-2</v>
      </c>
      <c r="J127">
        <v>623.73</v>
      </c>
      <c r="K127">
        <v>38089</v>
      </c>
      <c r="L127">
        <v>1011</v>
      </c>
    </row>
    <row r="128" spans="1:12" x14ac:dyDescent="0.35">
      <c r="A128" s="1">
        <v>45418</v>
      </c>
      <c r="B128">
        <v>2024</v>
      </c>
      <c r="C128" t="s">
        <v>16</v>
      </c>
      <c r="D128" t="s">
        <v>18</v>
      </c>
      <c r="E128">
        <v>5</v>
      </c>
      <c r="F128">
        <v>1197.3499999999999</v>
      </c>
      <c r="G128">
        <v>814</v>
      </c>
      <c r="H128">
        <v>4070</v>
      </c>
      <c r="I128">
        <v>4.7300000000000002E-2</v>
      </c>
      <c r="J128">
        <v>798.67</v>
      </c>
      <c r="K128">
        <v>48721</v>
      </c>
      <c r="L128">
        <v>2279</v>
      </c>
    </row>
    <row r="129" spans="1:12" x14ac:dyDescent="0.35">
      <c r="A129" s="1">
        <v>45419</v>
      </c>
      <c r="B129">
        <v>2024</v>
      </c>
      <c r="C129" t="s">
        <v>16</v>
      </c>
      <c r="D129" t="s">
        <v>18</v>
      </c>
      <c r="E129">
        <v>5</v>
      </c>
      <c r="F129">
        <v>1459.55</v>
      </c>
      <c r="G129">
        <v>364</v>
      </c>
      <c r="H129">
        <v>728</v>
      </c>
      <c r="I129">
        <v>7.1499999999999994E-2</v>
      </c>
      <c r="J129">
        <v>453.05</v>
      </c>
      <c r="K129">
        <v>9080</v>
      </c>
      <c r="L129">
        <v>1505</v>
      </c>
    </row>
    <row r="130" spans="1:12" x14ac:dyDescent="0.35">
      <c r="A130" s="1">
        <v>45420</v>
      </c>
      <c r="B130">
        <v>2024</v>
      </c>
      <c r="C130" t="s">
        <v>16</v>
      </c>
      <c r="D130" t="s">
        <v>18</v>
      </c>
      <c r="E130">
        <v>5</v>
      </c>
      <c r="F130">
        <v>1958.11</v>
      </c>
      <c r="G130">
        <v>957</v>
      </c>
      <c r="H130">
        <v>2871</v>
      </c>
      <c r="I130">
        <v>4.6399999999999997E-2</v>
      </c>
      <c r="J130">
        <v>1551.01</v>
      </c>
      <c r="K130">
        <v>57363</v>
      </c>
      <c r="L130">
        <v>2894</v>
      </c>
    </row>
    <row r="131" spans="1:12" x14ac:dyDescent="0.35">
      <c r="A131" s="1">
        <v>45421</v>
      </c>
      <c r="B131">
        <v>2024</v>
      </c>
      <c r="C131" t="s">
        <v>16</v>
      </c>
      <c r="D131" t="s">
        <v>18</v>
      </c>
      <c r="E131">
        <v>5</v>
      </c>
      <c r="F131">
        <v>1056.32</v>
      </c>
      <c r="G131">
        <v>1104</v>
      </c>
      <c r="H131">
        <v>4416</v>
      </c>
      <c r="I131">
        <v>4.87E-2</v>
      </c>
      <c r="J131">
        <v>1970.62</v>
      </c>
      <c r="K131">
        <v>80408</v>
      </c>
      <c r="L131">
        <v>2571</v>
      </c>
    </row>
    <row r="132" spans="1:12" x14ac:dyDescent="0.35">
      <c r="A132" s="1">
        <v>45422</v>
      </c>
      <c r="B132">
        <v>2024</v>
      </c>
      <c r="C132" t="s">
        <v>16</v>
      </c>
      <c r="D132" t="s">
        <v>18</v>
      </c>
      <c r="E132">
        <v>5</v>
      </c>
      <c r="F132">
        <v>2075.67</v>
      </c>
      <c r="G132">
        <v>401</v>
      </c>
      <c r="H132">
        <v>2005</v>
      </c>
      <c r="I132">
        <v>0.02</v>
      </c>
      <c r="J132">
        <v>695.82</v>
      </c>
      <c r="K132">
        <v>39893</v>
      </c>
      <c r="L132">
        <v>582</v>
      </c>
    </row>
    <row r="133" spans="1:12" x14ac:dyDescent="0.35">
      <c r="A133" s="1">
        <v>45423</v>
      </c>
      <c r="B133">
        <v>2024</v>
      </c>
      <c r="C133" t="s">
        <v>16</v>
      </c>
      <c r="D133" t="s">
        <v>18</v>
      </c>
      <c r="E133">
        <v>5</v>
      </c>
      <c r="F133">
        <v>313.97000000000003</v>
      </c>
      <c r="G133">
        <v>565</v>
      </c>
      <c r="H133">
        <v>2260</v>
      </c>
      <c r="I133">
        <v>6.8599999999999994E-2</v>
      </c>
      <c r="J133">
        <v>122.49</v>
      </c>
      <c r="K133">
        <v>26558</v>
      </c>
      <c r="L133">
        <v>2862</v>
      </c>
    </row>
    <row r="134" spans="1:12" x14ac:dyDescent="0.35">
      <c r="A134" s="1">
        <v>45424</v>
      </c>
      <c r="B134">
        <v>2024</v>
      </c>
      <c r="C134" t="s">
        <v>16</v>
      </c>
      <c r="D134" t="s">
        <v>18</v>
      </c>
      <c r="E134">
        <v>5</v>
      </c>
      <c r="F134">
        <v>1313.6</v>
      </c>
      <c r="G134">
        <v>1065</v>
      </c>
      <c r="H134">
        <v>2130</v>
      </c>
      <c r="I134">
        <v>6.8599999999999994E-2</v>
      </c>
      <c r="J134">
        <v>0</v>
      </c>
      <c r="K134">
        <v>0</v>
      </c>
      <c r="L134">
        <v>0</v>
      </c>
    </row>
    <row r="135" spans="1:12" x14ac:dyDescent="0.35">
      <c r="A135" s="1">
        <v>45425</v>
      </c>
      <c r="B135">
        <v>2024</v>
      </c>
      <c r="C135" t="s">
        <v>16</v>
      </c>
      <c r="D135" t="s">
        <v>18</v>
      </c>
      <c r="E135">
        <v>5</v>
      </c>
      <c r="F135">
        <v>523.79</v>
      </c>
      <c r="G135">
        <v>465</v>
      </c>
      <c r="H135">
        <v>1395</v>
      </c>
      <c r="I135">
        <v>5.3999999999999999E-2</v>
      </c>
      <c r="J135">
        <v>320.85000000000002</v>
      </c>
      <c r="K135">
        <v>19497</v>
      </c>
      <c r="L135">
        <v>705</v>
      </c>
    </row>
    <row r="136" spans="1:12" x14ac:dyDescent="0.35">
      <c r="A136" s="1">
        <v>45426</v>
      </c>
      <c r="B136">
        <v>2024</v>
      </c>
      <c r="C136" t="s">
        <v>16</v>
      </c>
      <c r="D136" t="s">
        <v>18</v>
      </c>
      <c r="E136">
        <v>5</v>
      </c>
      <c r="F136">
        <v>376.02</v>
      </c>
      <c r="G136">
        <v>612</v>
      </c>
      <c r="H136">
        <v>3672</v>
      </c>
      <c r="I136">
        <v>6.7699999999999996E-2</v>
      </c>
      <c r="J136">
        <v>1041.53</v>
      </c>
      <c r="K136">
        <v>7700</v>
      </c>
      <c r="L136">
        <v>929</v>
      </c>
    </row>
    <row r="137" spans="1:12" x14ac:dyDescent="0.35">
      <c r="A137" s="1">
        <v>45427</v>
      </c>
      <c r="B137">
        <v>2024</v>
      </c>
      <c r="C137" t="s">
        <v>16</v>
      </c>
      <c r="D137" t="s">
        <v>18</v>
      </c>
      <c r="E137">
        <v>5</v>
      </c>
      <c r="F137">
        <v>1097.33</v>
      </c>
      <c r="G137">
        <v>666</v>
      </c>
      <c r="H137">
        <v>3996</v>
      </c>
      <c r="I137">
        <v>5.9200000000000003E-2</v>
      </c>
      <c r="J137">
        <v>1376.01</v>
      </c>
      <c r="K137">
        <v>58669</v>
      </c>
      <c r="L137">
        <v>2504</v>
      </c>
    </row>
    <row r="138" spans="1:12" x14ac:dyDescent="0.35">
      <c r="A138" s="1">
        <v>45428</v>
      </c>
      <c r="B138">
        <v>2024</v>
      </c>
      <c r="C138" t="s">
        <v>16</v>
      </c>
      <c r="D138" t="s">
        <v>18</v>
      </c>
      <c r="E138">
        <v>5</v>
      </c>
      <c r="F138">
        <v>1342.66</v>
      </c>
      <c r="G138">
        <v>1197</v>
      </c>
      <c r="H138">
        <v>3591</v>
      </c>
      <c r="I138">
        <v>6.6500000000000004E-2</v>
      </c>
      <c r="J138">
        <v>335.11</v>
      </c>
      <c r="K138">
        <v>8344</v>
      </c>
      <c r="L138">
        <v>133</v>
      </c>
    </row>
    <row r="139" spans="1:12" x14ac:dyDescent="0.35">
      <c r="A139" s="1">
        <v>45429</v>
      </c>
      <c r="B139">
        <v>2024</v>
      </c>
      <c r="C139" t="s">
        <v>16</v>
      </c>
      <c r="D139" t="s">
        <v>18</v>
      </c>
      <c r="E139">
        <v>5</v>
      </c>
      <c r="F139">
        <v>2127.4299999999998</v>
      </c>
      <c r="G139">
        <v>1069</v>
      </c>
      <c r="H139">
        <v>3207</v>
      </c>
      <c r="I139">
        <v>6.7500000000000004E-2</v>
      </c>
      <c r="J139">
        <v>2599.0500000000002</v>
      </c>
      <c r="K139">
        <v>81459</v>
      </c>
      <c r="L139">
        <v>1389</v>
      </c>
    </row>
    <row r="140" spans="1:12" x14ac:dyDescent="0.35">
      <c r="A140" s="1">
        <v>45430</v>
      </c>
      <c r="B140">
        <v>2024</v>
      </c>
      <c r="C140" t="s">
        <v>16</v>
      </c>
      <c r="D140" t="s">
        <v>18</v>
      </c>
      <c r="E140">
        <v>5</v>
      </c>
      <c r="F140">
        <v>84.79</v>
      </c>
      <c r="G140">
        <v>275</v>
      </c>
      <c r="H140">
        <v>825</v>
      </c>
      <c r="I140">
        <v>5.8400000000000001E-2</v>
      </c>
      <c r="J140">
        <v>1112.78</v>
      </c>
      <c r="K140">
        <v>20374</v>
      </c>
      <c r="L140">
        <v>1142</v>
      </c>
    </row>
    <row r="141" spans="1:12" x14ac:dyDescent="0.35">
      <c r="A141" s="1">
        <v>45431</v>
      </c>
      <c r="B141">
        <v>2024</v>
      </c>
      <c r="C141" t="s">
        <v>16</v>
      </c>
      <c r="D141" t="s">
        <v>18</v>
      </c>
      <c r="E141">
        <v>5</v>
      </c>
      <c r="F141">
        <v>1808.46</v>
      </c>
      <c r="G141">
        <v>590</v>
      </c>
      <c r="H141">
        <v>2950</v>
      </c>
      <c r="I141">
        <v>6.25E-2</v>
      </c>
      <c r="J141">
        <v>918.18</v>
      </c>
      <c r="K141">
        <v>9459</v>
      </c>
      <c r="L141">
        <v>736</v>
      </c>
    </row>
    <row r="142" spans="1:12" x14ac:dyDescent="0.35">
      <c r="A142" s="1">
        <v>45432</v>
      </c>
      <c r="B142">
        <v>2024</v>
      </c>
      <c r="C142" t="s">
        <v>16</v>
      </c>
      <c r="D142" t="s">
        <v>18</v>
      </c>
      <c r="E142">
        <v>5</v>
      </c>
      <c r="F142">
        <v>673.13</v>
      </c>
      <c r="G142">
        <v>1134</v>
      </c>
      <c r="H142">
        <v>3402</v>
      </c>
      <c r="I142">
        <v>2.8799999999999999E-2</v>
      </c>
      <c r="J142">
        <v>1587.92</v>
      </c>
      <c r="K142">
        <v>87993</v>
      </c>
      <c r="L142">
        <v>2265</v>
      </c>
    </row>
    <row r="143" spans="1:12" x14ac:dyDescent="0.35">
      <c r="A143" s="1">
        <v>45433</v>
      </c>
      <c r="B143">
        <v>2024</v>
      </c>
      <c r="C143" t="s">
        <v>16</v>
      </c>
      <c r="D143" t="s">
        <v>18</v>
      </c>
      <c r="E143">
        <v>5</v>
      </c>
      <c r="F143">
        <v>1221.22</v>
      </c>
      <c r="G143">
        <v>1056</v>
      </c>
      <c r="H143">
        <v>2112</v>
      </c>
      <c r="I143">
        <v>3.61E-2</v>
      </c>
      <c r="J143">
        <v>856.64</v>
      </c>
      <c r="K143">
        <v>10696</v>
      </c>
      <c r="L143">
        <v>541</v>
      </c>
    </row>
    <row r="144" spans="1:12" x14ac:dyDescent="0.35">
      <c r="A144" s="1">
        <v>45434</v>
      </c>
      <c r="B144">
        <v>2024</v>
      </c>
      <c r="C144" t="s">
        <v>16</v>
      </c>
      <c r="D144" t="s">
        <v>18</v>
      </c>
      <c r="E144">
        <v>5</v>
      </c>
      <c r="F144">
        <v>2845.19</v>
      </c>
      <c r="G144">
        <v>289</v>
      </c>
      <c r="H144">
        <v>1445</v>
      </c>
      <c r="I144">
        <v>2.5999999999999999E-2</v>
      </c>
      <c r="J144">
        <v>2000.85</v>
      </c>
      <c r="K144">
        <v>97452</v>
      </c>
      <c r="L144">
        <v>3622</v>
      </c>
    </row>
    <row r="145" spans="1:12" x14ac:dyDescent="0.35">
      <c r="A145" s="1">
        <v>45435</v>
      </c>
      <c r="B145">
        <v>2024</v>
      </c>
      <c r="C145" t="s">
        <v>16</v>
      </c>
      <c r="D145" t="s">
        <v>18</v>
      </c>
      <c r="E145">
        <v>5</v>
      </c>
      <c r="F145">
        <v>2107.0100000000002</v>
      </c>
      <c r="G145">
        <v>1086</v>
      </c>
      <c r="H145">
        <v>5430</v>
      </c>
      <c r="I145">
        <v>3.4000000000000002E-2</v>
      </c>
      <c r="J145">
        <v>1036.97</v>
      </c>
      <c r="K145">
        <v>8436</v>
      </c>
      <c r="L145">
        <v>496</v>
      </c>
    </row>
    <row r="146" spans="1:12" x14ac:dyDescent="0.35">
      <c r="A146" s="1">
        <v>45436</v>
      </c>
      <c r="B146">
        <v>2024</v>
      </c>
      <c r="C146" t="s">
        <v>16</v>
      </c>
      <c r="D146" t="s">
        <v>18</v>
      </c>
      <c r="E146">
        <v>5</v>
      </c>
      <c r="F146">
        <v>1449.47</v>
      </c>
      <c r="G146">
        <v>1090</v>
      </c>
      <c r="H146">
        <v>3270</v>
      </c>
      <c r="I146">
        <v>2.5999999999999999E-2</v>
      </c>
      <c r="J146">
        <v>837.08</v>
      </c>
      <c r="K146">
        <v>33571</v>
      </c>
      <c r="L146">
        <v>160</v>
      </c>
    </row>
    <row r="147" spans="1:12" x14ac:dyDescent="0.35">
      <c r="A147" s="1">
        <v>45437</v>
      </c>
      <c r="B147">
        <v>2024</v>
      </c>
      <c r="C147" t="s">
        <v>16</v>
      </c>
      <c r="D147" t="s">
        <v>18</v>
      </c>
      <c r="E147">
        <v>5</v>
      </c>
      <c r="F147">
        <v>2992.03</v>
      </c>
      <c r="G147">
        <v>925</v>
      </c>
      <c r="H147">
        <v>2775</v>
      </c>
      <c r="I147">
        <v>3.7100000000000001E-2</v>
      </c>
      <c r="J147">
        <v>1187.46</v>
      </c>
      <c r="K147">
        <v>37605</v>
      </c>
      <c r="L147">
        <v>1103</v>
      </c>
    </row>
    <row r="148" spans="1:12" x14ac:dyDescent="0.35">
      <c r="A148" s="1">
        <v>45438</v>
      </c>
      <c r="B148">
        <v>2024</v>
      </c>
      <c r="C148" t="s">
        <v>16</v>
      </c>
      <c r="D148" t="s">
        <v>18</v>
      </c>
      <c r="E148">
        <v>5</v>
      </c>
      <c r="F148">
        <v>763.71</v>
      </c>
      <c r="G148">
        <v>535</v>
      </c>
      <c r="H148">
        <v>1070</v>
      </c>
      <c r="I148">
        <v>7.2900000000000006E-2</v>
      </c>
      <c r="J148">
        <v>2692.73</v>
      </c>
      <c r="K148">
        <v>44046</v>
      </c>
      <c r="L148">
        <v>3427</v>
      </c>
    </row>
    <row r="149" spans="1:12" x14ac:dyDescent="0.35">
      <c r="A149" s="1">
        <v>45439</v>
      </c>
      <c r="B149">
        <v>2024</v>
      </c>
      <c r="C149" t="s">
        <v>16</v>
      </c>
      <c r="D149" t="s">
        <v>18</v>
      </c>
      <c r="E149">
        <v>5</v>
      </c>
      <c r="F149">
        <v>592.67999999999995</v>
      </c>
      <c r="G149">
        <v>535</v>
      </c>
      <c r="H149">
        <v>2140</v>
      </c>
      <c r="I149">
        <v>5.2400000000000002E-2</v>
      </c>
      <c r="J149">
        <v>1791.63</v>
      </c>
      <c r="K149">
        <v>73117</v>
      </c>
      <c r="L149">
        <v>2229</v>
      </c>
    </row>
    <row r="150" spans="1:12" x14ac:dyDescent="0.35">
      <c r="A150" s="1">
        <v>45440</v>
      </c>
      <c r="B150">
        <v>2024</v>
      </c>
      <c r="C150" t="s">
        <v>16</v>
      </c>
      <c r="D150" t="s">
        <v>18</v>
      </c>
      <c r="E150">
        <v>5</v>
      </c>
      <c r="F150">
        <v>313.45</v>
      </c>
      <c r="G150">
        <v>659</v>
      </c>
      <c r="H150">
        <v>3954</v>
      </c>
      <c r="I150">
        <v>3.2899999999999999E-2</v>
      </c>
      <c r="J150">
        <v>5880.74</v>
      </c>
      <c r="K150">
        <v>176018</v>
      </c>
      <c r="L150">
        <v>6644</v>
      </c>
    </row>
    <row r="151" spans="1:12" x14ac:dyDescent="0.35">
      <c r="A151" s="1">
        <v>45441</v>
      </c>
      <c r="B151">
        <v>2024</v>
      </c>
      <c r="C151" t="s">
        <v>16</v>
      </c>
      <c r="D151" t="s">
        <v>18</v>
      </c>
      <c r="E151">
        <v>5</v>
      </c>
      <c r="F151">
        <v>1032.54</v>
      </c>
      <c r="G151">
        <v>278</v>
      </c>
      <c r="H151">
        <v>556</v>
      </c>
      <c r="I151">
        <v>6.7299999999999999E-2</v>
      </c>
      <c r="J151">
        <v>0</v>
      </c>
      <c r="K151">
        <v>0</v>
      </c>
      <c r="L151">
        <v>0</v>
      </c>
    </row>
    <row r="152" spans="1:12" x14ac:dyDescent="0.35">
      <c r="A152" s="1">
        <v>45442</v>
      </c>
      <c r="B152">
        <v>2024</v>
      </c>
      <c r="C152" t="s">
        <v>16</v>
      </c>
      <c r="D152" t="s">
        <v>18</v>
      </c>
      <c r="E152">
        <v>5</v>
      </c>
      <c r="F152">
        <v>1968.24</v>
      </c>
      <c r="G152">
        <v>517</v>
      </c>
      <c r="H152">
        <v>1551</v>
      </c>
      <c r="I152">
        <v>4.8599999999999997E-2</v>
      </c>
      <c r="J152">
        <v>1323.16</v>
      </c>
      <c r="K152">
        <v>64216</v>
      </c>
      <c r="L152">
        <v>1863</v>
      </c>
    </row>
    <row r="153" spans="1:12" x14ac:dyDescent="0.35">
      <c r="A153" s="1">
        <v>45443</v>
      </c>
      <c r="B153">
        <v>2024</v>
      </c>
      <c r="C153" t="s">
        <v>16</v>
      </c>
      <c r="D153" t="s">
        <v>18</v>
      </c>
      <c r="E153">
        <v>5</v>
      </c>
      <c r="F153">
        <v>645.38</v>
      </c>
      <c r="G153">
        <v>521</v>
      </c>
      <c r="H153">
        <v>1042</v>
      </c>
      <c r="I153">
        <v>1.8800000000000001E-2</v>
      </c>
      <c r="J153">
        <v>1226.69</v>
      </c>
      <c r="K153">
        <v>76551</v>
      </c>
      <c r="L153">
        <v>1044</v>
      </c>
    </row>
    <row r="154" spans="1:12" x14ac:dyDescent="0.35">
      <c r="A154" s="1">
        <v>45444</v>
      </c>
      <c r="B154">
        <v>2024</v>
      </c>
      <c r="C154" t="s">
        <v>16</v>
      </c>
      <c r="D154" t="s">
        <v>19</v>
      </c>
      <c r="E154">
        <v>6</v>
      </c>
      <c r="F154">
        <v>1188.1500000000001</v>
      </c>
      <c r="G154">
        <v>694</v>
      </c>
      <c r="H154">
        <v>2776</v>
      </c>
      <c r="I154">
        <v>5.79E-2</v>
      </c>
      <c r="J154">
        <v>0</v>
      </c>
      <c r="K154">
        <v>0</v>
      </c>
      <c r="L154">
        <v>0</v>
      </c>
    </row>
    <row r="155" spans="1:12" x14ac:dyDescent="0.35">
      <c r="A155" s="1">
        <v>45445</v>
      </c>
      <c r="B155">
        <v>2024</v>
      </c>
      <c r="C155" t="s">
        <v>16</v>
      </c>
      <c r="D155" t="s">
        <v>19</v>
      </c>
      <c r="E155">
        <v>6</v>
      </c>
      <c r="F155">
        <v>1813.04</v>
      </c>
      <c r="G155">
        <v>571</v>
      </c>
      <c r="H155">
        <v>2855</v>
      </c>
      <c r="I155">
        <v>5.0200000000000002E-2</v>
      </c>
      <c r="J155">
        <v>3696.58</v>
      </c>
      <c r="K155">
        <v>149341</v>
      </c>
      <c r="L155">
        <v>6078</v>
      </c>
    </row>
    <row r="156" spans="1:12" x14ac:dyDescent="0.35">
      <c r="A156" s="1">
        <v>45446</v>
      </c>
      <c r="B156">
        <v>2024</v>
      </c>
      <c r="C156" t="s">
        <v>16</v>
      </c>
      <c r="D156" t="s">
        <v>19</v>
      </c>
      <c r="E156">
        <v>6</v>
      </c>
      <c r="F156">
        <v>2145.4299999999998</v>
      </c>
      <c r="G156">
        <v>773</v>
      </c>
      <c r="H156">
        <v>1546</v>
      </c>
      <c r="I156">
        <v>3.6299999999999999E-2</v>
      </c>
      <c r="J156">
        <v>3649.44</v>
      </c>
      <c r="K156">
        <v>161001</v>
      </c>
      <c r="L156">
        <v>4098</v>
      </c>
    </row>
    <row r="157" spans="1:12" x14ac:dyDescent="0.35">
      <c r="A157" s="1">
        <v>45447</v>
      </c>
      <c r="B157">
        <v>2024</v>
      </c>
      <c r="C157" t="s">
        <v>16</v>
      </c>
      <c r="D157" t="s">
        <v>19</v>
      </c>
      <c r="E157">
        <v>6</v>
      </c>
      <c r="F157">
        <v>366.68</v>
      </c>
      <c r="G157">
        <v>840</v>
      </c>
      <c r="H157">
        <v>2520</v>
      </c>
      <c r="I157">
        <v>2.8000000000000001E-2</v>
      </c>
      <c r="J157">
        <v>966.39</v>
      </c>
      <c r="K157">
        <v>41840</v>
      </c>
      <c r="L157">
        <v>1807</v>
      </c>
    </row>
    <row r="158" spans="1:12" x14ac:dyDescent="0.35">
      <c r="A158" s="1">
        <v>45448</v>
      </c>
      <c r="B158">
        <v>2024</v>
      </c>
      <c r="C158" t="s">
        <v>16</v>
      </c>
      <c r="D158" t="s">
        <v>19</v>
      </c>
      <c r="E158">
        <v>6</v>
      </c>
      <c r="F158">
        <v>2236.41</v>
      </c>
      <c r="G158">
        <v>975</v>
      </c>
      <c r="H158">
        <v>4875</v>
      </c>
      <c r="I158">
        <v>1.21E-2</v>
      </c>
      <c r="J158">
        <v>537.38</v>
      </c>
      <c r="K158">
        <v>26672</v>
      </c>
      <c r="L158">
        <v>1774</v>
      </c>
    </row>
    <row r="159" spans="1:12" x14ac:dyDescent="0.35">
      <c r="A159" s="1">
        <v>45449</v>
      </c>
      <c r="B159">
        <v>2024</v>
      </c>
      <c r="C159" t="s">
        <v>16</v>
      </c>
      <c r="D159" t="s">
        <v>19</v>
      </c>
      <c r="E159">
        <v>6</v>
      </c>
      <c r="F159">
        <v>289.52999999999997</v>
      </c>
      <c r="G159">
        <v>1197</v>
      </c>
      <c r="H159">
        <v>7182</v>
      </c>
      <c r="I159">
        <v>5.5300000000000002E-2</v>
      </c>
      <c r="J159">
        <v>1016.97</v>
      </c>
      <c r="K159">
        <v>55862</v>
      </c>
      <c r="L159">
        <v>2601</v>
      </c>
    </row>
    <row r="160" spans="1:12" x14ac:dyDescent="0.35">
      <c r="A160" s="1">
        <v>45450</v>
      </c>
      <c r="B160">
        <v>2024</v>
      </c>
      <c r="C160" t="s">
        <v>16</v>
      </c>
      <c r="D160" t="s">
        <v>19</v>
      </c>
      <c r="E160">
        <v>6</v>
      </c>
      <c r="F160">
        <v>932.24</v>
      </c>
      <c r="G160">
        <v>1009</v>
      </c>
      <c r="H160">
        <v>3027</v>
      </c>
      <c r="I160">
        <v>3.49E-2</v>
      </c>
      <c r="J160">
        <v>2011.82</v>
      </c>
      <c r="K160">
        <v>48836</v>
      </c>
      <c r="L160">
        <v>1915</v>
      </c>
    </row>
    <row r="161" spans="1:12" x14ac:dyDescent="0.35">
      <c r="A161" s="1">
        <v>45451</v>
      </c>
      <c r="B161">
        <v>2024</v>
      </c>
      <c r="C161" t="s">
        <v>16</v>
      </c>
      <c r="D161" t="s">
        <v>19</v>
      </c>
      <c r="E161">
        <v>6</v>
      </c>
      <c r="F161">
        <v>1696.71</v>
      </c>
      <c r="G161">
        <v>321</v>
      </c>
      <c r="H161">
        <v>1284</v>
      </c>
      <c r="I161">
        <v>5.1299999999999998E-2</v>
      </c>
      <c r="J161">
        <v>149.34</v>
      </c>
      <c r="K161">
        <v>31933</v>
      </c>
      <c r="L161">
        <v>46</v>
      </c>
    </row>
    <row r="162" spans="1:12" x14ac:dyDescent="0.35">
      <c r="A162" s="1">
        <v>45452</v>
      </c>
      <c r="B162">
        <v>2024</v>
      </c>
      <c r="C162" t="s">
        <v>16</v>
      </c>
      <c r="D162" t="s">
        <v>19</v>
      </c>
      <c r="E162">
        <v>6</v>
      </c>
      <c r="F162">
        <v>1002.96</v>
      </c>
      <c r="G162">
        <v>929</v>
      </c>
      <c r="H162">
        <v>1858</v>
      </c>
      <c r="I162">
        <v>5.7299999999999997E-2</v>
      </c>
      <c r="J162">
        <v>2149.69</v>
      </c>
      <c r="K162">
        <v>109772</v>
      </c>
      <c r="L162">
        <v>3004</v>
      </c>
    </row>
    <row r="163" spans="1:12" x14ac:dyDescent="0.35">
      <c r="A163" s="1">
        <v>45453</v>
      </c>
      <c r="B163">
        <v>2024</v>
      </c>
      <c r="C163" t="s">
        <v>16</v>
      </c>
      <c r="D163" t="s">
        <v>19</v>
      </c>
      <c r="E163">
        <v>6</v>
      </c>
      <c r="F163">
        <v>2836.78</v>
      </c>
      <c r="G163">
        <v>557</v>
      </c>
      <c r="H163">
        <v>3342</v>
      </c>
      <c r="I163">
        <v>3.15E-2</v>
      </c>
      <c r="J163">
        <v>1498.52</v>
      </c>
      <c r="K163">
        <v>60969</v>
      </c>
      <c r="L163">
        <v>1680</v>
      </c>
    </row>
    <row r="164" spans="1:12" x14ac:dyDescent="0.35">
      <c r="A164" s="1">
        <v>45454</v>
      </c>
      <c r="B164">
        <v>2024</v>
      </c>
      <c r="C164" t="s">
        <v>16</v>
      </c>
      <c r="D164" t="s">
        <v>19</v>
      </c>
      <c r="E164">
        <v>6</v>
      </c>
      <c r="F164">
        <v>779.19</v>
      </c>
      <c r="G164">
        <v>668</v>
      </c>
      <c r="H164">
        <v>2672</v>
      </c>
      <c r="I164">
        <v>3.7400000000000003E-2</v>
      </c>
      <c r="J164">
        <v>1062.33</v>
      </c>
      <c r="K164">
        <v>75154</v>
      </c>
      <c r="L164">
        <v>1626</v>
      </c>
    </row>
    <row r="165" spans="1:12" x14ac:dyDescent="0.35">
      <c r="A165" s="1">
        <v>45455</v>
      </c>
      <c r="B165">
        <v>2024</v>
      </c>
      <c r="C165" t="s">
        <v>16</v>
      </c>
      <c r="D165" t="s">
        <v>19</v>
      </c>
      <c r="E165">
        <v>6</v>
      </c>
      <c r="F165">
        <v>680.76</v>
      </c>
      <c r="G165">
        <v>552</v>
      </c>
      <c r="H165">
        <v>3312</v>
      </c>
      <c r="I165">
        <v>0.02</v>
      </c>
      <c r="J165">
        <v>2257.8200000000002</v>
      </c>
      <c r="K165">
        <v>76397</v>
      </c>
      <c r="L165">
        <v>2628</v>
      </c>
    </row>
    <row r="166" spans="1:12" x14ac:dyDescent="0.35">
      <c r="A166" s="1">
        <v>45456</v>
      </c>
      <c r="B166">
        <v>2024</v>
      </c>
      <c r="C166" t="s">
        <v>16</v>
      </c>
      <c r="D166" t="s">
        <v>19</v>
      </c>
      <c r="E166">
        <v>6</v>
      </c>
      <c r="F166">
        <v>1705.47</v>
      </c>
      <c r="G166">
        <v>680</v>
      </c>
      <c r="H166">
        <v>3400</v>
      </c>
      <c r="I166">
        <v>5.4699999999999999E-2</v>
      </c>
      <c r="J166">
        <v>2389.56</v>
      </c>
      <c r="K166">
        <v>58325</v>
      </c>
      <c r="L166">
        <v>3648</v>
      </c>
    </row>
    <row r="167" spans="1:12" x14ac:dyDescent="0.35">
      <c r="A167" s="1">
        <v>45457</v>
      </c>
      <c r="B167">
        <v>2024</v>
      </c>
      <c r="C167" t="s">
        <v>16</v>
      </c>
      <c r="D167" t="s">
        <v>19</v>
      </c>
      <c r="E167">
        <v>6</v>
      </c>
      <c r="F167">
        <v>1078.6199999999999</v>
      </c>
      <c r="G167">
        <v>1174</v>
      </c>
      <c r="H167">
        <v>3522</v>
      </c>
      <c r="I167">
        <v>5.0799999999999998E-2</v>
      </c>
      <c r="J167">
        <v>1548.1</v>
      </c>
      <c r="K167">
        <v>81477</v>
      </c>
      <c r="L167">
        <v>1913</v>
      </c>
    </row>
    <row r="168" spans="1:12" x14ac:dyDescent="0.35">
      <c r="A168" s="1">
        <v>45458</v>
      </c>
      <c r="B168">
        <v>2024</v>
      </c>
      <c r="C168" t="s">
        <v>16</v>
      </c>
      <c r="D168" t="s">
        <v>19</v>
      </c>
      <c r="E168">
        <v>6</v>
      </c>
      <c r="F168">
        <v>2146.17</v>
      </c>
      <c r="G168">
        <v>558</v>
      </c>
      <c r="H168">
        <v>2790</v>
      </c>
      <c r="I168">
        <v>4.65E-2</v>
      </c>
      <c r="J168">
        <v>647.64</v>
      </c>
      <c r="K168">
        <v>2810</v>
      </c>
      <c r="L168">
        <v>1640</v>
      </c>
    </row>
    <row r="169" spans="1:12" x14ac:dyDescent="0.35">
      <c r="A169" s="1">
        <v>45459</v>
      </c>
      <c r="B169">
        <v>2024</v>
      </c>
      <c r="C169" t="s">
        <v>16</v>
      </c>
      <c r="D169" t="s">
        <v>19</v>
      </c>
      <c r="E169">
        <v>6</v>
      </c>
      <c r="F169">
        <v>0</v>
      </c>
      <c r="G169">
        <v>250</v>
      </c>
      <c r="H169">
        <v>1000</v>
      </c>
      <c r="I169">
        <v>3.0099999999999998E-2</v>
      </c>
      <c r="J169">
        <v>1396.95</v>
      </c>
      <c r="K169">
        <v>113111</v>
      </c>
      <c r="L169">
        <v>6106</v>
      </c>
    </row>
    <row r="170" spans="1:12" x14ac:dyDescent="0.35">
      <c r="A170" s="1">
        <v>45460</v>
      </c>
      <c r="B170">
        <v>2024</v>
      </c>
      <c r="C170" t="s">
        <v>16</v>
      </c>
      <c r="D170" t="s">
        <v>19</v>
      </c>
      <c r="E170">
        <v>6</v>
      </c>
      <c r="F170">
        <v>2218.9899999999998</v>
      </c>
      <c r="G170">
        <v>690</v>
      </c>
      <c r="H170">
        <v>4140</v>
      </c>
      <c r="I170">
        <v>5.0200000000000002E-2</v>
      </c>
      <c r="J170">
        <v>522.42999999999995</v>
      </c>
      <c r="K170">
        <v>29717</v>
      </c>
      <c r="L170">
        <v>1506</v>
      </c>
    </row>
    <row r="171" spans="1:12" x14ac:dyDescent="0.35">
      <c r="A171" s="1">
        <v>45461</v>
      </c>
      <c r="B171">
        <v>2024</v>
      </c>
      <c r="C171" t="s">
        <v>16</v>
      </c>
      <c r="D171" t="s">
        <v>19</v>
      </c>
      <c r="E171">
        <v>6</v>
      </c>
      <c r="F171">
        <v>566.97</v>
      </c>
      <c r="G171">
        <v>579</v>
      </c>
      <c r="H171">
        <v>2895</v>
      </c>
      <c r="I171">
        <v>3.9800000000000002E-2</v>
      </c>
      <c r="J171">
        <v>2503.9299999999998</v>
      </c>
      <c r="K171">
        <v>85854</v>
      </c>
      <c r="L171">
        <v>3137</v>
      </c>
    </row>
    <row r="172" spans="1:12" x14ac:dyDescent="0.35">
      <c r="A172" s="1">
        <v>45462</v>
      </c>
      <c r="B172">
        <v>2024</v>
      </c>
      <c r="C172" t="s">
        <v>16</v>
      </c>
      <c r="D172" t="s">
        <v>19</v>
      </c>
      <c r="E172">
        <v>6</v>
      </c>
      <c r="F172">
        <v>1094.8399999999999</v>
      </c>
      <c r="G172">
        <v>941</v>
      </c>
      <c r="H172">
        <v>2823</v>
      </c>
      <c r="I172">
        <v>4.4200000000000003E-2</v>
      </c>
      <c r="J172">
        <v>720.15</v>
      </c>
      <c r="K172">
        <v>11268</v>
      </c>
      <c r="L172">
        <v>746</v>
      </c>
    </row>
    <row r="173" spans="1:12" x14ac:dyDescent="0.35">
      <c r="A173" s="1">
        <v>45463</v>
      </c>
      <c r="B173">
        <v>2024</v>
      </c>
      <c r="C173" t="s">
        <v>16</v>
      </c>
      <c r="D173" t="s">
        <v>19</v>
      </c>
      <c r="E173">
        <v>6</v>
      </c>
      <c r="F173">
        <v>710.34</v>
      </c>
      <c r="G173">
        <v>1062</v>
      </c>
      <c r="H173">
        <v>3186</v>
      </c>
      <c r="I173">
        <v>5.3499999999999999E-2</v>
      </c>
      <c r="J173">
        <v>987.8</v>
      </c>
      <c r="K173">
        <v>44666</v>
      </c>
      <c r="L173">
        <v>1247</v>
      </c>
    </row>
    <row r="174" spans="1:12" x14ac:dyDescent="0.35">
      <c r="A174" s="1">
        <v>45464</v>
      </c>
      <c r="B174">
        <v>2024</v>
      </c>
      <c r="C174" t="s">
        <v>16</v>
      </c>
      <c r="D174" t="s">
        <v>19</v>
      </c>
      <c r="E174">
        <v>6</v>
      </c>
      <c r="F174">
        <v>1065.01</v>
      </c>
      <c r="G174">
        <v>540</v>
      </c>
      <c r="H174">
        <v>3240</v>
      </c>
      <c r="I174">
        <v>5.3800000000000001E-2</v>
      </c>
      <c r="J174">
        <v>1857.85</v>
      </c>
      <c r="K174">
        <v>30913</v>
      </c>
      <c r="L174">
        <v>1295</v>
      </c>
    </row>
    <row r="175" spans="1:12" x14ac:dyDescent="0.35">
      <c r="A175" s="1">
        <v>45465</v>
      </c>
      <c r="B175">
        <v>2024</v>
      </c>
      <c r="C175" t="s">
        <v>16</v>
      </c>
      <c r="D175" t="s">
        <v>19</v>
      </c>
      <c r="E175">
        <v>6</v>
      </c>
      <c r="F175">
        <v>778.95</v>
      </c>
      <c r="G175">
        <v>884</v>
      </c>
      <c r="H175">
        <v>3536</v>
      </c>
      <c r="I175">
        <v>1.7899999999999999E-2</v>
      </c>
      <c r="J175">
        <v>1176.42</v>
      </c>
      <c r="K175">
        <v>64921</v>
      </c>
      <c r="L175">
        <v>896</v>
      </c>
    </row>
    <row r="176" spans="1:12" x14ac:dyDescent="0.35">
      <c r="A176" s="1">
        <v>45466</v>
      </c>
      <c r="B176">
        <v>2024</v>
      </c>
      <c r="C176" t="s">
        <v>16</v>
      </c>
      <c r="D176" t="s">
        <v>19</v>
      </c>
      <c r="E176">
        <v>6</v>
      </c>
      <c r="F176">
        <v>1120.73</v>
      </c>
      <c r="G176">
        <v>1019</v>
      </c>
      <c r="H176">
        <v>3057</v>
      </c>
      <c r="I176">
        <v>5.4399999999999997E-2</v>
      </c>
      <c r="J176">
        <v>1275.18</v>
      </c>
      <c r="K176">
        <v>32150</v>
      </c>
      <c r="L176">
        <v>1498</v>
      </c>
    </row>
    <row r="177" spans="1:12" x14ac:dyDescent="0.35">
      <c r="A177" s="1">
        <v>45467</v>
      </c>
      <c r="B177">
        <v>2024</v>
      </c>
      <c r="C177" t="s">
        <v>16</v>
      </c>
      <c r="D177" t="s">
        <v>19</v>
      </c>
      <c r="E177">
        <v>6</v>
      </c>
      <c r="F177">
        <v>1445.01</v>
      </c>
      <c r="G177">
        <v>480</v>
      </c>
      <c r="H177">
        <v>1440</v>
      </c>
      <c r="I177">
        <v>2.1299999999999999E-2</v>
      </c>
      <c r="J177">
        <v>827.25</v>
      </c>
      <c r="K177">
        <v>44159</v>
      </c>
      <c r="L177">
        <v>1675</v>
      </c>
    </row>
    <row r="178" spans="1:12" x14ac:dyDescent="0.35">
      <c r="A178" s="1">
        <v>45468</v>
      </c>
      <c r="B178">
        <v>2024</v>
      </c>
      <c r="C178" t="s">
        <v>16</v>
      </c>
      <c r="D178" t="s">
        <v>19</v>
      </c>
      <c r="E178">
        <v>6</v>
      </c>
      <c r="F178">
        <v>1900.11</v>
      </c>
      <c r="G178">
        <v>297</v>
      </c>
      <c r="H178">
        <v>891</v>
      </c>
      <c r="I178">
        <v>7.3999999999999996E-2</v>
      </c>
      <c r="J178">
        <v>584.4</v>
      </c>
      <c r="K178">
        <v>47133</v>
      </c>
      <c r="L178">
        <v>2576</v>
      </c>
    </row>
    <row r="179" spans="1:12" x14ac:dyDescent="0.35">
      <c r="A179" s="1">
        <v>45469</v>
      </c>
      <c r="B179">
        <v>2024</v>
      </c>
      <c r="C179" t="s">
        <v>16</v>
      </c>
      <c r="D179" t="s">
        <v>19</v>
      </c>
      <c r="E179">
        <v>6</v>
      </c>
      <c r="F179">
        <v>0</v>
      </c>
      <c r="G179">
        <v>875</v>
      </c>
      <c r="H179">
        <v>1750</v>
      </c>
      <c r="I179">
        <v>4.07E-2</v>
      </c>
      <c r="J179">
        <v>1145.46</v>
      </c>
      <c r="K179">
        <v>69938</v>
      </c>
      <c r="L179">
        <v>3494</v>
      </c>
    </row>
    <row r="180" spans="1:12" x14ac:dyDescent="0.35">
      <c r="A180" s="1">
        <v>45470</v>
      </c>
      <c r="B180">
        <v>2024</v>
      </c>
      <c r="C180" t="s">
        <v>16</v>
      </c>
      <c r="D180" t="s">
        <v>19</v>
      </c>
      <c r="E180">
        <v>6</v>
      </c>
      <c r="F180">
        <v>441.97</v>
      </c>
      <c r="G180">
        <v>1157</v>
      </c>
      <c r="H180">
        <v>6942</v>
      </c>
      <c r="I180">
        <v>2.4199999999999999E-2</v>
      </c>
      <c r="J180">
        <v>2248.64</v>
      </c>
      <c r="K180">
        <v>119343</v>
      </c>
      <c r="L180">
        <v>2730</v>
      </c>
    </row>
    <row r="181" spans="1:12" x14ac:dyDescent="0.35">
      <c r="A181" s="1">
        <v>45471</v>
      </c>
      <c r="B181">
        <v>2024</v>
      </c>
      <c r="C181" t="s">
        <v>16</v>
      </c>
      <c r="D181" t="s">
        <v>19</v>
      </c>
      <c r="E181">
        <v>6</v>
      </c>
      <c r="F181">
        <v>124.68</v>
      </c>
      <c r="G181">
        <v>963</v>
      </c>
      <c r="H181">
        <v>4815</v>
      </c>
      <c r="I181">
        <v>4.3099999999999999E-2</v>
      </c>
      <c r="J181">
        <v>1271.79</v>
      </c>
      <c r="K181">
        <v>34432</v>
      </c>
      <c r="L181">
        <v>3699</v>
      </c>
    </row>
    <row r="182" spans="1:12" x14ac:dyDescent="0.35">
      <c r="A182" s="1">
        <v>45472</v>
      </c>
      <c r="B182">
        <v>2024</v>
      </c>
      <c r="C182" t="s">
        <v>16</v>
      </c>
      <c r="D182" t="s">
        <v>19</v>
      </c>
      <c r="E182">
        <v>6</v>
      </c>
      <c r="F182">
        <v>799.61</v>
      </c>
      <c r="G182">
        <v>499</v>
      </c>
      <c r="H182">
        <v>1497</v>
      </c>
      <c r="I182">
        <v>5.33E-2</v>
      </c>
      <c r="J182">
        <v>0</v>
      </c>
      <c r="K182">
        <v>0</v>
      </c>
      <c r="L182">
        <v>0</v>
      </c>
    </row>
    <row r="183" spans="1:12" x14ac:dyDescent="0.35">
      <c r="A183" s="1">
        <v>45473</v>
      </c>
      <c r="B183">
        <v>2024</v>
      </c>
      <c r="C183" t="s">
        <v>16</v>
      </c>
      <c r="D183" t="s">
        <v>19</v>
      </c>
      <c r="E183">
        <v>6</v>
      </c>
      <c r="F183">
        <v>487.82</v>
      </c>
      <c r="G183">
        <v>255</v>
      </c>
      <c r="H183">
        <v>510</v>
      </c>
      <c r="I183">
        <v>6.0999999999999999E-2</v>
      </c>
      <c r="J183">
        <v>2058.73</v>
      </c>
      <c r="K183">
        <v>27199</v>
      </c>
      <c r="L183">
        <v>1397</v>
      </c>
    </row>
    <row r="184" spans="1:12" x14ac:dyDescent="0.35">
      <c r="A184" s="1">
        <v>45474</v>
      </c>
      <c r="B184">
        <v>2024</v>
      </c>
      <c r="C184" t="s">
        <v>20</v>
      </c>
      <c r="D184" t="s">
        <v>21</v>
      </c>
      <c r="E184">
        <v>7</v>
      </c>
      <c r="F184">
        <v>260.76</v>
      </c>
      <c r="G184">
        <v>474</v>
      </c>
      <c r="H184">
        <v>1422</v>
      </c>
      <c r="I184">
        <v>6.2700000000000006E-2</v>
      </c>
      <c r="J184">
        <v>1045.67</v>
      </c>
      <c r="K184">
        <v>23753</v>
      </c>
      <c r="L184">
        <v>589</v>
      </c>
    </row>
    <row r="185" spans="1:12" x14ac:dyDescent="0.35">
      <c r="A185" s="1">
        <v>45475</v>
      </c>
      <c r="B185">
        <v>2024</v>
      </c>
      <c r="C185" t="s">
        <v>20</v>
      </c>
      <c r="D185" t="s">
        <v>21</v>
      </c>
      <c r="E185">
        <v>7</v>
      </c>
      <c r="F185">
        <v>1020.85</v>
      </c>
      <c r="G185">
        <v>962</v>
      </c>
      <c r="H185">
        <v>5772</v>
      </c>
      <c r="I185">
        <v>4.1300000000000003E-2</v>
      </c>
      <c r="J185">
        <v>3161.12</v>
      </c>
      <c r="K185">
        <v>85930</v>
      </c>
      <c r="L185">
        <v>4155</v>
      </c>
    </row>
    <row r="186" spans="1:12" x14ac:dyDescent="0.35">
      <c r="A186" s="1">
        <v>45476</v>
      </c>
      <c r="B186">
        <v>2024</v>
      </c>
      <c r="C186" t="s">
        <v>20</v>
      </c>
      <c r="D186" t="s">
        <v>21</v>
      </c>
      <c r="E186">
        <v>7</v>
      </c>
      <c r="F186">
        <v>957.78</v>
      </c>
      <c r="G186">
        <v>820</v>
      </c>
      <c r="H186">
        <v>2460</v>
      </c>
      <c r="I186">
        <v>6.9800000000000001E-2</v>
      </c>
      <c r="J186">
        <v>1313.98</v>
      </c>
      <c r="K186">
        <v>45377</v>
      </c>
      <c r="L186">
        <v>1482</v>
      </c>
    </row>
    <row r="187" spans="1:12" x14ac:dyDescent="0.35">
      <c r="A187" s="1">
        <v>45477</v>
      </c>
      <c r="B187">
        <v>2024</v>
      </c>
      <c r="C187" t="s">
        <v>20</v>
      </c>
      <c r="D187" t="s">
        <v>21</v>
      </c>
      <c r="E187">
        <v>7</v>
      </c>
      <c r="F187">
        <v>1055.21</v>
      </c>
      <c r="G187">
        <v>374</v>
      </c>
      <c r="H187">
        <v>1870</v>
      </c>
      <c r="I187">
        <v>2.0400000000000001E-2</v>
      </c>
      <c r="J187">
        <v>3454.26</v>
      </c>
      <c r="K187">
        <v>100804</v>
      </c>
      <c r="L187">
        <v>4010</v>
      </c>
    </row>
    <row r="188" spans="1:12" x14ac:dyDescent="0.35">
      <c r="A188" s="1">
        <v>45478</v>
      </c>
      <c r="B188">
        <v>2024</v>
      </c>
      <c r="C188" t="s">
        <v>20</v>
      </c>
      <c r="D188" t="s">
        <v>21</v>
      </c>
      <c r="E188">
        <v>7</v>
      </c>
      <c r="F188">
        <v>0</v>
      </c>
      <c r="G188">
        <v>725</v>
      </c>
      <c r="H188">
        <v>4350</v>
      </c>
      <c r="I188">
        <v>7.4200000000000002E-2</v>
      </c>
      <c r="J188">
        <v>2790.37</v>
      </c>
      <c r="K188">
        <v>81297</v>
      </c>
      <c r="L188">
        <v>3611</v>
      </c>
    </row>
    <row r="189" spans="1:12" x14ac:dyDescent="0.35">
      <c r="A189" s="1">
        <v>45479</v>
      </c>
      <c r="B189">
        <v>2024</v>
      </c>
      <c r="C189" t="s">
        <v>20</v>
      </c>
      <c r="D189" t="s">
        <v>21</v>
      </c>
      <c r="E189">
        <v>7</v>
      </c>
      <c r="F189">
        <v>505.23</v>
      </c>
      <c r="G189">
        <v>859</v>
      </c>
      <c r="H189">
        <v>3436</v>
      </c>
      <c r="I189">
        <v>7.1900000000000006E-2</v>
      </c>
      <c r="J189">
        <v>1203.77</v>
      </c>
      <c r="K189">
        <v>16251</v>
      </c>
      <c r="L189">
        <v>631</v>
      </c>
    </row>
    <row r="190" spans="1:12" x14ac:dyDescent="0.35">
      <c r="A190" s="1">
        <v>45480</v>
      </c>
      <c r="B190">
        <v>2024</v>
      </c>
      <c r="C190" t="s">
        <v>20</v>
      </c>
      <c r="D190" t="s">
        <v>21</v>
      </c>
      <c r="E190">
        <v>7</v>
      </c>
      <c r="F190">
        <v>1479.22</v>
      </c>
      <c r="G190">
        <v>1162</v>
      </c>
      <c r="H190">
        <v>5810</v>
      </c>
      <c r="I190">
        <v>5.0599999999999999E-2</v>
      </c>
      <c r="J190">
        <v>1666.36</v>
      </c>
      <c r="K190">
        <v>53283</v>
      </c>
      <c r="L190">
        <v>4054</v>
      </c>
    </row>
    <row r="191" spans="1:12" x14ac:dyDescent="0.35">
      <c r="A191" s="1">
        <v>45481</v>
      </c>
      <c r="B191">
        <v>2024</v>
      </c>
      <c r="C191" t="s">
        <v>20</v>
      </c>
      <c r="D191" t="s">
        <v>21</v>
      </c>
      <c r="E191">
        <v>7</v>
      </c>
      <c r="F191">
        <v>635.91999999999996</v>
      </c>
      <c r="G191">
        <v>986</v>
      </c>
      <c r="H191">
        <v>5916</v>
      </c>
      <c r="I191">
        <v>3.8899999999999997E-2</v>
      </c>
      <c r="J191">
        <v>0</v>
      </c>
      <c r="K191">
        <v>0</v>
      </c>
      <c r="L191">
        <v>0</v>
      </c>
    </row>
    <row r="192" spans="1:12" x14ac:dyDescent="0.35">
      <c r="A192" s="1">
        <v>45482</v>
      </c>
      <c r="B192">
        <v>2024</v>
      </c>
      <c r="C192" t="s">
        <v>20</v>
      </c>
      <c r="D192" t="s">
        <v>21</v>
      </c>
      <c r="E192">
        <v>7</v>
      </c>
      <c r="F192">
        <v>1133.69</v>
      </c>
      <c r="G192">
        <v>1178</v>
      </c>
      <c r="H192">
        <v>7068</v>
      </c>
      <c r="I192">
        <v>4.0099999999999997E-2</v>
      </c>
      <c r="J192">
        <v>109.56</v>
      </c>
      <c r="K192">
        <v>42999</v>
      </c>
      <c r="L192">
        <v>655</v>
      </c>
    </row>
    <row r="193" spans="1:12" x14ac:dyDescent="0.35">
      <c r="A193" s="1">
        <v>45483</v>
      </c>
      <c r="B193">
        <v>2024</v>
      </c>
      <c r="C193" t="s">
        <v>20</v>
      </c>
      <c r="D193" t="s">
        <v>21</v>
      </c>
      <c r="E193">
        <v>7</v>
      </c>
      <c r="F193">
        <v>320.55</v>
      </c>
      <c r="G193">
        <v>412</v>
      </c>
      <c r="H193">
        <v>2060</v>
      </c>
      <c r="I193">
        <v>4.0399999999999998E-2</v>
      </c>
      <c r="J193">
        <v>1984.73</v>
      </c>
      <c r="K193">
        <v>99571</v>
      </c>
      <c r="L193">
        <v>2869</v>
      </c>
    </row>
    <row r="194" spans="1:12" x14ac:dyDescent="0.35">
      <c r="A194" s="1">
        <v>45484</v>
      </c>
      <c r="B194">
        <v>2024</v>
      </c>
      <c r="C194" t="s">
        <v>20</v>
      </c>
      <c r="D194" t="s">
        <v>21</v>
      </c>
      <c r="E194">
        <v>7</v>
      </c>
      <c r="F194">
        <v>1554.48</v>
      </c>
      <c r="G194">
        <v>1019</v>
      </c>
      <c r="H194">
        <v>3057</v>
      </c>
      <c r="I194">
        <v>6.4899999999999999E-2</v>
      </c>
      <c r="J194">
        <v>3612.38</v>
      </c>
      <c r="K194">
        <v>144575</v>
      </c>
      <c r="L194">
        <v>5002</v>
      </c>
    </row>
    <row r="195" spans="1:12" x14ac:dyDescent="0.35">
      <c r="A195" s="1">
        <v>45485</v>
      </c>
      <c r="B195">
        <v>2024</v>
      </c>
      <c r="C195" t="s">
        <v>20</v>
      </c>
      <c r="D195" t="s">
        <v>21</v>
      </c>
      <c r="E195">
        <v>7</v>
      </c>
      <c r="F195">
        <v>1858.13</v>
      </c>
      <c r="G195">
        <v>533</v>
      </c>
      <c r="H195">
        <v>3198</v>
      </c>
      <c r="I195">
        <v>4.2500000000000003E-2</v>
      </c>
      <c r="J195">
        <v>142.29</v>
      </c>
      <c r="K195">
        <v>37343</v>
      </c>
      <c r="L195">
        <v>302</v>
      </c>
    </row>
    <row r="196" spans="1:12" x14ac:dyDescent="0.35">
      <c r="A196" s="1">
        <v>45486</v>
      </c>
      <c r="B196">
        <v>2024</v>
      </c>
      <c r="C196" t="s">
        <v>20</v>
      </c>
      <c r="D196" t="s">
        <v>21</v>
      </c>
      <c r="E196">
        <v>7</v>
      </c>
      <c r="F196">
        <v>1232.33</v>
      </c>
      <c r="G196">
        <v>494</v>
      </c>
      <c r="H196">
        <v>1976</v>
      </c>
      <c r="I196">
        <v>3.9699999999999999E-2</v>
      </c>
      <c r="J196">
        <v>0</v>
      </c>
      <c r="K196">
        <v>0</v>
      </c>
      <c r="L196">
        <v>0</v>
      </c>
    </row>
    <row r="197" spans="1:12" x14ac:dyDescent="0.35">
      <c r="A197" s="1">
        <v>45487</v>
      </c>
      <c r="B197">
        <v>2024</v>
      </c>
      <c r="C197" t="s">
        <v>20</v>
      </c>
      <c r="D197" t="s">
        <v>21</v>
      </c>
      <c r="E197">
        <v>7</v>
      </c>
      <c r="F197">
        <v>1237.3800000000001</v>
      </c>
      <c r="G197">
        <v>980</v>
      </c>
      <c r="H197">
        <v>3920</v>
      </c>
      <c r="I197">
        <v>2.6800000000000001E-2</v>
      </c>
      <c r="J197">
        <v>2312.14</v>
      </c>
      <c r="K197">
        <v>108658</v>
      </c>
      <c r="L197">
        <v>1718</v>
      </c>
    </row>
    <row r="198" spans="1:12" x14ac:dyDescent="0.35">
      <c r="A198" s="1">
        <v>45488</v>
      </c>
      <c r="B198">
        <v>2024</v>
      </c>
      <c r="C198" t="s">
        <v>20</v>
      </c>
      <c r="D198" t="s">
        <v>21</v>
      </c>
      <c r="E198">
        <v>7</v>
      </c>
      <c r="F198">
        <v>1510.93</v>
      </c>
      <c r="G198">
        <v>593</v>
      </c>
      <c r="H198">
        <v>2372</v>
      </c>
      <c r="I198">
        <v>6.83E-2</v>
      </c>
      <c r="J198">
        <v>0</v>
      </c>
      <c r="K198">
        <v>0</v>
      </c>
      <c r="L198">
        <v>0</v>
      </c>
    </row>
    <row r="199" spans="1:12" x14ac:dyDescent="0.35">
      <c r="A199" s="1">
        <v>45489</v>
      </c>
      <c r="B199">
        <v>2024</v>
      </c>
      <c r="C199" t="s">
        <v>20</v>
      </c>
      <c r="D199" t="s">
        <v>21</v>
      </c>
      <c r="E199">
        <v>7</v>
      </c>
      <c r="F199">
        <v>669.76</v>
      </c>
      <c r="G199">
        <v>332</v>
      </c>
      <c r="H199">
        <v>996</v>
      </c>
      <c r="I199">
        <v>2.1499999999999998E-2</v>
      </c>
      <c r="J199">
        <v>969.88</v>
      </c>
      <c r="K199">
        <v>44522</v>
      </c>
      <c r="L199">
        <v>1662</v>
      </c>
    </row>
    <row r="200" spans="1:12" x14ac:dyDescent="0.35">
      <c r="A200" s="1">
        <v>45490</v>
      </c>
      <c r="B200">
        <v>2024</v>
      </c>
      <c r="C200" t="s">
        <v>20</v>
      </c>
      <c r="D200" t="s">
        <v>21</v>
      </c>
      <c r="E200">
        <v>7</v>
      </c>
      <c r="F200">
        <v>881.9</v>
      </c>
      <c r="G200">
        <v>642</v>
      </c>
      <c r="H200">
        <v>1926</v>
      </c>
      <c r="I200">
        <v>5.6500000000000002E-2</v>
      </c>
      <c r="J200">
        <v>2562.7600000000002</v>
      </c>
      <c r="K200">
        <v>143770</v>
      </c>
      <c r="L200">
        <v>4291</v>
      </c>
    </row>
    <row r="201" spans="1:12" x14ac:dyDescent="0.35">
      <c r="A201" s="1">
        <v>45491</v>
      </c>
      <c r="B201">
        <v>2024</v>
      </c>
      <c r="C201" t="s">
        <v>20</v>
      </c>
      <c r="D201" t="s">
        <v>21</v>
      </c>
      <c r="E201">
        <v>7</v>
      </c>
      <c r="F201">
        <v>948.65</v>
      </c>
      <c r="G201">
        <v>315</v>
      </c>
      <c r="H201">
        <v>1575</v>
      </c>
      <c r="I201">
        <v>3.7699999999999997E-2</v>
      </c>
      <c r="J201">
        <v>491.42</v>
      </c>
      <c r="K201">
        <v>11171</v>
      </c>
      <c r="L201">
        <v>1648</v>
      </c>
    </row>
    <row r="202" spans="1:12" x14ac:dyDescent="0.35">
      <c r="A202" s="1">
        <v>45492</v>
      </c>
      <c r="B202">
        <v>2024</v>
      </c>
      <c r="C202" t="s">
        <v>20</v>
      </c>
      <c r="D202" t="s">
        <v>21</v>
      </c>
      <c r="E202">
        <v>7</v>
      </c>
      <c r="F202">
        <v>1515.84</v>
      </c>
      <c r="G202">
        <v>805</v>
      </c>
      <c r="H202">
        <v>4025</v>
      </c>
      <c r="I202">
        <v>3.8199999999999998E-2</v>
      </c>
      <c r="J202">
        <v>0</v>
      </c>
      <c r="K202">
        <v>0</v>
      </c>
      <c r="L202">
        <v>0</v>
      </c>
    </row>
    <row r="203" spans="1:12" x14ac:dyDescent="0.35">
      <c r="A203" s="1">
        <v>45493</v>
      </c>
      <c r="B203">
        <v>2024</v>
      </c>
      <c r="C203" t="s">
        <v>20</v>
      </c>
      <c r="D203" t="s">
        <v>21</v>
      </c>
      <c r="E203">
        <v>7</v>
      </c>
      <c r="F203">
        <v>1481.13</v>
      </c>
      <c r="G203">
        <v>461</v>
      </c>
      <c r="H203">
        <v>2305</v>
      </c>
      <c r="I203">
        <v>3.6499999999999998E-2</v>
      </c>
      <c r="J203">
        <v>730.68</v>
      </c>
      <c r="K203">
        <v>6081</v>
      </c>
      <c r="L203">
        <v>920</v>
      </c>
    </row>
    <row r="204" spans="1:12" x14ac:dyDescent="0.35">
      <c r="A204" s="1">
        <v>45494</v>
      </c>
      <c r="B204">
        <v>2024</v>
      </c>
      <c r="C204" t="s">
        <v>20</v>
      </c>
      <c r="D204" t="s">
        <v>21</v>
      </c>
      <c r="E204">
        <v>7</v>
      </c>
      <c r="F204">
        <v>1102.08</v>
      </c>
      <c r="G204">
        <v>1038</v>
      </c>
      <c r="H204">
        <v>6228</v>
      </c>
      <c r="I204">
        <v>7.1599999999999997E-2</v>
      </c>
      <c r="J204">
        <v>405.04</v>
      </c>
      <c r="K204">
        <v>37309</v>
      </c>
      <c r="L204">
        <v>1180</v>
      </c>
    </row>
    <row r="205" spans="1:12" x14ac:dyDescent="0.35">
      <c r="A205" s="1">
        <v>45495</v>
      </c>
      <c r="B205">
        <v>2024</v>
      </c>
      <c r="C205" t="s">
        <v>20</v>
      </c>
      <c r="D205" t="s">
        <v>21</v>
      </c>
      <c r="E205">
        <v>7</v>
      </c>
      <c r="F205">
        <v>196.41</v>
      </c>
      <c r="G205">
        <v>270</v>
      </c>
      <c r="H205">
        <v>1620</v>
      </c>
      <c r="I205">
        <v>3.5999999999999997E-2</v>
      </c>
      <c r="J205">
        <v>2446.25</v>
      </c>
      <c r="K205">
        <v>89313</v>
      </c>
      <c r="L205">
        <v>1349</v>
      </c>
    </row>
    <row r="206" spans="1:12" x14ac:dyDescent="0.35">
      <c r="A206" s="1">
        <v>45496</v>
      </c>
      <c r="B206">
        <v>2024</v>
      </c>
      <c r="C206" t="s">
        <v>20</v>
      </c>
      <c r="D206" t="s">
        <v>21</v>
      </c>
      <c r="E206">
        <v>7</v>
      </c>
      <c r="F206">
        <v>442.26</v>
      </c>
      <c r="G206">
        <v>256</v>
      </c>
      <c r="H206">
        <v>1024</v>
      </c>
      <c r="I206">
        <v>3.0800000000000001E-2</v>
      </c>
      <c r="J206">
        <v>0</v>
      </c>
      <c r="K206">
        <v>0</v>
      </c>
      <c r="L206">
        <v>0</v>
      </c>
    </row>
    <row r="207" spans="1:12" x14ac:dyDescent="0.35">
      <c r="A207" s="1">
        <v>45497</v>
      </c>
      <c r="B207">
        <v>2024</v>
      </c>
      <c r="C207" t="s">
        <v>20</v>
      </c>
      <c r="D207" t="s">
        <v>21</v>
      </c>
      <c r="E207">
        <v>7</v>
      </c>
      <c r="F207">
        <v>693.7</v>
      </c>
      <c r="G207">
        <v>649</v>
      </c>
      <c r="H207">
        <v>3245</v>
      </c>
      <c r="I207">
        <v>4.5900000000000003E-2</v>
      </c>
      <c r="J207">
        <v>1058.54</v>
      </c>
      <c r="K207">
        <v>20501</v>
      </c>
      <c r="L207">
        <v>1614</v>
      </c>
    </row>
    <row r="208" spans="1:12" x14ac:dyDescent="0.35">
      <c r="A208" s="1">
        <v>45498</v>
      </c>
      <c r="B208">
        <v>2024</v>
      </c>
      <c r="C208" t="s">
        <v>20</v>
      </c>
      <c r="D208" t="s">
        <v>21</v>
      </c>
      <c r="E208">
        <v>7</v>
      </c>
      <c r="F208">
        <v>1322.18</v>
      </c>
      <c r="G208">
        <v>1002</v>
      </c>
      <c r="H208">
        <v>6012</v>
      </c>
      <c r="I208">
        <v>6.2399999999999997E-2</v>
      </c>
      <c r="J208">
        <v>312.68</v>
      </c>
      <c r="K208">
        <v>10598</v>
      </c>
      <c r="L208">
        <v>462</v>
      </c>
    </row>
    <row r="209" spans="1:12" x14ac:dyDescent="0.35">
      <c r="A209" s="1">
        <v>45499</v>
      </c>
      <c r="B209">
        <v>2024</v>
      </c>
      <c r="C209" t="s">
        <v>20</v>
      </c>
      <c r="D209" t="s">
        <v>21</v>
      </c>
      <c r="E209">
        <v>7</v>
      </c>
      <c r="F209">
        <v>1648.57</v>
      </c>
      <c r="G209">
        <v>1169</v>
      </c>
      <c r="H209">
        <v>3507</v>
      </c>
      <c r="I209">
        <v>4.2799999999999998E-2</v>
      </c>
      <c r="J209">
        <v>2378.92</v>
      </c>
      <c r="K209">
        <v>79465</v>
      </c>
      <c r="L209">
        <v>2212</v>
      </c>
    </row>
    <row r="210" spans="1:12" x14ac:dyDescent="0.35">
      <c r="A210" s="1">
        <v>45500</v>
      </c>
      <c r="B210">
        <v>2024</v>
      </c>
      <c r="C210" t="s">
        <v>20</v>
      </c>
      <c r="D210" t="s">
        <v>21</v>
      </c>
      <c r="E210">
        <v>7</v>
      </c>
      <c r="F210">
        <v>353.75</v>
      </c>
      <c r="G210">
        <v>529</v>
      </c>
      <c r="H210">
        <v>2645</v>
      </c>
      <c r="I210">
        <v>4.2599999999999999E-2</v>
      </c>
      <c r="J210">
        <v>0</v>
      </c>
      <c r="K210">
        <v>0</v>
      </c>
      <c r="L210">
        <v>0</v>
      </c>
    </row>
    <row r="211" spans="1:12" x14ac:dyDescent="0.35">
      <c r="A211" s="1">
        <v>45501</v>
      </c>
      <c r="B211">
        <v>2024</v>
      </c>
      <c r="C211" t="s">
        <v>20</v>
      </c>
      <c r="D211" t="s">
        <v>21</v>
      </c>
      <c r="E211">
        <v>7</v>
      </c>
      <c r="F211">
        <v>94.2</v>
      </c>
      <c r="G211">
        <v>648</v>
      </c>
      <c r="H211">
        <v>2592</v>
      </c>
      <c r="I211">
        <v>5.4100000000000002E-2</v>
      </c>
      <c r="J211">
        <v>1251.53</v>
      </c>
      <c r="K211">
        <v>31715</v>
      </c>
      <c r="L211">
        <v>2824</v>
      </c>
    </row>
    <row r="212" spans="1:12" x14ac:dyDescent="0.35">
      <c r="A212" s="1">
        <v>45502</v>
      </c>
      <c r="B212">
        <v>2024</v>
      </c>
      <c r="C212" t="s">
        <v>20</v>
      </c>
      <c r="D212" t="s">
        <v>21</v>
      </c>
      <c r="E212">
        <v>7</v>
      </c>
      <c r="F212">
        <v>410.73</v>
      </c>
      <c r="G212">
        <v>1067</v>
      </c>
      <c r="H212">
        <v>5335</v>
      </c>
      <c r="I212">
        <v>5.7599999999999998E-2</v>
      </c>
      <c r="J212">
        <v>996.84</v>
      </c>
      <c r="K212">
        <v>6833</v>
      </c>
      <c r="L212">
        <v>286</v>
      </c>
    </row>
    <row r="213" spans="1:12" x14ac:dyDescent="0.35">
      <c r="A213" s="1">
        <v>45503</v>
      </c>
      <c r="B213">
        <v>2024</v>
      </c>
      <c r="C213" t="s">
        <v>20</v>
      </c>
      <c r="D213" t="s">
        <v>21</v>
      </c>
      <c r="E213">
        <v>7</v>
      </c>
      <c r="F213">
        <v>629.01</v>
      </c>
      <c r="G213">
        <v>1110</v>
      </c>
      <c r="H213">
        <v>5550</v>
      </c>
      <c r="I213">
        <v>6.9900000000000004E-2</v>
      </c>
      <c r="J213">
        <v>3067.39</v>
      </c>
      <c r="K213">
        <v>112959</v>
      </c>
      <c r="L213">
        <v>3741</v>
      </c>
    </row>
    <row r="214" spans="1:12" x14ac:dyDescent="0.35">
      <c r="A214" s="1">
        <v>45504</v>
      </c>
      <c r="B214">
        <v>2024</v>
      </c>
      <c r="C214" t="s">
        <v>20</v>
      </c>
      <c r="D214" t="s">
        <v>21</v>
      </c>
      <c r="E214">
        <v>7</v>
      </c>
      <c r="F214">
        <v>2162.02</v>
      </c>
      <c r="G214">
        <v>887</v>
      </c>
      <c r="H214">
        <v>5322</v>
      </c>
      <c r="I214">
        <v>1.37E-2</v>
      </c>
      <c r="J214">
        <v>2776.42</v>
      </c>
      <c r="K214">
        <v>97691</v>
      </c>
      <c r="L214">
        <v>3610</v>
      </c>
    </row>
    <row r="215" spans="1:12" x14ac:dyDescent="0.35">
      <c r="A215" s="1">
        <v>45505</v>
      </c>
      <c r="B215">
        <v>2024</v>
      </c>
      <c r="C215" t="s">
        <v>20</v>
      </c>
      <c r="D215" t="s">
        <v>22</v>
      </c>
      <c r="E215">
        <v>8</v>
      </c>
      <c r="F215">
        <v>1264.18</v>
      </c>
      <c r="G215">
        <v>653</v>
      </c>
      <c r="H215">
        <v>3918</v>
      </c>
      <c r="I215">
        <v>4.7600000000000003E-2</v>
      </c>
      <c r="J215">
        <v>1345.61</v>
      </c>
      <c r="K215">
        <v>31052</v>
      </c>
      <c r="L215">
        <v>2148</v>
      </c>
    </row>
    <row r="216" spans="1:12" x14ac:dyDescent="0.35">
      <c r="A216" s="1">
        <v>45506</v>
      </c>
      <c r="B216">
        <v>2024</v>
      </c>
      <c r="C216" t="s">
        <v>20</v>
      </c>
      <c r="D216" t="s">
        <v>22</v>
      </c>
      <c r="E216">
        <v>8</v>
      </c>
      <c r="F216">
        <v>1395.5</v>
      </c>
      <c r="G216">
        <v>277</v>
      </c>
      <c r="H216">
        <v>554</v>
      </c>
      <c r="I216">
        <v>5.2499999999999998E-2</v>
      </c>
      <c r="J216">
        <v>2260.66</v>
      </c>
      <c r="K216">
        <v>70616</v>
      </c>
      <c r="L216">
        <v>2187</v>
      </c>
    </row>
    <row r="217" spans="1:12" x14ac:dyDescent="0.35">
      <c r="A217" s="1">
        <v>45507</v>
      </c>
      <c r="B217">
        <v>2024</v>
      </c>
      <c r="C217" t="s">
        <v>20</v>
      </c>
      <c r="D217" t="s">
        <v>22</v>
      </c>
      <c r="E217">
        <v>8</v>
      </c>
      <c r="F217">
        <v>352.96</v>
      </c>
      <c r="G217">
        <v>388</v>
      </c>
      <c r="H217">
        <v>1940</v>
      </c>
      <c r="I217">
        <v>2.3400000000000001E-2</v>
      </c>
      <c r="J217">
        <v>907.52</v>
      </c>
      <c r="K217">
        <v>33211</v>
      </c>
      <c r="L217">
        <v>948</v>
      </c>
    </row>
    <row r="218" spans="1:12" x14ac:dyDescent="0.35">
      <c r="A218" s="1">
        <v>45508</v>
      </c>
      <c r="B218">
        <v>2024</v>
      </c>
      <c r="C218" t="s">
        <v>20</v>
      </c>
      <c r="D218" t="s">
        <v>22</v>
      </c>
      <c r="E218">
        <v>8</v>
      </c>
      <c r="F218">
        <v>831.04</v>
      </c>
      <c r="G218">
        <v>516</v>
      </c>
      <c r="H218">
        <v>2580</v>
      </c>
      <c r="I218">
        <v>3.2599999999999997E-2</v>
      </c>
      <c r="J218">
        <v>2447.33</v>
      </c>
      <c r="K218">
        <v>71406</v>
      </c>
      <c r="L218">
        <v>2703</v>
      </c>
    </row>
    <row r="219" spans="1:12" x14ac:dyDescent="0.35">
      <c r="A219" s="1">
        <v>45509</v>
      </c>
      <c r="B219">
        <v>2024</v>
      </c>
      <c r="C219" t="s">
        <v>20</v>
      </c>
      <c r="D219" t="s">
        <v>22</v>
      </c>
      <c r="E219">
        <v>8</v>
      </c>
      <c r="F219">
        <v>1132.07</v>
      </c>
      <c r="G219">
        <v>715</v>
      </c>
      <c r="H219">
        <v>2860</v>
      </c>
      <c r="I219">
        <v>3.3300000000000003E-2</v>
      </c>
      <c r="J219">
        <v>342.7</v>
      </c>
      <c r="K219">
        <v>17237</v>
      </c>
      <c r="L219">
        <v>1789</v>
      </c>
    </row>
    <row r="220" spans="1:12" x14ac:dyDescent="0.35">
      <c r="A220" s="1">
        <v>45510</v>
      </c>
      <c r="B220">
        <v>2024</v>
      </c>
      <c r="C220" t="s">
        <v>20</v>
      </c>
      <c r="D220" t="s">
        <v>22</v>
      </c>
      <c r="E220">
        <v>8</v>
      </c>
      <c r="F220">
        <v>1355.99</v>
      </c>
      <c r="G220">
        <v>1150</v>
      </c>
      <c r="H220">
        <v>5750</v>
      </c>
      <c r="I220">
        <v>2.9499999999999998E-2</v>
      </c>
      <c r="J220">
        <v>2158.35</v>
      </c>
      <c r="K220">
        <v>96953</v>
      </c>
      <c r="L220">
        <v>2592</v>
      </c>
    </row>
    <row r="221" spans="1:12" x14ac:dyDescent="0.35">
      <c r="A221" s="1">
        <v>45511</v>
      </c>
      <c r="B221">
        <v>2024</v>
      </c>
      <c r="C221" t="s">
        <v>20</v>
      </c>
      <c r="D221" t="s">
        <v>22</v>
      </c>
      <c r="E221">
        <v>8</v>
      </c>
      <c r="F221">
        <v>1714.61</v>
      </c>
      <c r="G221">
        <v>1101</v>
      </c>
      <c r="H221">
        <v>5505</v>
      </c>
      <c r="I221">
        <v>2.7900000000000001E-2</v>
      </c>
      <c r="J221">
        <v>1612.17</v>
      </c>
      <c r="K221">
        <v>37470</v>
      </c>
      <c r="L221">
        <v>2085</v>
      </c>
    </row>
    <row r="222" spans="1:12" x14ac:dyDescent="0.35">
      <c r="A222" s="1">
        <v>45512</v>
      </c>
      <c r="B222">
        <v>2024</v>
      </c>
      <c r="C222" t="s">
        <v>20</v>
      </c>
      <c r="D222" t="s">
        <v>22</v>
      </c>
      <c r="E222">
        <v>8</v>
      </c>
      <c r="F222">
        <v>1515.11</v>
      </c>
      <c r="G222">
        <v>333</v>
      </c>
      <c r="H222">
        <v>1665</v>
      </c>
      <c r="I222">
        <v>1.32E-2</v>
      </c>
      <c r="J222">
        <v>1128.3900000000001</v>
      </c>
      <c r="K222">
        <v>95410</v>
      </c>
      <c r="L222">
        <v>2375</v>
      </c>
    </row>
    <row r="223" spans="1:12" x14ac:dyDescent="0.35">
      <c r="A223" s="1">
        <v>45513</v>
      </c>
      <c r="B223">
        <v>2024</v>
      </c>
      <c r="C223" t="s">
        <v>20</v>
      </c>
      <c r="D223" t="s">
        <v>22</v>
      </c>
      <c r="E223">
        <v>8</v>
      </c>
      <c r="F223">
        <v>1503.44</v>
      </c>
      <c r="G223">
        <v>802</v>
      </c>
      <c r="H223">
        <v>1604</v>
      </c>
      <c r="I223">
        <v>7.4999999999999997E-2</v>
      </c>
      <c r="J223">
        <v>2019.31</v>
      </c>
      <c r="K223">
        <v>40034</v>
      </c>
      <c r="L223">
        <v>3138</v>
      </c>
    </row>
    <row r="224" spans="1:12" x14ac:dyDescent="0.35">
      <c r="A224" s="1">
        <v>45514</v>
      </c>
      <c r="B224">
        <v>2024</v>
      </c>
      <c r="C224" t="s">
        <v>20</v>
      </c>
      <c r="D224" t="s">
        <v>22</v>
      </c>
      <c r="E224">
        <v>8</v>
      </c>
      <c r="F224">
        <v>576.70000000000005</v>
      </c>
      <c r="G224">
        <v>608</v>
      </c>
      <c r="H224">
        <v>1824</v>
      </c>
      <c r="I224">
        <v>5.2999999999999999E-2</v>
      </c>
      <c r="J224">
        <v>0</v>
      </c>
      <c r="K224">
        <v>0</v>
      </c>
      <c r="L224">
        <v>0</v>
      </c>
    </row>
    <row r="225" spans="1:12" x14ac:dyDescent="0.35">
      <c r="A225" s="1">
        <v>45515</v>
      </c>
      <c r="B225">
        <v>2024</v>
      </c>
      <c r="C225" t="s">
        <v>20</v>
      </c>
      <c r="D225" t="s">
        <v>22</v>
      </c>
      <c r="E225">
        <v>8</v>
      </c>
      <c r="F225">
        <v>1542.18</v>
      </c>
      <c r="G225">
        <v>1049</v>
      </c>
      <c r="H225">
        <v>2098</v>
      </c>
      <c r="I225">
        <v>5.9499999999999997E-2</v>
      </c>
      <c r="J225">
        <v>1126.3699999999999</v>
      </c>
      <c r="K225">
        <v>54008</v>
      </c>
      <c r="L225">
        <v>2328</v>
      </c>
    </row>
    <row r="226" spans="1:12" x14ac:dyDescent="0.35">
      <c r="A226" s="1">
        <v>45516</v>
      </c>
      <c r="B226">
        <v>2024</v>
      </c>
      <c r="C226" t="s">
        <v>20</v>
      </c>
      <c r="D226" t="s">
        <v>22</v>
      </c>
      <c r="E226">
        <v>8</v>
      </c>
      <c r="F226">
        <v>1357.95</v>
      </c>
      <c r="G226">
        <v>503</v>
      </c>
      <c r="H226">
        <v>1509</v>
      </c>
      <c r="I226">
        <v>6.4899999999999999E-2</v>
      </c>
      <c r="J226">
        <v>504.38</v>
      </c>
      <c r="K226">
        <v>4019</v>
      </c>
      <c r="L226">
        <v>1000</v>
      </c>
    </row>
    <row r="227" spans="1:12" x14ac:dyDescent="0.35">
      <c r="A227" s="1">
        <v>45517</v>
      </c>
      <c r="B227">
        <v>2024</v>
      </c>
      <c r="C227" t="s">
        <v>20</v>
      </c>
      <c r="D227" t="s">
        <v>22</v>
      </c>
      <c r="E227">
        <v>8</v>
      </c>
      <c r="F227">
        <v>266.02</v>
      </c>
      <c r="G227">
        <v>886</v>
      </c>
      <c r="H227">
        <v>2658</v>
      </c>
      <c r="I227">
        <v>2.7E-2</v>
      </c>
      <c r="J227">
        <v>1628.13</v>
      </c>
      <c r="K227">
        <v>22954</v>
      </c>
      <c r="L227">
        <v>2583</v>
      </c>
    </row>
    <row r="228" spans="1:12" x14ac:dyDescent="0.35">
      <c r="A228" s="1">
        <v>45518</v>
      </c>
      <c r="B228">
        <v>2024</v>
      </c>
      <c r="C228" t="s">
        <v>20</v>
      </c>
      <c r="D228" t="s">
        <v>22</v>
      </c>
      <c r="E228">
        <v>8</v>
      </c>
      <c r="F228">
        <v>1502.87</v>
      </c>
      <c r="G228">
        <v>734</v>
      </c>
      <c r="H228">
        <v>1468</v>
      </c>
      <c r="I228">
        <v>4.7500000000000001E-2</v>
      </c>
      <c r="J228">
        <v>0</v>
      </c>
      <c r="K228">
        <v>0</v>
      </c>
      <c r="L228">
        <v>0</v>
      </c>
    </row>
    <row r="229" spans="1:12" x14ac:dyDescent="0.35">
      <c r="A229" s="1">
        <v>45519</v>
      </c>
      <c r="B229">
        <v>2024</v>
      </c>
      <c r="C229" t="s">
        <v>20</v>
      </c>
      <c r="D229" t="s">
        <v>22</v>
      </c>
      <c r="E229">
        <v>8</v>
      </c>
      <c r="F229">
        <v>2122.5300000000002</v>
      </c>
      <c r="G229">
        <v>473</v>
      </c>
      <c r="H229">
        <v>2365</v>
      </c>
      <c r="I229">
        <v>5.6099999999999997E-2</v>
      </c>
      <c r="J229">
        <v>2126.5700000000002</v>
      </c>
      <c r="K229">
        <v>117258</v>
      </c>
      <c r="L229">
        <v>3272</v>
      </c>
    </row>
    <row r="230" spans="1:12" x14ac:dyDescent="0.35">
      <c r="A230" s="1">
        <v>45520</v>
      </c>
      <c r="B230">
        <v>2024</v>
      </c>
      <c r="C230" t="s">
        <v>20</v>
      </c>
      <c r="D230" t="s">
        <v>22</v>
      </c>
      <c r="E230">
        <v>8</v>
      </c>
      <c r="F230">
        <v>2031.15</v>
      </c>
      <c r="G230">
        <v>1035</v>
      </c>
      <c r="H230">
        <v>4140</v>
      </c>
      <c r="I230">
        <v>2.2599999999999999E-2</v>
      </c>
      <c r="J230">
        <v>442.64</v>
      </c>
      <c r="K230">
        <v>75056</v>
      </c>
      <c r="L230">
        <v>1862</v>
      </c>
    </row>
    <row r="231" spans="1:12" x14ac:dyDescent="0.35">
      <c r="A231" s="1">
        <v>45521</v>
      </c>
      <c r="B231">
        <v>2024</v>
      </c>
      <c r="C231" t="s">
        <v>20</v>
      </c>
      <c r="D231" t="s">
        <v>22</v>
      </c>
      <c r="E231">
        <v>8</v>
      </c>
      <c r="F231">
        <v>56.32</v>
      </c>
      <c r="G231">
        <v>871</v>
      </c>
      <c r="H231">
        <v>1742</v>
      </c>
      <c r="I231">
        <v>6.0999999999999999E-2</v>
      </c>
      <c r="J231">
        <v>2564.66</v>
      </c>
      <c r="K231">
        <v>66181</v>
      </c>
      <c r="L231">
        <v>3165</v>
      </c>
    </row>
    <row r="232" spans="1:12" x14ac:dyDescent="0.35">
      <c r="A232" s="1">
        <v>45522</v>
      </c>
      <c r="B232">
        <v>2024</v>
      </c>
      <c r="C232" t="s">
        <v>20</v>
      </c>
      <c r="D232" t="s">
        <v>22</v>
      </c>
      <c r="E232">
        <v>8</v>
      </c>
      <c r="F232">
        <v>1968.22</v>
      </c>
      <c r="G232">
        <v>417</v>
      </c>
      <c r="H232">
        <v>1668</v>
      </c>
      <c r="I232">
        <v>1.8800000000000001E-2</v>
      </c>
      <c r="J232">
        <v>4134.4399999999996</v>
      </c>
      <c r="K232">
        <v>105908</v>
      </c>
      <c r="L232">
        <v>2341</v>
      </c>
    </row>
    <row r="233" spans="1:12" x14ac:dyDescent="0.35">
      <c r="A233" s="1">
        <v>45523</v>
      </c>
      <c r="B233">
        <v>2024</v>
      </c>
      <c r="C233" t="s">
        <v>20</v>
      </c>
      <c r="D233" t="s">
        <v>22</v>
      </c>
      <c r="E233">
        <v>8</v>
      </c>
      <c r="F233">
        <v>1062.1099999999999</v>
      </c>
      <c r="G233">
        <v>276</v>
      </c>
      <c r="H233">
        <v>1104</v>
      </c>
      <c r="I233">
        <v>4.8300000000000003E-2</v>
      </c>
      <c r="J233">
        <v>689.61</v>
      </c>
      <c r="K233">
        <v>73303</v>
      </c>
      <c r="L233">
        <v>1805</v>
      </c>
    </row>
    <row r="234" spans="1:12" x14ac:dyDescent="0.35">
      <c r="A234" s="1">
        <v>45524</v>
      </c>
      <c r="B234">
        <v>2024</v>
      </c>
      <c r="C234" t="s">
        <v>20</v>
      </c>
      <c r="D234" t="s">
        <v>22</v>
      </c>
      <c r="E234">
        <v>8</v>
      </c>
      <c r="F234">
        <v>448.96</v>
      </c>
      <c r="G234">
        <v>1179</v>
      </c>
      <c r="H234">
        <v>5895</v>
      </c>
      <c r="I234">
        <v>3.6999999999999998E-2</v>
      </c>
      <c r="J234">
        <v>1247.5899999999999</v>
      </c>
      <c r="K234">
        <v>25870</v>
      </c>
      <c r="L234">
        <v>1204</v>
      </c>
    </row>
    <row r="235" spans="1:12" x14ac:dyDescent="0.35">
      <c r="A235" s="1">
        <v>45525</v>
      </c>
      <c r="B235">
        <v>2024</v>
      </c>
      <c r="C235" t="s">
        <v>20</v>
      </c>
      <c r="D235" t="s">
        <v>22</v>
      </c>
      <c r="E235">
        <v>8</v>
      </c>
      <c r="F235">
        <v>1287.5999999999999</v>
      </c>
      <c r="G235">
        <v>982</v>
      </c>
      <c r="H235">
        <v>2946</v>
      </c>
      <c r="I235">
        <v>1.6799999999999999E-2</v>
      </c>
      <c r="J235">
        <v>1190.6099999999999</v>
      </c>
      <c r="K235">
        <v>30036</v>
      </c>
      <c r="L235">
        <v>444</v>
      </c>
    </row>
    <row r="236" spans="1:12" x14ac:dyDescent="0.35">
      <c r="A236" s="1">
        <v>45526</v>
      </c>
      <c r="B236">
        <v>2024</v>
      </c>
      <c r="C236" t="s">
        <v>20</v>
      </c>
      <c r="D236" t="s">
        <v>22</v>
      </c>
      <c r="E236">
        <v>8</v>
      </c>
      <c r="F236">
        <v>1460.96</v>
      </c>
      <c r="G236">
        <v>957</v>
      </c>
      <c r="H236">
        <v>2871</v>
      </c>
      <c r="I236">
        <v>1.84E-2</v>
      </c>
      <c r="J236">
        <v>1171.73</v>
      </c>
      <c r="K236">
        <v>34189</v>
      </c>
      <c r="L236">
        <v>1709</v>
      </c>
    </row>
    <row r="237" spans="1:12" x14ac:dyDescent="0.35">
      <c r="A237" s="1">
        <v>45527</v>
      </c>
      <c r="B237">
        <v>2024</v>
      </c>
      <c r="C237" t="s">
        <v>20</v>
      </c>
      <c r="D237" t="s">
        <v>22</v>
      </c>
      <c r="E237">
        <v>8</v>
      </c>
      <c r="F237">
        <v>226.25</v>
      </c>
      <c r="G237">
        <v>1041</v>
      </c>
      <c r="H237">
        <v>4164</v>
      </c>
      <c r="I237">
        <v>6.5600000000000006E-2</v>
      </c>
      <c r="J237">
        <v>228.39</v>
      </c>
      <c r="K237">
        <v>14352</v>
      </c>
      <c r="L237">
        <v>1514</v>
      </c>
    </row>
    <row r="238" spans="1:12" x14ac:dyDescent="0.35">
      <c r="A238" s="1">
        <v>45528</v>
      </c>
      <c r="B238">
        <v>2024</v>
      </c>
      <c r="C238" t="s">
        <v>20</v>
      </c>
      <c r="D238" t="s">
        <v>22</v>
      </c>
      <c r="E238">
        <v>8</v>
      </c>
      <c r="F238">
        <v>792.35</v>
      </c>
      <c r="G238">
        <v>864</v>
      </c>
      <c r="H238">
        <v>1728</v>
      </c>
      <c r="I238">
        <v>6.2199999999999998E-2</v>
      </c>
      <c r="J238">
        <v>944.84</v>
      </c>
      <c r="K238">
        <v>34958</v>
      </c>
      <c r="L238">
        <v>1110</v>
      </c>
    </row>
    <row r="239" spans="1:12" x14ac:dyDescent="0.35">
      <c r="A239" s="1">
        <v>45529</v>
      </c>
      <c r="B239">
        <v>2024</v>
      </c>
      <c r="C239" t="s">
        <v>20</v>
      </c>
      <c r="D239" t="s">
        <v>22</v>
      </c>
      <c r="E239">
        <v>8</v>
      </c>
      <c r="F239">
        <v>600.39</v>
      </c>
      <c r="G239">
        <v>829</v>
      </c>
      <c r="H239">
        <v>1658</v>
      </c>
      <c r="I239">
        <v>3.39E-2</v>
      </c>
      <c r="J239">
        <v>164.78</v>
      </c>
      <c r="K239">
        <v>13449</v>
      </c>
      <c r="L239">
        <v>110</v>
      </c>
    </row>
    <row r="240" spans="1:12" x14ac:dyDescent="0.35">
      <c r="A240" s="1">
        <v>45530</v>
      </c>
      <c r="B240">
        <v>2024</v>
      </c>
      <c r="C240" t="s">
        <v>20</v>
      </c>
      <c r="D240" t="s">
        <v>22</v>
      </c>
      <c r="E240">
        <v>8</v>
      </c>
      <c r="F240">
        <v>502.61</v>
      </c>
      <c r="G240">
        <v>688</v>
      </c>
      <c r="H240">
        <v>2752</v>
      </c>
      <c r="I240">
        <v>1.6299999999999999E-2</v>
      </c>
      <c r="J240">
        <v>517.49</v>
      </c>
      <c r="K240">
        <v>37122</v>
      </c>
      <c r="L240">
        <v>763</v>
      </c>
    </row>
    <row r="241" spans="1:12" x14ac:dyDescent="0.35">
      <c r="A241" s="1">
        <v>45531</v>
      </c>
      <c r="B241">
        <v>2024</v>
      </c>
      <c r="C241" t="s">
        <v>20</v>
      </c>
      <c r="D241" t="s">
        <v>22</v>
      </c>
      <c r="E241">
        <v>8</v>
      </c>
      <c r="F241">
        <v>620.86</v>
      </c>
      <c r="G241">
        <v>913</v>
      </c>
      <c r="H241">
        <v>3652</v>
      </c>
      <c r="I241">
        <v>1.2800000000000001E-2</v>
      </c>
      <c r="J241">
        <v>753.74</v>
      </c>
      <c r="K241">
        <v>7650</v>
      </c>
      <c r="L241">
        <v>164</v>
      </c>
    </row>
    <row r="242" spans="1:12" x14ac:dyDescent="0.35">
      <c r="A242" s="1">
        <v>45532</v>
      </c>
      <c r="B242">
        <v>2024</v>
      </c>
      <c r="C242" t="s">
        <v>20</v>
      </c>
      <c r="D242" t="s">
        <v>22</v>
      </c>
      <c r="E242">
        <v>8</v>
      </c>
      <c r="F242">
        <v>904.72</v>
      </c>
      <c r="G242">
        <v>680</v>
      </c>
      <c r="H242">
        <v>3400</v>
      </c>
      <c r="I242">
        <v>1.8599999999999998E-2</v>
      </c>
      <c r="J242">
        <v>3253.82</v>
      </c>
      <c r="K242">
        <v>59948</v>
      </c>
      <c r="L242">
        <v>4770</v>
      </c>
    </row>
    <row r="243" spans="1:12" x14ac:dyDescent="0.35">
      <c r="A243" s="1">
        <v>45533</v>
      </c>
      <c r="B243">
        <v>2024</v>
      </c>
      <c r="C243" t="s">
        <v>20</v>
      </c>
      <c r="D243" t="s">
        <v>22</v>
      </c>
      <c r="E243">
        <v>8</v>
      </c>
      <c r="F243">
        <v>270.91000000000003</v>
      </c>
      <c r="G243">
        <v>620</v>
      </c>
      <c r="H243">
        <v>3100</v>
      </c>
      <c r="I243">
        <v>5.6599999999999998E-2</v>
      </c>
      <c r="J243">
        <v>1765.24</v>
      </c>
      <c r="K243">
        <v>28263</v>
      </c>
      <c r="L243">
        <v>396</v>
      </c>
    </row>
    <row r="244" spans="1:12" x14ac:dyDescent="0.35">
      <c r="A244" s="1">
        <v>45534</v>
      </c>
      <c r="B244">
        <v>2024</v>
      </c>
      <c r="C244" t="s">
        <v>20</v>
      </c>
      <c r="D244" t="s">
        <v>22</v>
      </c>
      <c r="E244">
        <v>8</v>
      </c>
      <c r="F244">
        <v>1978.55</v>
      </c>
      <c r="G244">
        <v>695</v>
      </c>
      <c r="H244">
        <v>2085</v>
      </c>
      <c r="I244">
        <v>5.8200000000000002E-2</v>
      </c>
      <c r="J244">
        <v>469.31</v>
      </c>
      <c r="K244">
        <v>64193</v>
      </c>
      <c r="L244">
        <v>640</v>
      </c>
    </row>
    <row r="245" spans="1:12" x14ac:dyDescent="0.35">
      <c r="A245" s="1">
        <v>45535</v>
      </c>
      <c r="B245">
        <v>2024</v>
      </c>
      <c r="C245" t="s">
        <v>20</v>
      </c>
      <c r="D245" t="s">
        <v>22</v>
      </c>
      <c r="E245">
        <v>8</v>
      </c>
      <c r="F245">
        <v>2234.0500000000002</v>
      </c>
      <c r="G245">
        <v>916</v>
      </c>
      <c r="H245">
        <v>3664</v>
      </c>
      <c r="I245">
        <v>5.0799999999999998E-2</v>
      </c>
      <c r="J245">
        <v>782.26</v>
      </c>
      <c r="K245">
        <v>13231</v>
      </c>
      <c r="L245">
        <v>199</v>
      </c>
    </row>
    <row r="246" spans="1:12" x14ac:dyDescent="0.35">
      <c r="A246" s="1">
        <v>45536</v>
      </c>
      <c r="B246">
        <v>2024</v>
      </c>
      <c r="C246" t="s">
        <v>20</v>
      </c>
      <c r="D246" t="s">
        <v>23</v>
      </c>
      <c r="E246">
        <v>9</v>
      </c>
      <c r="F246">
        <v>951.65</v>
      </c>
      <c r="G246">
        <v>1191</v>
      </c>
      <c r="H246">
        <v>7146</v>
      </c>
      <c r="I246">
        <v>6.08E-2</v>
      </c>
      <c r="J246">
        <v>55.37</v>
      </c>
      <c r="K246">
        <v>36981</v>
      </c>
      <c r="L246">
        <v>438</v>
      </c>
    </row>
    <row r="247" spans="1:12" x14ac:dyDescent="0.35">
      <c r="A247" s="1">
        <v>45537</v>
      </c>
      <c r="B247">
        <v>2024</v>
      </c>
      <c r="C247" t="s">
        <v>20</v>
      </c>
      <c r="D247" t="s">
        <v>23</v>
      </c>
      <c r="E247">
        <v>9</v>
      </c>
      <c r="F247">
        <v>249.68</v>
      </c>
      <c r="G247">
        <v>726</v>
      </c>
      <c r="H247">
        <v>3630</v>
      </c>
      <c r="I247">
        <v>6.4000000000000001E-2</v>
      </c>
      <c r="J247">
        <v>2528.65</v>
      </c>
      <c r="K247">
        <v>97256</v>
      </c>
      <c r="L247">
        <v>3459</v>
      </c>
    </row>
    <row r="248" spans="1:12" x14ac:dyDescent="0.35">
      <c r="A248" s="1">
        <v>45538</v>
      </c>
      <c r="B248">
        <v>2024</v>
      </c>
      <c r="C248" t="s">
        <v>20</v>
      </c>
      <c r="D248" t="s">
        <v>23</v>
      </c>
      <c r="E248">
        <v>9</v>
      </c>
      <c r="F248">
        <v>1369.75</v>
      </c>
      <c r="G248">
        <v>856</v>
      </c>
      <c r="H248">
        <v>3424</v>
      </c>
      <c r="I248">
        <v>3.2300000000000002E-2</v>
      </c>
      <c r="J248">
        <v>627.11</v>
      </c>
      <c r="K248">
        <v>11107</v>
      </c>
      <c r="L248">
        <v>930</v>
      </c>
    </row>
    <row r="249" spans="1:12" x14ac:dyDescent="0.35">
      <c r="A249" s="1">
        <v>45539</v>
      </c>
      <c r="B249">
        <v>2024</v>
      </c>
      <c r="C249" t="s">
        <v>20</v>
      </c>
      <c r="D249" t="s">
        <v>23</v>
      </c>
      <c r="E249">
        <v>9</v>
      </c>
      <c r="F249">
        <v>581.79</v>
      </c>
      <c r="G249">
        <v>501</v>
      </c>
      <c r="H249">
        <v>1002</v>
      </c>
      <c r="I249">
        <v>2.9600000000000001E-2</v>
      </c>
      <c r="J249">
        <v>0</v>
      </c>
      <c r="K249">
        <v>0</v>
      </c>
      <c r="L249">
        <v>0</v>
      </c>
    </row>
    <row r="250" spans="1:12" x14ac:dyDescent="0.35">
      <c r="A250" s="1">
        <v>45540</v>
      </c>
      <c r="B250">
        <v>2024</v>
      </c>
      <c r="C250" t="s">
        <v>20</v>
      </c>
      <c r="D250" t="s">
        <v>23</v>
      </c>
      <c r="E250">
        <v>9</v>
      </c>
      <c r="F250">
        <v>1657.34</v>
      </c>
      <c r="G250">
        <v>711</v>
      </c>
      <c r="H250">
        <v>2133</v>
      </c>
      <c r="I250">
        <v>5.9299999999999999E-2</v>
      </c>
      <c r="J250">
        <v>994.17</v>
      </c>
      <c r="K250">
        <v>35768</v>
      </c>
      <c r="L250">
        <v>1650</v>
      </c>
    </row>
    <row r="251" spans="1:12" x14ac:dyDescent="0.35">
      <c r="A251" s="1">
        <v>45541</v>
      </c>
      <c r="B251">
        <v>2024</v>
      </c>
      <c r="C251" t="s">
        <v>20</v>
      </c>
      <c r="D251" t="s">
        <v>23</v>
      </c>
      <c r="E251">
        <v>9</v>
      </c>
      <c r="F251">
        <v>667.02</v>
      </c>
      <c r="G251">
        <v>833</v>
      </c>
      <c r="H251">
        <v>4998</v>
      </c>
      <c r="I251">
        <v>5.4100000000000002E-2</v>
      </c>
      <c r="J251">
        <v>1583.92</v>
      </c>
      <c r="K251">
        <v>101789</v>
      </c>
      <c r="L251">
        <v>1057</v>
      </c>
    </row>
    <row r="252" spans="1:12" x14ac:dyDescent="0.35">
      <c r="A252" s="1">
        <v>45542</v>
      </c>
      <c r="B252">
        <v>2024</v>
      </c>
      <c r="C252" t="s">
        <v>20</v>
      </c>
      <c r="D252" t="s">
        <v>23</v>
      </c>
      <c r="E252">
        <v>9</v>
      </c>
      <c r="F252">
        <v>1138.6300000000001</v>
      </c>
      <c r="G252">
        <v>594</v>
      </c>
      <c r="H252">
        <v>1188</v>
      </c>
      <c r="I252">
        <v>4.3099999999999999E-2</v>
      </c>
      <c r="J252">
        <v>2892.89</v>
      </c>
      <c r="K252">
        <v>69330</v>
      </c>
      <c r="L252">
        <v>3804</v>
      </c>
    </row>
    <row r="253" spans="1:12" x14ac:dyDescent="0.35">
      <c r="A253" s="1">
        <v>45543</v>
      </c>
      <c r="B253">
        <v>2024</v>
      </c>
      <c r="C253" t="s">
        <v>20</v>
      </c>
      <c r="D253" t="s">
        <v>23</v>
      </c>
      <c r="E253">
        <v>9</v>
      </c>
      <c r="F253">
        <v>2429.27</v>
      </c>
      <c r="G253">
        <v>582</v>
      </c>
      <c r="H253">
        <v>1746</v>
      </c>
      <c r="I253">
        <v>4.2700000000000002E-2</v>
      </c>
      <c r="J253">
        <v>439.71</v>
      </c>
      <c r="K253">
        <v>22479</v>
      </c>
      <c r="L253">
        <v>1038</v>
      </c>
    </row>
    <row r="254" spans="1:12" x14ac:dyDescent="0.35">
      <c r="A254" s="1">
        <v>45544</v>
      </c>
      <c r="B254">
        <v>2024</v>
      </c>
      <c r="C254" t="s">
        <v>20</v>
      </c>
      <c r="D254" t="s">
        <v>23</v>
      </c>
      <c r="E254">
        <v>9</v>
      </c>
      <c r="F254">
        <v>1396.3</v>
      </c>
      <c r="G254">
        <v>613</v>
      </c>
      <c r="H254">
        <v>2452</v>
      </c>
      <c r="I254">
        <v>3.3399999999999999E-2</v>
      </c>
      <c r="J254">
        <v>2650.63</v>
      </c>
      <c r="K254">
        <v>138222</v>
      </c>
      <c r="L254">
        <v>1929</v>
      </c>
    </row>
    <row r="255" spans="1:12" x14ac:dyDescent="0.35">
      <c r="A255" s="1">
        <v>45545</v>
      </c>
      <c r="B255">
        <v>2024</v>
      </c>
      <c r="C255" t="s">
        <v>20</v>
      </c>
      <c r="D255" t="s">
        <v>23</v>
      </c>
      <c r="E255">
        <v>9</v>
      </c>
      <c r="F255">
        <v>1097.8</v>
      </c>
      <c r="G255">
        <v>1151</v>
      </c>
      <c r="H255">
        <v>6906</v>
      </c>
      <c r="I255">
        <v>5.62E-2</v>
      </c>
      <c r="J255">
        <v>1546.02</v>
      </c>
      <c r="K255">
        <v>48794</v>
      </c>
      <c r="L255">
        <v>3101</v>
      </c>
    </row>
    <row r="256" spans="1:12" x14ac:dyDescent="0.35">
      <c r="A256" s="1">
        <v>45546</v>
      </c>
      <c r="B256">
        <v>2024</v>
      </c>
      <c r="C256" t="s">
        <v>20</v>
      </c>
      <c r="D256" t="s">
        <v>23</v>
      </c>
      <c r="E256">
        <v>9</v>
      </c>
      <c r="F256">
        <v>1729.88</v>
      </c>
      <c r="G256">
        <v>532</v>
      </c>
      <c r="H256">
        <v>3192</v>
      </c>
      <c r="I256">
        <v>1.26E-2</v>
      </c>
      <c r="J256">
        <v>1605.22</v>
      </c>
      <c r="K256">
        <v>122616</v>
      </c>
      <c r="L256">
        <v>4274</v>
      </c>
    </row>
    <row r="257" spans="1:12" x14ac:dyDescent="0.35">
      <c r="A257" s="1">
        <v>45547</v>
      </c>
      <c r="B257">
        <v>2024</v>
      </c>
      <c r="C257" t="s">
        <v>20</v>
      </c>
      <c r="D257" t="s">
        <v>23</v>
      </c>
      <c r="E257">
        <v>9</v>
      </c>
      <c r="F257">
        <v>1365.67</v>
      </c>
      <c r="G257">
        <v>445</v>
      </c>
      <c r="H257">
        <v>890</v>
      </c>
      <c r="I257">
        <v>2.7199999999999998E-2</v>
      </c>
      <c r="J257">
        <v>1451.56</v>
      </c>
      <c r="K257">
        <v>28893</v>
      </c>
      <c r="L257">
        <v>2351</v>
      </c>
    </row>
    <row r="258" spans="1:12" x14ac:dyDescent="0.35">
      <c r="A258" s="1">
        <v>45548</v>
      </c>
      <c r="B258">
        <v>2024</v>
      </c>
      <c r="C258" t="s">
        <v>20</v>
      </c>
      <c r="D258" t="s">
        <v>23</v>
      </c>
      <c r="E258">
        <v>9</v>
      </c>
      <c r="F258">
        <v>1899.77</v>
      </c>
      <c r="G258">
        <v>666</v>
      </c>
      <c r="H258">
        <v>3330</v>
      </c>
      <c r="I258">
        <v>4.7E-2</v>
      </c>
      <c r="J258">
        <v>1590.85</v>
      </c>
      <c r="K258">
        <v>34444</v>
      </c>
      <c r="L258">
        <v>1673</v>
      </c>
    </row>
    <row r="259" spans="1:12" x14ac:dyDescent="0.35">
      <c r="A259" s="1">
        <v>45549</v>
      </c>
      <c r="B259">
        <v>2024</v>
      </c>
      <c r="C259" t="s">
        <v>20</v>
      </c>
      <c r="D259" t="s">
        <v>23</v>
      </c>
      <c r="E259">
        <v>9</v>
      </c>
      <c r="F259">
        <v>645.47</v>
      </c>
      <c r="G259">
        <v>496</v>
      </c>
      <c r="H259">
        <v>2480</v>
      </c>
      <c r="I259">
        <v>5.2699999999999997E-2</v>
      </c>
      <c r="J259">
        <v>1248.17</v>
      </c>
      <c r="K259">
        <v>40950</v>
      </c>
      <c r="L259">
        <v>983</v>
      </c>
    </row>
    <row r="260" spans="1:12" x14ac:dyDescent="0.35">
      <c r="A260" s="1">
        <v>45550</v>
      </c>
      <c r="B260">
        <v>2024</v>
      </c>
      <c r="C260" t="s">
        <v>20</v>
      </c>
      <c r="D260" t="s">
        <v>23</v>
      </c>
      <c r="E260">
        <v>9</v>
      </c>
      <c r="F260">
        <v>1094.42</v>
      </c>
      <c r="G260">
        <v>752</v>
      </c>
      <c r="H260">
        <v>3760</v>
      </c>
      <c r="I260">
        <v>6.2E-2</v>
      </c>
      <c r="J260">
        <v>0</v>
      </c>
      <c r="K260">
        <v>0</v>
      </c>
      <c r="L260">
        <v>0</v>
      </c>
    </row>
    <row r="261" spans="1:12" x14ac:dyDescent="0.35">
      <c r="A261" s="1">
        <v>45551</v>
      </c>
      <c r="B261">
        <v>2024</v>
      </c>
      <c r="C261" t="s">
        <v>20</v>
      </c>
      <c r="D261" t="s">
        <v>23</v>
      </c>
      <c r="E261">
        <v>9</v>
      </c>
      <c r="F261">
        <v>405.3</v>
      </c>
      <c r="G261">
        <v>345</v>
      </c>
      <c r="H261">
        <v>1380</v>
      </c>
      <c r="I261">
        <v>2.5999999999999999E-2</v>
      </c>
      <c r="J261">
        <v>1182.0899999999999</v>
      </c>
      <c r="K261">
        <v>59624</v>
      </c>
      <c r="L261">
        <v>974</v>
      </c>
    </row>
    <row r="262" spans="1:12" x14ac:dyDescent="0.35">
      <c r="A262" s="1">
        <v>45552</v>
      </c>
      <c r="B262">
        <v>2024</v>
      </c>
      <c r="C262" t="s">
        <v>20</v>
      </c>
      <c r="D262" t="s">
        <v>23</v>
      </c>
      <c r="E262">
        <v>9</v>
      </c>
      <c r="F262">
        <v>584.57000000000005</v>
      </c>
      <c r="G262">
        <v>958</v>
      </c>
      <c r="H262">
        <v>2874</v>
      </c>
      <c r="I262">
        <v>3.1300000000000001E-2</v>
      </c>
      <c r="J262">
        <v>0</v>
      </c>
      <c r="K262">
        <v>0</v>
      </c>
      <c r="L262">
        <v>0</v>
      </c>
    </row>
    <row r="263" spans="1:12" x14ac:dyDescent="0.35">
      <c r="A263" s="1">
        <v>45553</v>
      </c>
      <c r="B263">
        <v>2024</v>
      </c>
      <c r="C263" t="s">
        <v>20</v>
      </c>
      <c r="D263" t="s">
        <v>23</v>
      </c>
      <c r="E263">
        <v>9</v>
      </c>
      <c r="F263">
        <v>1552.32</v>
      </c>
      <c r="G263">
        <v>845</v>
      </c>
      <c r="H263">
        <v>3380</v>
      </c>
      <c r="I263">
        <v>4.1799999999999997E-2</v>
      </c>
      <c r="J263">
        <v>3275.41</v>
      </c>
      <c r="K263">
        <v>63160</v>
      </c>
      <c r="L263">
        <v>4279</v>
      </c>
    </row>
    <row r="264" spans="1:12" x14ac:dyDescent="0.35">
      <c r="A264" s="1">
        <v>45554</v>
      </c>
      <c r="B264">
        <v>2024</v>
      </c>
      <c r="C264" t="s">
        <v>20</v>
      </c>
      <c r="D264" t="s">
        <v>23</v>
      </c>
      <c r="E264">
        <v>9</v>
      </c>
      <c r="F264">
        <v>1364.94</v>
      </c>
      <c r="G264">
        <v>793</v>
      </c>
      <c r="H264">
        <v>3172</v>
      </c>
      <c r="I264">
        <v>3.8800000000000001E-2</v>
      </c>
      <c r="J264">
        <v>1254.6400000000001</v>
      </c>
      <c r="K264">
        <v>54370</v>
      </c>
      <c r="L264">
        <v>3085</v>
      </c>
    </row>
    <row r="265" spans="1:12" x14ac:dyDescent="0.35">
      <c r="A265" s="1">
        <v>45555</v>
      </c>
      <c r="B265">
        <v>2024</v>
      </c>
      <c r="C265" t="s">
        <v>20</v>
      </c>
      <c r="D265" t="s">
        <v>23</v>
      </c>
      <c r="E265">
        <v>9</v>
      </c>
      <c r="F265">
        <v>349.42</v>
      </c>
      <c r="G265">
        <v>1013</v>
      </c>
      <c r="H265">
        <v>6078</v>
      </c>
      <c r="I265">
        <v>3.2800000000000003E-2</v>
      </c>
      <c r="J265">
        <v>205.93</v>
      </c>
      <c r="K265">
        <v>28974</v>
      </c>
      <c r="L265">
        <v>151</v>
      </c>
    </row>
    <row r="266" spans="1:12" x14ac:dyDescent="0.35">
      <c r="A266" s="1">
        <v>45556</v>
      </c>
      <c r="B266">
        <v>2024</v>
      </c>
      <c r="C266" t="s">
        <v>20</v>
      </c>
      <c r="D266" t="s">
        <v>23</v>
      </c>
      <c r="E266">
        <v>9</v>
      </c>
      <c r="F266">
        <v>456.74</v>
      </c>
      <c r="G266">
        <v>969</v>
      </c>
      <c r="H266">
        <v>4845</v>
      </c>
      <c r="I266">
        <v>2.9100000000000001E-2</v>
      </c>
      <c r="J266">
        <v>641.46</v>
      </c>
      <c r="K266">
        <v>35340</v>
      </c>
      <c r="L266">
        <v>942</v>
      </c>
    </row>
    <row r="267" spans="1:12" x14ac:dyDescent="0.35">
      <c r="A267" s="1">
        <v>45557</v>
      </c>
      <c r="B267">
        <v>2024</v>
      </c>
      <c r="C267" t="s">
        <v>20</v>
      </c>
      <c r="D267" t="s">
        <v>23</v>
      </c>
      <c r="E267">
        <v>9</v>
      </c>
      <c r="F267">
        <v>1257.94</v>
      </c>
      <c r="G267">
        <v>507</v>
      </c>
      <c r="H267">
        <v>1521</v>
      </c>
      <c r="I267">
        <v>1.9599999999999999E-2</v>
      </c>
      <c r="J267">
        <v>1022.82</v>
      </c>
      <c r="K267">
        <v>18423</v>
      </c>
      <c r="L267">
        <v>432</v>
      </c>
    </row>
    <row r="268" spans="1:12" x14ac:dyDescent="0.35">
      <c r="A268" s="1">
        <v>45558</v>
      </c>
      <c r="B268">
        <v>2024</v>
      </c>
      <c r="C268" t="s">
        <v>20</v>
      </c>
      <c r="D268" t="s">
        <v>23</v>
      </c>
      <c r="E268">
        <v>9</v>
      </c>
      <c r="F268">
        <v>1448.53</v>
      </c>
      <c r="G268">
        <v>447</v>
      </c>
      <c r="H268">
        <v>1788</v>
      </c>
      <c r="I268">
        <v>1.95E-2</v>
      </c>
      <c r="J268">
        <v>855.97</v>
      </c>
      <c r="K268">
        <v>26411</v>
      </c>
      <c r="L268">
        <v>968</v>
      </c>
    </row>
    <row r="269" spans="1:12" x14ac:dyDescent="0.35">
      <c r="A269" s="1">
        <v>45559</v>
      </c>
      <c r="B269">
        <v>2024</v>
      </c>
      <c r="C269" t="s">
        <v>20</v>
      </c>
      <c r="D269" t="s">
        <v>23</v>
      </c>
      <c r="E269">
        <v>9</v>
      </c>
      <c r="F269">
        <v>987.35</v>
      </c>
      <c r="G269">
        <v>798</v>
      </c>
      <c r="H269">
        <v>2394</v>
      </c>
      <c r="I269">
        <v>2.41E-2</v>
      </c>
      <c r="J269">
        <v>2528.85</v>
      </c>
      <c r="K269">
        <v>54713</v>
      </c>
      <c r="L269">
        <v>4210</v>
      </c>
    </row>
    <row r="270" spans="1:12" x14ac:dyDescent="0.35">
      <c r="A270" s="1">
        <v>45560</v>
      </c>
      <c r="B270">
        <v>2024</v>
      </c>
      <c r="C270" t="s">
        <v>20</v>
      </c>
      <c r="D270" t="s">
        <v>23</v>
      </c>
      <c r="E270">
        <v>9</v>
      </c>
      <c r="F270">
        <v>1168.25</v>
      </c>
      <c r="G270">
        <v>1006</v>
      </c>
      <c r="H270">
        <v>5030</v>
      </c>
      <c r="I270">
        <v>2.9399999999999999E-2</v>
      </c>
      <c r="J270">
        <v>973.61</v>
      </c>
      <c r="K270">
        <v>42873</v>
      </c>
      <c r="L270">
        <v>2380</v>
      </c>
    </row>
    <row r="271" spans="1:12" x14ac:dyDescent="0.35">
      <c r="A271" s="1">
        <v>45561</v>
      </c>
      <c r="B271">
        <v>2024</v>
      </c>
      <c r="C271" t="s">
        <v>20</v>
      </c>
      <c r="D271" t="s">
        <v>23</v>
      </c>
      <c r="E271">
        <v>9</v>
      </c>
      <c r="F271">
        <v>408.22</v>
      </c>
      <c r="G271">
        <v>853</v>
      </c>
      <c r="H271">
        <v>5118</v>
      </c>
      <c r="I271">
        <v>4.9599999999999998E-2</v>
      </c>
      <c r="J271">
        <v>102.23</v>
      </c>
      <c r="K271">
        <v>27903</v>
      </c>
      <c r="L271">
        <v>1257</v>
      </c>
    </row>
    <row r="272" spans="1:12" x14ac:dyDescent="0.35">
      <c r="A272" s="1">
        <v>45562</v>
      </c>
      <c r="B272">
        <v>2024</v>
      </c>
      <c r="C272" t="s">
        <v>20</v>
      </c>
      <c r="D272" t="s">
        <v>23</v>
      </c>
      <c r="E272">
        <v>9</v>
      </c>
      <c r="F272">
        <v>1429.52</v>
      </c>
      <c r="G272">
        <v>352</v>
      </c>
      <c r="H272">
        <v>1056</v>
      </c>
      <c r="I272">
        <v>3.0700000000000002E-2</v>
      </c>
      <c r="J272">
        <v>887.04</v>
      </c>
      <c r="K272">
        <v>16594</v>
      </c>
      <c r="L272">
        <v>1739</v>
      </c>
    </row>
    <row r="273" spans="1:12" x14ac:dyDescent="0.35">
      <c r="A273" s="1">
        <v>45563</v>
      </c>
      <c r="B273">
        <v>2024</v>
      </c>
      <c r="C273" t="s">
        <v>20</v>
      </c>
      <c r="D273" t="s">
        <v>23</v>
      </c>
      <c r="E273">
        <v>9</v>
      </c>
      <c r="F273">
        <v>959.23</v>
      </c>
      <c r="G273">
        <v>619</v>
      </c>
      <c r="H273">
        <v>1857</v>
      </c>
      <c r="I273">
        <v>3.1E-2</v>
      </c>
      <c r="J273">
        <v>1065.78</v>
      </c>
      <c r="K273">
        <v>46351</v>
      </c>
      <c r="L273">
        <v>2578</v>
      </c>
    </row>
    <row r="274" spans="1:12" x14ac:dyDescent="0.35">
      <c r="A274" s="1">
        <v>45564</v>
      </c>
      <c r="B274">
        <v>2024</v>
      </c>
      <c r="C274" t="s">
        <v>20</v>
      </c>
      <c r="D274" t="s">
        <v>23</v>
      </c>
      <c r="E274">
        <v>9</v>
      </c>
      <c r="F274">
        <v>1651.46</v>
      </c>
      <c r="G274">
        <v>975</v>
      </c>
      <c r="H274">
        <v>5850</v>
      </c>
      <c r="I274">
        <v>0.02</v>
      </c>
      <c r="J274">
        <v>800.02</v>
      </c>
      <c r="K274">
        <v>49729</v>
      </c>
      <c r="L274">
        <v>2201</v>
      </c>
    </row>
    <row r="275" spans="1:12" x14ac:dyDescent="0.35">
      <c r="A275" s="1">
        <v>45565</v>
      </c>
      <c r="B275">
        <v>2024</v>
      </c>
      <c r="C275" t="s">
        <v>20</v>
      </c>
      <c r="D275" t="s">
        <v>23</v>
      </c>
      <c r="E275">
        <v>9</v>
      </c>
      <c r="F275">
        <v>925.27</v>
      </c>
      <c r="G275">
        <v>296</v>
      </c>
      <c r="H275">
        <v>592</v>
      </c>
      <c r="I275">
        <v>4.6899999999999997E-2</v>
      </c>
      <c r="J275">
        <v>2858.17</v>
      </c>
      <c r="K275">
        <v>69257</v>
      </c>
      <c r="L275">
        <v>4775</v>
      </c>
    </row>
    <row r="276" spans="1:12" x14ac:dyDescent="0.35">
      <c r="A276" s="1">
        <v>45566</v>
      </c>
      <c r="B276">
        <v>2024</v>
      </c>
      <c r="C276" t="s">
        <v>24</v>
      </c>
      <c r="D276" t="s">
        <v>25</v>
      </c>
      <c r="E276">
        <v>10</v>
      </c>
      <c r="F276">
        <v>593.39</v>
      </c>
      <c r="G276">
        <v>964</v>
      </c>
      <c r="H276">
        <v>2892</v>
      </c>
      <c r="I276">
        <v>5.2200000000000003E-2</v>
      </c>
      <c r="J276">
        <v>1661.14</v>
      </c>
      <c r="K276">
        <v>75397</v>
      </c>
      <c r="L276">
        <v>2906</v>
      </c>
    </row>
    <row r="277" spans="1:12" x14ac:dyDescent="0.35">
      <c r="A277" s="1">
        <v>45567</v>
      </c>
      <c r="B277">
        <v>2024</v>
      </c>
      <c r="C277" t="s">
        <v>24</v>
      </c>
      <c r="D277" t="s">
        <v>25</v>
      </c>
      <c r="E277">
        <v>10</v>
      </c>
      <c r="F277">
        <v>1887.19</v>
      </c>
      <c r="G277">
        <v>1020</v>
      </c>
      <c r="H277">
        <v>5100</v>
      </c>
      <c r="I277">
        <v>1.8499999999999999E-2</v>
      </c>
      <c r="J277">
        <v>1098.08</v>
      </c>
      <c r="K277">
        <v>32581</v>
      </c>
      <c r="L277">
        <v>2047</v>
      </c>
    </row>
    <row r="278" spans="1:12" x14ac:dyDescent="0.35">
      <c r="A278" s="1">
        <v>45568</v>
      </c>
      <c r="B278">
        <v>2024</v>
      </c>
      <c r="C278" t="s">
        <v>24</v>
      </c>
      <c r="D278" t="s">
        <v>25</v>
      </c>
      <c r="E278">
        <v>10</v>
      </c>
      <c r="F278">
        <v>1679.31</v>
      </c>
      <c r="G278">
        <v>262</v>
      </c>
      <c r="H278">
        <v>1572</v>
      </c>
      <c r="I278">
        <v>2.9899999999999999E-2</v>
      </c>
      <c r="J278">
        <v>4331.1899999999996</v>
      </c>
      <c r="K278">
        <v>137605</v>
      </c>
      <c r="L278">
        <v>4840</v>
      </c>
    </row>
    <row r="279" spans="1:12" x14ac:dyDescent="0.35">
      <c r="A279" s="1">
        <v>45569</v>
      </c>
      <c r="B279">
        <v>2024</v>
      </c>
      <c r="C279" t="s">
        <v>24</v>
      </c>
      <c r="D279" t="s">
        <v>25</v>
      </c>
      <c r="E279">
        <v>10</v>
      </c>
      <c r="F279">
        <v>2220.38</v>
      </c>
      <c r="G279">
        <v>740</v>
      </c>
      <c r="H279">
        <v>3700</v>
      </c>
      <c r="I279">
        <v>3.3500000000000002E-2</v>
      </c>
      <c r="J279">
        <v>1166.31</v>
      </c>
      <c r="K279">
        <v>40648</v>
      </c>
      <c r="L279">
        <v>495</v>
      </c>
    </row>
    <row r="280" spans="1:12" x14ac:dyDescent="0.35">
      <c r="A280" s="1">
        <v>45570</v>
      </c>
      <c r="B280">
        <v>2024</v>
      </c>
      <c r="C280" t="s">
        <v>24</v>
      </c>
      <c r="D280" t="s">
        <v>25</v>
      </c>
      <c r="E280">
        <v>10</v>
      </c>
      <c r="F280">
        <v>1160.1099999999999</v>
      </c>
      <c r="G280">
        <v>302</v>
      </c>
      <c r="H280">
        <v>1208</v>
      </c>
      <c r="I280">
        <v>7.1300000000000002E-2</v>
      </c>
      <c r="J280">
        <v>1780.71</v>
      </c>
      <c r="K280">
        <v>60847</v>
      </c>
      <c r="L280">
        <v>3180</v>
      </c>
    </row>
    <row r="281" spans="1:12" x14ac:dyDescent="0.35">
      <c r="A281" s="1">
        <v>45571</v>
      </c>
      <c r="B281">
        <v>2024</v>
      </c>
      <c r="C281" t="s">
        <v>24</v>
      </c>
      <c r="D281" t="s">
        <v>25</v>
      </c>
      <c r="E281">
        <v>10</v>
      </c>
      <c r="F281">
        <v>604.86</v>
      </c>
      <c r="G281">
        <v>739</v>
      </c>
      <c r="H281">
        <v>1478</v>
      </c>
      <c r="I281">
        <v>6.3799999999999996E-2</v>
      </c>
      <c r="J281">
        <v>1154.1500000000001</v>
      </c>
      <c r="K281">
        <v>11442</v>
      </c>
      <c r="L281">
        <v>640</v>
      </c>
    </row>
    <row r="282" spans="1:12" x14ac:dyDescent="0.35">
      <c r="A282" s="1">
        <v>45572</v>
      </c>
      <c r="B282">
        <v>2024</v>
      </c>
      <c r="C282" t="s">
        <v>24</v>
      </c>
      <c r="D282" t="s">
        <v>25</v>
      </c>
      <c r="E282">
        <v>10</v>
      </c>
      <c r="F282">
        <v>127.45</v>
      </c>
      <c r="G282">
        <v>660</v>
      </c>
      <c r="H282">
        <v>3300</v>
      </c>
      <c r="I282">
        <v>1.67E-2</v>
      </c>
      <c r="J282">
        <v>708.61</v>
      </c>
      <c r="K282">
        <v>11820</v>
      </c>
      <c r="L282">
        <v>366</v>
      </c>
    </row>
    <row r="283" spans="1:12" x14ac:dyDescent="0.35">
      <c r="A283" s="1">
        <v>45573</v>
      </c>
      <c r="B283">
        <v>2024</v>
      </c>
      <c r="C283" t="s">
        <v>24</v>
      </c>
      <c r="D283" t="s">
        <v>25</v>
      </c>
      <c r="E283">
        <v>10</v>
      </c>
      <c r="F283">
        <v>1457.78</v>
      </c>
      <c r="G283">
        <v>894</v>
      </c>
      <c r="H283">
        <v>1788</v>
      </c>
      <c r="I283">
        <v>2.1600000000000001E-2</v>
      </c>
      <c r="J283">
        <v>1862.98</v>
      </c>
      <c r="K283">
        <v>110041</v>
      </c>
      <c r="L283">
        <v>3941</v>
      </c>
    </row>
    <row r="284" spans="1:12" x14ac:dyDescent="0.35">
      <c r="A284" s="1">
        <v>45574</v>
      </c>
      <c r="B284">
        <v>2024</v>
      </c>
      <c r="C284" t="s">
        <v>24</v>
      </c>
      <c r="D284" t="s">
        <v>25</v>
      </c>
      <c r="E284">
        <v>10</v>
      </c>
      <c r="F284">
        <v>1492.09</v>
      </c>
      <c r="G284">
        <v>1080</v>
      </c>
      <c r="H284">
        <v>6480</v>
      </c>
      <c r="I284">
        <v>7.1800000000000003E-2</v>
      </c>
      <c r="J284">
        <v>1665.46</v>
      </c>
      <c r="K284">
        <v>73293</v>
      </c>
      <c r="L284">
        <v>3436</v>
      </c>
    </row>
    <row r="285" spans="1:12" x14ac:dyDescent="0.35">
      <c r="A285" s="1">
        <v>45575</v>
      </c>
      <c r="B285">
        <v>2024</v>
      </c>
      <c r="C285" t="s">
        <v>24</v>
      </c>
      <c r="D285" t="s">
        <v>25</v>
      </c>
      <c r="E285">
        <v>10</v>
      </c>
      <c r="F285">
        <v>1437.44</v>
      </c>
      <c r="G285">
        <v>337</v>
      </c>
      <c r="H285">
        <v>1011</v>
      </c>
      <c r="I285">
        <v>1.95E-2</v>
      </c>
      <c r="J285">
        <v>1406.39</v>
      </c>
      <c r="K285">
        <v>51104</v>
      </c>
      <c r="L285">
        <v>1592</v>
      </c>
    </row>
    <row r="286" spans="1:12" x14ac:dyDescent="0.35">
      <c r="A286" s="1">
        <v>45576</v>
      </c>
      <c r="B286">
        <v>2024</v>
      </c>
      <c r="C286" t="s">
        <v>24</v>
      </c>
      <c r="D286" t="s">
        <v>25</v>
      </c>
      <c r="E286">
        <v>10</v>
      </c>
      <c r="F286">
        <v>305.85000000000002</v>
      </c>
      <c r="G286">
        <v>1032</v>
      </c>
      <c r="H286">
        <v>5160</v>
      </c>
      <c r="I286">
        <v>5.0200000000000002E-2</v>
      </c>
      <c r="J286">
        <v>391.3</v>
      </c>
      <c r="K286">
        <v>42601</v>
      </c>
      <c r="L286">
        <v>2964</v>
      </c>
    </row>
    <row r="287" spans="1:12" x14ac:dyDescent="0.35">
      <c r="A287" s="1">
        <v>45577</v>
      </c>
      <c r="B287">
        <v>2024</v>
      </c>
      <c r="C287" t="s">
        <v>24</v>
      </c>
      <c r="D287" t="s">
        <v>25</v>
      </c>
      <c r="E287">
        <v>10</v>
      </c>
      <c r="F287">
        <v>1392.47</v>
      </c>
      <c r="G287">
        <v>1059</v>
      </c>
      <c r="H287">
        <v>6354</v>
      </c>
      <c r="I287">
        <v>2.6200000000000001E-2</v>
      </c>
      <c r="J287">
        <v>1153.6500000000001</v>
      </c>
      <c r="K287">
        <v>69455</v>
      </c>
      <c r="L287">
        <v>1355</v>
      </c>
    </row>
    <row r="288" spans="1:12" x14ac:dyDescent="0.35">
      <c r="A288" s="1">
        <v>45578</v>
      </c>
      <c r="B288">
        <v>2024</v>
      </c>
      <c r="C288" t="s">
        <v>24</v>
      </c>
      <c r="D288" t="s">
        <v>25</v>
      </c>
      <c r="E288">
        <v>10</v>
      </c>
      <c r="F288">
        <v>1950.75</v>
      </c>
      <c r="G288">
        <v>785</v>
      </c>
      <c r="H288">
        <v>3925</v>
      </c>
      <c r="I288">
        <v>4.0399999999999998E-2</v>
      </c>
      <c r="J288">
        <v>1928.98</v>
      </c>
      <c r="K288">
        <v>47523</v>
      </c>
      <c r="L288">
        <v>3065</v>
      </c>
    </row>
    <row r="289" spans="1:12" x14ac:dyDescent="0.35">
      <c r="A289" s="1">
        <v>45579</v>
      </c>
      <c r="B289">
        <v>2024</v>
      </c>
      <c r="C289" t="s">
        <v>24</v>
      </c>
      <c r="D289" t="s">
        <v>25</v>
      </c>
      <c r="E289">
        <v>10</v>
      </c>
      <c r="F289">
        <v>764.24</v>
      </c>
      <c r="G289">
        <v>703</v>
      </c>
      <c r="H289">
        <v>2812</v>
      </c>
      <c r="I289">
        <v>6.6199999999999995E-2</v>
      </c>
      <c r="J289">
        <v>931.56</v>
      </c>
      <c r="K289">
        <v>115516</v>
      </c>
      <c r="L289">
        <v>3525</v>
      </c>
    </row>
    <row r="290" spans="1:12" x14ac:dyDescent="0.35">
      <c r="A290" s="1">
        <v>45580</v>
      </c>
      <c r="B290">
        <v>2024</v>
      </c>
      <c r="C290" t="s">
        <v>24</v>
      </c>
      <c r="D290" t="s">
        <v>25</v>
      </c>
      <c r="E290">
        <v>10</v>
      </c>
      <c r="F290">
        <v>0</v>
      </c>
      <c r="G290">
        <v>689</v>
      </c>
      <c r="H290">
        <v>2756</v>
      </c>
      <c r="I290">
        <v>4.7800000000000002E-2</v>
      </c>
      <c r="J290">
        <v>4025.35</v>
      </c>
      <c r="K290">
        <v>105857</v>
      </c>
      <c r="L290">
        <v>4937</v>
      </c>
    </row>
    <row r="291" spans="1:12" x14ac:dyDescent="0.35">
      <c r="A291" s="1">
        <v>45581</v>
      </c>
      <c r="B291">
        <v>2024</v>
      </c>
      <c r="C291" t="s">
        <v>24</v>
      </c>
      <c r="D291" t="s">
        <v>25</v>
      </c>
      <c r="E291">
        <v>10</v>
      </c>
      <c r="F291">
        <v>377.76</v>
      </c>
      <c r="G291">
        <v>311</v>
      </c>
      <c r="H291">
        <v>1866</v>
      </c>
      <c r="I291">
        <v>7.2499999999999995E-2</v>
      </c>
      <c r="J291">
        <v>1955.69</v>
      </c>
      <c r="K291">
        <v>40394</v>
      </c>
      <c r="L291">
        <v>2978</v>
      </c>
    </row>
    <row r="292" spans="1:12" x14ac:dyDescent="0.35">
      <c r="A292" s="1">
        <v>45582</v>
      </c>
      <c r="B292">
        <v>2024</v>
      </c>
      <c r="C292" t="s">
        <v>24</v>
      </c>
      <c r="D292" t="s">
        <v>25</v>
      </c>
      <c r="E292">
        <v>10</v>
      </c>
      <c r="F292">
        <v>1585.74</v>
      </c>
      <c r="G292">
        <v>351</v>
      </c>
      <c r="H292">
        <v>1053</v>
      </c>
      <c r="I292">
        <v>5.1400000000000001E-2</v>
      </c>
      <c r="J292">
        <v>3417.75</v>
      </c>
      <c r="K292">
        <v>103995</v>
      </c>
      <c r="L292">
        <v>4039</v>
      </c>
    </row>
    <row r="293" spans="1:12" x14ac:dyDescent="0.35">
      <c r="A293" s="1">
        <v>45583</v>
      </c>
      <c r="B293">
        <v>2024</v>
      </c>
      <c r="C293" t="s">
        <v>24</v>
      </c>
      <c r="D293" t="s">
        <v>25</v>
      </c>
      <c r="E293">
        <v>10</v>
      </c>
      <c r="F293">
        <v>2992.58</v>
      </c>
      <c r="G293">
        <v>520</v>
      </c>
      <c r="H293">
        <v>1040</v>
      </c>
      <c r="I293">
        <v>2.1899999999999999E-2</v>
      </c>
      <c r="J293">
        <v>473.16</v>
      </c>
      <c r="K293">
        <v>40706</v>
      </c>
      <c r="L293">
        <v>3250</v>
      </c>
    </row>
    <row r="294" spans="1:12" x14ac:dyDescent="0.35">
      <c r="A294" s="1">
        <v>45584</v>
      </c>
      <c r="B294">
        <v>2024</v>
      </c>
      <c r="C294" t="s">
        <v>24</v>
      </c>
      <c r="D294" t="s">
        <v>25</v>
      </c>
      <c r="E294">
        <v>10</v>
      </c>
      <c r="F294">
        <v>943.44</v>
      </c>
      <c r="G294">
        <v>427</v>
      </c>
      <c r="H294">
        <v>2562</v>
      </c>
      <c r="I294">
        <v>1.67E-2</v>
      </c>
      <c r="J294">
        <v>1026.43</v>
      </c>
      <c r="K294">
        <v>44536</v>
      </c>
      <c r="L294">
        <v>698</v>
      </c>
    </row>
    <row r="295" spans="1:12" x14ac:dyDescent="0.35">
      <c r="A295" s="1">
        <v>45585</v>
      </c>
      <c r="B295">
        <v>2024</v>
      </c>
      <c r="C295" t="s">
        <v>24</v>
      </c>
      <c r="D295" t="s">
        <v>25</v>
      </c>
      <c r="E295">
        <v>10</v>
      </c>
      <c r="F295">
        <v>1115.1500000000001</v>
      </c>
      <c r="G295">
        <v>252</v>
      </c>
      <c r="H295">
        <v>1260</v>
      </c>
      <c r="I295">
        <v>4.0399999999999998E-2</v>
      </c>
      <c r="J295">
        <v>1156.3499999999999</v>
      </c>
      <c r="K295">
        <v>43250</v>
      </c>
      <c r="L295">
        <v>2686</v>
      </c>
    </row>
    <row r="296" spans="1:12" x14ac:dyDescent="0.35">
      <c r="A296" s="1">
        <v>45586</v>
      </c>
      <c r="B296">
        <v>2024</v>
      </c>
      <c r="C296" t="s">
        <v>24</v>
      </c>
      <c r="D296" t="s">
        <v>25</v>
      </c>
      <c r="E296">
        <v>10</v>
      </c>
      <c r="F296">
        <v>1417.16</v>
      </c>
      <c r="G296">
        <v>858</v>
      </c>
      <c r="H296">
        <v>4290</v>
      </c>
      <c r="I296">
        <v>3.0300000000000001E-2</v>
      </c>
      <c r="J296">
        <v>714.1</v>
      </c>
      <c r="K296">
        <v>23015</v>
      </c>
      <c r="L296">
        <v>515</v>
      </c>
    </row>
    <row r="297" spans="1:12" x14ac:dyDescent="0.35">
      <c r="A297" s="1">
        <v>45587</v>
      </c>
      <c r="B297">
        <v>2024</v>
      </c>
      <c r="C297" t="s">
        <v>24</v>
      </c>
      <c r="D297" t="s">
        <v>25</v>
      </c>
      <c r="E297">
        <v>10</v>
      </c>
      <c r="F297">
        <v>1114</v>
      </c>
      <c r="G297">
        <v>487</v>
      </c>
      <c r="H297">
        <v>1948</v>
      </c>
      <c r="I297">
        <v>5.6500000000000002E-2</v>
      </c>
      <c r="J297">
        <v>1647.31</v>
      </c>
      <c r="K297">
        <v>108569</v>
      </c>
      <c r="L297">
        <v>2139</v>
      </c>
    </row>
    <row r="298" spans="1:12" x14ac:dyDescent="0.35">
      <c r="A298" s="1">
        <v>45588</v>
      </c>
      <c r="B298">
        <v>2024</v>
      </c>
      <c r="C298" t="s">
        <v>24</v>
      </c>
      <c r="D298" t="s">
        <v>25</v>
      </c>
      <c r="E298">
        <v>10</v>
      </c>
      <c r="F298">
        <v>863.34</v>
      </c>
      <c r="G298">
        <v>969</v>
      </c>
      <c r="H298">
        <v>4845</v>
      </c>
      <c r="I298">
        <v>1.6500000000000001E-2</v>
      </c>
      <c r="J298">
        <v>3495.19</v>
      </c>
      <c r="K298">
        <v>97554</v>
      </c>
      <c r="L298">
        <v>3235</v>
      </c>
    </row>
    <row r="299" spans="1:12" x14ac:dyDescent="0.35">
      <c r="A299" s="1">
        <v>45589</v>
      </c>
      <c r="B299">
        <v>2024</v>
      </c>
      <c r="C299" t="s">
        <v>24</v>
      </c>
      <c r="D299" t="s">
        <v>25</v>
      </c>
      <c r="E299">
        <v>10</v>
      </c>
      <c r="F299">
        <v>1068.47</v>
      </c>
      <c r="G299">
        <v>489</v>
      </c>
      <c r="H299">
        <v>1956</v>
      </c>
      <c r="I299">
        <v>6.1600000000000002E-2</v>
      </c>
      <c r="J299">
        <v>2918.78</v>
      </c>
      <c r="K299">
        <v>99022</v>
      </c>
      <c r="L299">
        <v>2956</v>
      </c>
    </row>
    <row r="300" spans="1:12" x14ac:dyDescent="0.35">
      <c r="A300" s="1">
        <v>45590</v>
      </c>
      <c r="B300">
        <v>2024</v>
      </c>
      <c r="C300" t="s">
        <v>24</v>
      </c>
      <c r="D300" t="s">
        <v>25</v>
      </c>
      <c r="E300">
        <v>10</v>
      </c>
      <c r="F300">
        <v>1406.77</v>
      </c>
      <c r="G300">
        <v>890</v>
      </c>
      <c r="H300">
        <v>5340</v>
      </c>
      <c r="I300">
        <v>5.3699999999999998E-2</v>
      </c>
      <c r="J300">
        <v>1746.65</v>
      </c>
      <c r="K300">
        <v>107912</v>
      </c>
      <c r="L300">
        <v>2128</v>
      </c>
    </row>
    <row r="301" spans="1:12" x14ac:dyDescent="0.35">
      <c r="A301" s="1">
        <v>45591</v>
      </c>
      <c r="B301">
        <v>2024</v>
      </c>
      <c r="C301" t="s">
        <v>24</v>
      </c>
      <c r="D301" t="s">
        <v>25</v>
      </c>
      <c r="E301">
        <v>10</v>
      </c>
      <c r="F301">
        <v>932.24</v>
      </c>
      <c r="G301">
        <v>452</v>
      </c>
      <c r="H301">
        <v>2260</v>
      </c>
      <c r="I301">
        <v>1.9199999999999998E-2</v>
      </c>
      <c r="J301">
        <v>228.72</v>
      </c>
      <c r="K301">
        <v>12772</v>
      </c>
      <c r="L301">
        <v>950</v>
      </c>
    </row>
    <row r="302" spans="1:12" x14ac:dyDescent="0.35">
      <c r="A302" s="1">
        <v>45592</v>
      </c>
      <c r="B302">
        <v>2024</v>
      </c>
      <c r="C302" t="s">
        <v>24</v>
      </c>
      <c r="D302" t="s">
        <v>25</v>
      </c>
      <c r="E302">
        <v>10</v>
      </c>
      <c r="F302">
        <v>1195.51</v>
      </c>
      <c r="G302">
        <v>480</v>
      </c>
      <c r="H302">
        <v>1440</v>
      </c>
      <c r="I302">
        <v>6.9199999999999998E-2</v>
      </c>
      <c r="J302">
        <v>2447.9299999999998</v>
      </c>
      <c r="K302">
        <v>115129</v>
      </c>
      <c r="L302">
        <v>1537</v>
      </c>
    </row>
    <row r="303" spans="1:12" x14ac:dyDescent="0.35">
      <c r="A303" s="1">
        <v>45593</v>
      </c>
      <c r="B303">
        <v>2024</v>
      </c>
      <c r="C303" t="s">
        <v>24</v>
      </c>
      <c r="D303" t="s">
        <v>25</v>
      </c>
      <c r="E303">
        <v>10</v>
      </c>
      <c r="F303">
        <v>645.37</v>
      </c>
      <c r="G303">
        <v>1096</v>
      </c>
      <c r="H303">
        <v>3288</v>
      </c>
      <c r="I303">
        <v>1.6500000000000001E-2</v>
      </c>
      <c r="J303">
        <v>203.96</v>
      </c>
      <c r="K303">
        <v>34841</v>
      </c>
      <c r="L303">
        <v>1075</v>
      </c>
    </row>
    <row r="304" spans="1:12" x14ac:dyDescent="0.35">
      <c r="A304" s="1">
        <v>45594</v>
      </c>
      <c r="B304">
        <v>2024</v>
      </c>
      <c r="C304" t="s">
        <v>24</v>
      </c>
      <c r="D304" t="s">
        <v>25</v>
      </c>
      <c r="E304">
        <v>10</v>
      </c>
      <c r="F304">
        <v>1532.83</v>
      </c>
      <c r="G304">
        <v>419</v>
      </c>
      <c r="H304">
        <v>1676</v>
      </c>
      <c r="I304">
        <v>4.9500000000000002E-2</v>
      </c>
      <c r="J304">
        <v>794.35</v>
      </c>
      <c r="K304">
        <v>28928</v>
      </c>
      <c r="L304">
        <v>75</v>
      </c>
    </row>
    <row r="305" spans="1:12" x14ac:dyDescent="0.35">
      <c r="A305" s="1">
        <v>45595</v>
      </c>
      <c r="B305">
        <v>2024</v>
      </c>
      <c r="C305" t="s">
        <v>24</v>
      </c>
      <c r="D305" t="s">
        <v>25</v>
      </c>
      <c r="E305">
        <v>10</v>
      </c>
      <c r="F305">
        <v>1373.95</v>
      </c>
      <c r="G305">
        <v>1094</v>
      </c>
      <c r="H305">
        <v>6564</v>
      </c>
      <c r="I305">
        <v>7.0000000000000007E-2</v>
      </c>
      <c r="J305">
        <v>647.36</v>
      </c>
      <c r="K305">
        <v>31167</v>
      </c>
      <c r="L305">
        <v>49</v>
      </c>
    </row>
    <row r="306" spans="1:12" x14ac:dyDescent="0.35">
      <c r="A306" s="1">
        <v>45596</v>
      </c>
      <c r="B306">
        <v>2024</v>
      </c>
      <c r="C306" t="s">
        <v>24</v>
      </c>
      <c r="D306" t="s">
        <v>25</v>
      </c>
      <c r="E306">
        <v>10</v>
      </c>
      <c r="F306">
        <v>785.15</v>
      </c>
      <c r="G306">
        <v>699</v>
      </c>
      <c r="H306">
        <v>1398</v>
      </c>
      <c r="I306">
        <v>4.1500000000000002E-2</v>
      </c>
      <c r="J306">
        <v>582.12</v>
      </c>
      <c r="K306">
        <v>38327</v>
      </c>
      <c r="L306">
        <v>1651</v>
      </c>
    </row>
    <row r="307" spans="1:12" x14ac:dyDescent="0.35">
      <c r="A307" s="1">
        <v>45597</v>
      </c>
      <c r="B307">
        <v>2024</v>
      </c>
      <c r="C307" t="s">
        <v>24</v>
      </c>
      <c r="D307" t="s">
        <v>26</v>
      </c>
      <c r="E307">
        <v>11</v>
      </c>
      <c r="F307">
        <v>893.61</v>
      </c>
      <c r="G307">
        <v>561</v>
      </c>
      <c r="H307">
        <v>2805</v>
      </c>
      <c r="I307">
        <v>7.1400000000000005E-2</v>
      </c>
      <c r="J307">
        <v>2775.09</v>
      </c>
      <c r="K307">
        <v>85117</v>
      </c>
      <c r="L307">
        <v>3425</v>
      </c>
    </row>
    <row r="308" spans="1:12" x14ac:dyDescent="0.35">
      <c r="A308" s="1">
        <v>45598</v>
      </c>
      <c r="B308">
        <v>2024</v>
      </c>
      <c r="C308" t="s">
        <v>24</v>
      </c>
      <c r="D308" t="s">
        <v>26</v>
      </c>
      <c r="E308">
        <v>11</v>
      </c>
      <c r="F308">
        <v>361.65</v>
      </c>
      <c r="G308">
        <v>762</v>
      </c>
      <c r="H308">
        <v>4572</v>
      </c>
      <c r="I308">
        <v>4.3099999999999999E-2</v>
      </c>
      <c r="J308">
        <v>1060.29</v>
      </c>
      <c r="K308">
        <v>20576</v>
      </c>
      <c r="L308">
        <v>205</v>
      </c>
    </row>
    <row r="309" spans="1:12" x14ac:dyDescent="0.35">
      <c r="A309" s="1">
        <v>45599</v>
      </c>
      <c r="B309">
        <v>2024</v>
      </c>
      <c r="C309" t="s">
        <v>24</v>
      </c>
      <c r="D309" t="s">
        <v>26</v>
      </c>
      <c r="E309">
        <v>11</v>
      </c>
      <c r="F309">
        <v>1421.09</v>
      </c>
      <c r="G309">
        <v>332</v>
      </c>
      <c r="H309">
        <v>1992</v>
      </c>
      <c r="I309">
        <v>1.4500000000000001E-2</v>
      </c>
      <c r="J309">
        <v>0</v>
      </c>
      <c r="K309">
        <v>0</v>
      </c>
      <c r="L309">
        <v>0</v>
      </c>
    </row>
    <row r="310" spans="1:12" x14ac:dyDescent="0.35">
      <c r="A310" s="1">
        <v>45600</v>
      </c>
      <c r="B310">
        <v>2024</v>
      </c>
      <c r="C310" t="s">
        <v>24</v>
      </c>
      <c r="D310" t="s">
        <v>26</v>
      </c>
      <c r="E310">
        <v>11</v>
      </c>
      <c r="F310">
        <v>727.01</v>
      </c>
      <c r="G310">
        <v>692</v>
      </c>
      <c r="H310">
        <v>2768</v>
      </c>
      <c r="I310">
        <v>0.05</v>
      </c>
      <c r="J310">
        <v>942.57</v>
      </c>
      <c r="K310">
        <v>14681</v>
      </c>
      <c r="L310">
        <v>632</v>
      </c>
    </row>
    <row r="311" spans="1:12" x14ac:dyDescent="0.35">
      <c r="A311" s="1">
        <v>45601</v>
      </c>
      <c r="B311">
        <v>2024</v>
      </c>
      <c r="C311" t="s">
        <v>24</v>
      </c>
      <c r="D311" t="s">
        <v>26</v>
      </c>
      <c r="E311">
        <v>11</v>
      </c>
      <c r="F311">
        <v>1788.79</v>
      </c>
      <c r="G311">
        <v>276</v>
      </c>
      <c r="H311">
        <v>552</v>
      </c>
      <c r="I311">
        <v>2.64E-2</v>
      </c>
      <c r="J311">
        <v>3014.09</v>
      </c>
      <c r="K311">
        <v>88637</v>
      </c>
      <c r="L311">
        <v>995</v>
      </c>
    </row>
    <row r="312" spans="1:12" x14ac:dyDescent="0.35">
      <c r="A312" s="1">
        <v>45602</v>
      </c>
      <c r="B312">
        <v>2024</v>
      </c>
      <c r="C312" t="s">
        <v>24</v>
      </c>
      <c r="D312" t="s">
        <v>26</v>
      </c>
      <c r="E312">
        <v>11</v>
      </c>
      <c r="F312">
        <v>2080.89</v>
      </c>
      <c r="G312">
        <v>940</v>
      </c>
      <c r="H312">
        <v>5640</v>
      </c>
      <c r="I312">
        <v>4.9000000000000002E-2</v>
      </c>
      <c r="J312">
        <v>230.67</v>
      </c>
      <c r="K312">
        <v>8636</v>
      </c>
      <c r="L312">
        <v>708</v>
      </c>
    </row>
    <row r="313" spans="1:12" x14ac:dyDescent="0.35">
      <c r="A313" s="1">
        <v>45603</v>
      </c>
      <c r="B313">
        <v>2024</v>
      </c>
      <c r="C313" t="s">
        <v>24</v>
      </c>
      <c r="D313" t="s">
        <v>26</v>
      </c>
      <c r="E313">
        <v>11</v>
      </c>
      <c r="F313">
        <v>1621.66</v>
      </c>
      <c r="G313">
        <v>271</v>
      </c>
      <c r="H313">
        <v>1084</v>
      </c>
      <c r="I313">
        <v>4.8300000000000003E-2</v>
      </c>
      <c r="J313">
        <v>1703.87</v>
      </c>
      <c r="K313">
        <v>75536</v>
      </c>
      <c r="L313">
        <v>4735</v>
      </c>
    </row>
    <row r="314" spans="1:12" x14ac:dyDescent="0.35">
      <c r="A314" s="1">
        <v>45604</v>
      </c>
      <c r="B314">
        <v>2024</v>
      </c>
      <c r="C314" t="s">
        <v>24</v>
      </c>
      <c r="D314" t="s">
        <v>26</v>
      </c>
      <c r="E314">
        <v>11</v>
      </c>
      <c r="F314">
        <v>900.01</v>
      </c>
      <c r="G314">
        <v>1031</v>
      </c>
      <c r="H314">
        <v>3093</v>
      </c>
      <c r="I314">
        <v>4.1599999999999998E-2</v>
      </c>
      <c r="J314">
        <v>197.96</v>
      </c>
      <c r="K314">
        <v>8336</v>
      </c>
      <c r="L314">
        <v>836</v>
      </c>
    </row>
    <row r="315" spans="1:12" x14ac:dyDescent="0.35">
      <c r="A315" s="1">
        <v>45605</v>
      </c>
      <c r="B315">
        <v>2024</v>
      </c>
      <c r="C315" t="s">
        <v>24</v>
      </c>
      <c r="D315" t="s">
        <v>26</v>
      </c>
      <c r="E315">
        <v>11</v>
      </c>
      <c r="F315">
        <v>1913.98</v>
      </c>
      <c r="G315">
        <v>917</v>
      </c>
      <c r="H315">
        <v>4585</v>
      </c>
      <c r="I315">
        <v>6.9699999999999998E-2</v>
      </c>
      <c r="J315">
        <v>1633.67</v>
      </c>
      <c r="K315">
        <v>43013</v>
      </c>
      <c r="L315">
        <v>1485</v>
      </c>
    </row>
    <row r="316" spans="1:12" x14ac:dyDescent="0.35">
      <c r="A316" s="1">
        <v>45606</v>
      </c>
      <c r="B316">
        <v>2024</v>
      </c>
      <c r="C316" t="s">
        <v>24</v>
      </c>
      <c r="D316" t="s">
        <v>26</v>
      </c>
      <c r="E316">
        <v>11</v>
      </c>
      <c r="F316">
        <v>634.85</v>
      </c>
      <c r="G316">
        <v>435</v>
      </c>
      <c r="H316">
        <v>2610</v>
      </c>
      <c r="I316">
        <v>3.95E-2</v>
      </c>
      <c r="J316">
        <v>1837.93</v>
      </c>
      <c r="K316">
        <v>65263</v>
      </c>
      <c r="L316">
        <v>1968</v>
      </c>
    </row>
    <row r="317" spans="1:12" x14ac:dyDescent="0.35">
      <c r="A317" s="1">
        <v>45607</v>
      </c>
      <c r="B317">
        <v>2024</v>
      </c>
      <c r="C317" t="s">
        <v>24</v>
      </c>
      <c r="D317" t="s">
        <v>26</v>
      </c>
      <c r="E317">
        <v>11</v>
      </c>
      <c r="F317">
        <v>699.68</v>
      </c>
      <c r="G317">
        <v>1083</v>
      </c>
      <c r="H317">
        <v>5415</v>
      </c>
      <c r="I317">
        <v>7.3099999999999998E-2</v>
      </c>
      <c r="J317">
        <v>1038.96</v>
      </c>
      <c r="K317">
        <v>7681</v>
      </c>
      <c r="L317">
        <v>235</v>
      </c>
    </row>
    <row r="318" spans="1:12" x14ac:dyDescent="0.35">
      <c r="A318" s="1">
        <v>45608</v>
      </c>
      <c r="B318">
        <v>2024</v>
      </c>
      <c r="C318" t="s">
        <v>24</v>
      </c>
      <c r="D318" t="s">
        <v>26</v>
      </c>
      <c r="E318">
        <v>11</v>
      </c>
      <c r="F318">
        <v>525.88</v>
      </c>
      <c r="G318">
        <v>731</v>
      </c>
      <c r="H318">
        <v>2924</v>
      </c>
      <c r="I318">
        <v>3.7699999999999997E-2</v>
      </c>
      <c r="J318">
        <v>5039.82</v>
      </c>
      <c r="K318">
        <v>206265</v>
      </c>
      <c r="L318">
        <v>4958</v>
      </c>
    </row>
    <row r="319" spans="1:12" x14ac:dyDescent="0.35">
      <c r="A319" s="1">
        <v>45609</v>
      </c>
      <c r="B319">
        <v>2024</v>
      </c>
      <c r="C319" t="s">
        <v>24</v>
      </c>
      <c r="D319" t="s">
        <v>26</v>
      </c>
      <c r="E319">
        <v>11</v>
      </c>
      <c r="F319">
        <v>567.5</v>
      </c>
      <c r="G319">
        <v>578</v>
      </c>
      <c r="H319">
        <v>1156</v>
      </c>
      <c r="I319">
        <v>6.6000000000000003E-2</v>
      </c>
      <c r="J319">
        <v>1848.85</v>
      </c>
      <c r="K319">
        <v>49404</v>
      </c>
      <c r="L319">
        <v>2427</v>
      </c>
    </row>
    <row r="320" spans="1:12" x14ac:dyDescent="0.35">
      <c r="A320" s="1">
        <v>45610</v>
      </c>
      <c r="B320">
        <v>2024</v>
      </c>
      <c r="C320" t="s">
        <v>24</v>
      </c>
      <c r="D320" t="s">
        <v>26</v>
      </c>
      <c r="E320">
        <v>11</v>
      </c>
      <c r="F320">
        <v>463.97</v>
      </c>
      <c r="G320">
        <v>587</v>
      </c>
      <c r="H320">
        <v>2935</v>
      </c>
      <c r="I320">
        <v>5.57E-2</v>
      </c>
      <c r="J320">
        <v>3140.47</v>
      </c>
      <c r="K320">
        <v>126967</v>
      </c>
      <c r="L320">
        <v>4269</v>
      </c>
    </row>
    <row r="321" spans="1:12" x14ac:dyDescent="0.35">
      <c r="A321" s="1">
        <v>45611</v>
      </c>
      <c r="B321">
        <v>2024</v>
      </c>
      <c r="C321" t="s">
        <v>24</v>
      </c>
      <c r="D321" t="s">
        <v>26</v>
      </c>
      <c r="E321">
        <v>11</v>
      </c>
      <c r="F321">
        <v>469.88</v>
      </c>
      <c r="G321">
        <v>545</v>
      </c>
      <c r="H321">
        <v>2725</v>
      </c>
      <c r="I321">
        <v>6.3299999999999995E-2</v>
      </c>
      <c r="J321">
        <v>0</v>
      </c>
      <c r="K321">
        <v>0</v>
      </c>
      <c r="L321">
        <v>0</v>
      </c>
    </row>
    <row r="322" spans="1:12" x14ac:dyDescent="0.35">
      <c r="A322" s="1">
        <v>45612</v>
      </c>
      <c r="B322">
        <v>2024</v>
      </c>
      <c r="C322" t="s">
        <v>24</v>
      </c>
      <c r="D322" t="s">
        <v>26</v>
      </c>
      <c r="E322">
        <v>11</v>
      </c>
      <c r="F322">
        <v>1343.51</v>
      </c>
      <c r="G322">
        <v>813</v>
      </c>
      <c r="H322">
        <v>1626</v>
      </c>
      <c r="I322">
        <v>4.07E-2</v>
      </c>
      <c r="J322">
        <v>732.88</v>
      </c>
      <c r="K322">
        <v>14815</v>
      </c>
      <c r="L322">
        <v>967</v>
      </c>
    </row>
    <row r="323" spans="1:12" x14ac:dyDescent="0.35">
      <c r="A323" s="1">
        <v>45613</v>
      </c>
      <c r="B323">
        <v>2024</v>
      </c>
      <c r="C323" t="s">
        <v>24</v>
      </c>
      <c r="D323" t="s">
        <v>26</v>
      </c>
      <c r="E323">
        <v>11</v>
      </c>
      <c r="F323">
        <v>986.62</v>
      </c>
      <c r="G323">
        <v>572</v>
      </c>
      <c r="H323">
        <v>2288</v>
      </c>
      <c r="I323">
        <v>3.2399999999999998E-2</v>
      </c>
      <c r="J323">
        <v>1009.22</v>
      </c>
      <c r="K323">
        <v>18900</v>
      </c>
      <c r="L323">
        <v>684</v>
      </c>
    </row>
    <row r="324" spans="1:12" x14ac:dyDescent="0.35">
      <c r="A324" s="1">
        <v>45614</v>
      </c>
      <c r="B324">
        <v>2024</v>
      </c>
      <c r="C324" t="s">
        <v>24</v>
      </c>
      <c r="D324" t="s">
        <v>26</v>
      </c>
      <c r="E324">
        <v>11</v>
      </c>
      <c r="F324">
        <v>962.59</v>
      </c>
      <c r="G324">
        <v>1041</v>
      </c>
      <c r="H324">
        <v>5205</v>
      </c>
      <c r="I324">
        <v>6.6500000000000004E-2</v>
      </c>
      <c r="J324">
        <v>1172.8499999999999</v>
      </c>
      <c r="K324">
        <v>41697</v>
      </c>
      <c r="L324">
        <v>1789</v>
      </c>
    </row>
    <row r="325" spans="1:12" x14ac:dyDescent="0.35">
      <c r="A325" s="1">
        <v>45615</v>
      </c>
      <c r="B325">
        <v>2024</v>
      </c>
      <c r="C325" t="s">
        <v>24</v>
      </c>
      <c r="D325" t="s">
        <v>26</v>
      </c>
      <c r="E325">
        <v>11</v>
      </c>
      <c r="F325">
        <v>1699.88</v>
      </c>
      <c r="G325">
        <v>1094</v>
      </c>
      <c r="H325">
        <v>2188</v>
      </c>
      <c r="I325">
        <v>5.3400000000000003E-2</v>
      </c>
      <c r="J325">
        <v>125.8</v>
      </c>
      <c r="K325">
        <v>8193</v>
      </c>
      <c r="L325">
        <v>1172</v>
      </c>
    </row>
    <row r="326" spans="1:12" x14ac:dyDescent="0.35">
      <c r="A326" s="1">
        <v>45616</v>
      </c>
      <c r="B326">
        <v>2024</v>
      </c>
      <c r="C326" t="s">
        <v>24</v>
      </c>
      <c r="D326" t="s">
        <v>26</v>
      </c>
      <c r="E326">
        <v>11</v>
      </c>
      <c r="F326">
        <v>375.76</v>
      </c>
      <c r="G326">
        <v>805</v>
      </c>
      <c r="H326">
        <v>4025</v>
      </c>
      <c r="I326">
        <v>3.7999999999999999E-2</v>
      </c>
      <c r="J326">
        <v>1494.54</v>
      </c>
      <c r="K326">
        <v>92602</v>
      </c>
      <c r="L326">
        <v>2608</v>
      </c>
    </row>
    <row r="327" spans="1:12" x14ac:dyDescent="0.35">
      <c r="A327" s="1">
        <v>45617</v>
      </c>
      <c r="B327">
        <v>2024</v>
      </c>
      <c r="C327" t="s">
        <v>24</v>
      </c>
      <c r="D327" t="s">
        <v>26</v>
      </c>
      <c r="E327">
        <v>11</v>
      </c>
      <c r="F327">
        <v>1086.8</v>
      </c>
      <c r="G327">
        <v>442</v>
      </c>
      <c r="H327">
        <v>2652</v>
      </c>
      <c r="I327">
        <v>3.4799999999999998E-2</v>
      </c>
      <c r="J327">
        <v>3180.05</v>
      </c>
      <c r="K327">
        <v>94536</v>
      </c>
      <c r="L327">
        <v>4841</v>
      </c>
    </row>
    <row r="328" spans="1:12" x14ac:dyDescent="0.35">
      <c r="A328" s="1">
        <v>45618</v>
      </c>
      <c r="B328">
        <v>2024</v>
      </c>
      <c r="C328" t="s">
        <v>24</v>
      </c>
      <c r="D328" t="s">
        <v>26</v>
      </c>
      <c r="E328">
        <v>11</v>
      </c>
      <c r="F328">
        <v>1341.79</v>
      </c>
      <c r="G328">
        <v>1024</v>
      </c>
      <c r="H328">
        <v>5120</v>
      </c>
      <c r="I328">
        <v>5.1400000000000001E-2</v>
      </c>
      <c r="J328">
        <v>3015.14</v>
      </c>
      <c r="K328">
        <v>103764</v>
      </c>
      <c r="L328">
        <v>3686</v>
      </c>
    </row>
    <row r="329" spans="1:12" x14ac:dyDescent="0.35">
      <c r="A329" s="1">
        <v>45619</v>
      </c>
      <c r="B329">
        <v>2024</v>
      </c>
      <c r="C329" t="s">
        <v>24</v>
      </c>
      <c r="D329" t="s">
        <v>26</v>
      </c>
      <c r="E329">
        <v>11</v>
      </c>
      <c r="F329">
        <v>953.29</v>
      </c>
      <c r="G329">
        <v>1028</v>
      </c>
      <c r="H329">
        <v>2056</v>
      </c>
      <c r="I329">
        <v>2.4799999999999999E-2</v>
      </c>
      <c r="J329">
        <v>613.55999999999995</v>
      </c>
      <c r="K329">
        <v>89946</v>
      </c>
      <c r="L329">
        <v>1580</v>
      </c>
    </row>
    <row r="330" spans="1:12" x14ac:dyDescent="0.35">
      <c r="A330" s="1">
        <v>45620</v>
      </c>
      <c r="B330">
        <v>2024</v>
      </c>
      <c r="C330" t="s">
        <v>24</v>
      </c>
      <c r="D330" t="s">
        <v>26</v>
      </c>
      <c r="E330">
        <v>11</v>
      </c>
      <c r="F330">
        <v>667.32</v>
      </c>
      <c r="G330">
        <v>812</v>
      </c>
      <c r="H330">
        <v>2436</v>
      </c>
      <c r="I330">
        <v>7.0400000000000004E-2</v>
      </c>
      <c r="J330">
        <v>1428.76</v>
      </c>
      <c r="K330">
        <v>77705</v>
      </c>
      <c r="L330">
        <v>1629</v>
      </c>
    </row>
    <row r="331" spans="1:12" x14ac:dyDescent="0.35">
      <c r="A331" s="1">
        <v>45621</v>
      </c>
      <c r="B331">
        <v>2024</v>
      </c>
      <c r="C331" t="s">
        <v>24</v>
      </c>
      <c r="D331" t="s">
        <v>26</v>
      </c>
      <c r="E331">
        <v>11</v>
      </c>
      <c r="F331">
        <v>2664.49</v>
      </c>
      <c r="G331">
        <v>698</v>
      </c>
      <c r="H331">
        <v>3490</v>
      </c>
      <c r="I331">
        <v>1.9599999999999999E-2</v>
      </c>
      <c r="J331">
        <v>1935.63</v>
      </c>
      <c r="K331">
        <v>74959</v>
      </c>
      <c r="L331">
        <v>3550</v>
      </c>
    </row>
    <row r="332" spans="1:12" x14ac:dyDescent="0.35">
      <c r="A332" s="1">
        <v>45622</v>
      </c>
      <c r="B332">
        <v>2024</v>
      </c>
      <c r="C332" t="s">
        <v>24</v>
      </c>
      <c r="D332" t="s">
        <v>26</v>
      </c>
      <c r="E332">
        <v>11</v>
      </c>
      <c r="F332">
        <v>1919.15</v>
      </c>
      <c r="G332">
        <v>895</v>
      </c>
      <c r="H332">
        <v>5370</v>
      </c>
      <c r="I332">
        <v>6.2399999999999997E-2</v>
      </c>
      <c r="J332">
        <v>2627.7</v>
      </c>
      <c r="K332">
        <v>145905</v>
      </c>
      <c r="L332">
        <v>3526</v>
      </c>
    </row>
    <row r="333" spans="1:12" x14ac:dyDescent="0.35">
      <c r="A333" s="1">
        <v>45623</v>
      </c>
      <c r="B333">
        <v>2024</v>
      </c>
      <c r="C333" t="s">
        <v>24</v>
      </c>
      <c r="D333" t="s">
        <v>26</v>
      </c>
      <c r="E333">
        <v>11</v>
      </c>
      <c r="F333">
        <v>1090.24</v>
      </c>
      <c r="G333">
        <v>976</v>
      </c>
      <c r="H333">
        <v>2928</v>
      </c>
      <c r="I333">
        <v>3.1600000000000003E-2</v>
      </c>
      <c r="J333">
        <v>323.23</v>
      </c>
      <c r="K333">
        <v>20850</v>
      </c>
      <c r="L333">
        <v>1449</v>
      </c>
    </row>
    <row r="334" spans="1:12" x14ac:dyDescent="0.35">
      <c r="A334" s="1">
        <v>45624</v>
      </c>
      <c r="B334">
        <v>2024</v>
      </c>
      <c r="C334" t="s">
        <v>24</v>
      </c>
      <c r="D334" t="s">
        <v>26</v>
      </c>
      <c r="E334">
        <v>11</v>
      </c>
      <c r="F334">
        <v>2688.69</v>
      </c>
      <c r="G334">
        <v>264</v>
      </c>
      <c r="H334">
        <v>1584</v>
      </c>
      <c r="I334">
        <v>3.7699999999999997E-2</v>
      </c>
      <c r="J334">
        <v>1589.57</v>
      </c>
      <c r="K334">
        <v>54755</v>
      </c>
      <c r="L334">
        <v>798</v>
      </c>
    </row>
    <row r="335" spans="1:12" x14ac:dyDescent="0.35">
      <c r="A335" s="1">
        <v>45625</v>
      </c>
      <c r="B335">
        <v>2024</v>
      </c>
      <c r="C335" t="s">
        <v>24</v>
      </c>
      <c r="D335" t="s">
        <v>26</v>
      </c>
      <c r="E335">
        <v>11</v>
      </c>
      <c r="F335">
        <v>1233.73</v>
      </c>
      <c r="G335">
        <v>480</v>
      </c>
      <c r="H335">
        <v>960</v>
      </c>
      <c r="I335">
        <v>4.1099999999999998E-2</v>
      </c>
      <c r="J335">
        <v>919.3</v>
      </c>
      <c r="K335">
        <v>20824</v>
      </c>
      <c r="L335">
        <v>687</v>
      </c>
    </row>
    <row r="336" spans="1:12" x14ac:dyDescent="0.35">
      <c r="A336" s="1">
        <v>45626</v>
      </c>
      <c r="B336">
        <v>2024</v>
      </c>
      <c r="C336" t="s">
        <v>24</v>
      </c>
      <c r="D336" t="s">
        <v>26</v>
      </c>
      <c r="E336">
        <v>11</v>
      </c>
      <c r="F336">
        <v>1534.75</v>
      </c>
      <c r="G336">
        <v>370</v>
      </c>
      <c r="H336">
        <v>1110</v>
      </c>
      <c r="I336">
        <v>4.3400000000000001E-2</v>
      </c>
      <c r="J336">
        <v>1217.53</v>
      </c>
      <c r="K336">
        <v>86978</v>
      </c>
      <c r="L336">
        <v>3499</v>
      </c>
    </row>
    <row r="337" spans="1:12" x14ac:dyDescent="0.35">
      <c r="A337" s="1">
        <v>45627</v>
      </c>
      <c r="B337">
        <v>2024</v>
      </c>
      <c r="C337" t="s">
        <v>24</v>
      </c>
      <c r="D337" t="s">
        <v>27</v>
      </c>
      <c r="E337">
        <v>12</v>
      </c>
      <c r="F337">
        <v>1948.62</v>
      </c>
      <c r="G337">
        <v>983</v>
      </c>
      <c r="H337">
        <v>3932</v>
      </c>
      <c r="I337">
        <v>4.41E-2</v>
      </c>
      <c r="J337">
        <v>1717.71</v>
      </c>
      <c r="K337">
        <v>79983</v>
      </c>
      <c r="L337">
        <v>4199</v>
      </c>
    </row>
    <row r="338" spans="1:12" x14ac:dyDescent="0.35">
      <c r="A338" s="1">
        <v>45628</v>
      </c>
      <c r="B338">
        <v>2024</v>
      </c>
      <c r="C338" t="s">
        <v>24</v>
      </c>
      <c r="D338" t="s">
        <v>27</v>
      </c>
      <c r="E338">
        <v>12</v>
      </c>
      <c r="F338">
        <v>1149.57</v>
      </c>
      <c r="G338">
        <v>529</v>
      </c>
      <c r="H338">
        <v>2645</v>
      </c>
      <c r="I338">
        <v>6.4600000000000005E-2</v>
      </c>
      <c r="J338">
        <v>1572.17</v>
      </c>
      <c r="K338">
        <v>109532</v>
      </c>
      <c r="L338">
        <v>829</v>
      </c>
    </row>
    <row r="339" spans="1:12" x14ac:dyDescent="0.35">
      <c r="A339" s="1">
        <v>45629</v>
      </c>
      <c r="B339">
        <v>2024</v>
      </c>
      <c r="C339" t="s">
        <v>24</v>
      </c>
      <c r="D339" t="s">
        <v>27</v>
      </c>
      <c r="E339">
        <v>12</v>
      </c>
      <c r="F339">
        <v>2907.27</v>
      </c>
      <c r="G339">
        <v>733</v>
      </c>
      <c r="H339">
        <v>2199</v>
      </c>
      <c r="I339">
        <v>4.0800000000000003E-2</v>
      </c>
      <c r="J339">
        <v>1133.74</v>
      </c>
      <c r="K339">
        <v>53762</v>
      </c>
      <c r="L339">
        <v>2261</v>
      </c>
    </row>
    <row r="340" spans="1:12" x14ac:dyDescent="0.35">
      <c r="A340" s="1">
        <v>45630</v>
      </c>
      <c r="B340">
        <v>2024</v>
      </c>
      <c r="C340" t="s">
        <v>24</v>
      </c>
      <c r="D340" t="s">
        <v>27</v>
      </c>
      <c r="E340">
        <v>12</v>
      </c>
      <c r="F340">
        <v>362.62</v>
      </c>
      <c r="G340">
        <v>398</v>
      </c>
      <c r="H340">
        <v>1990</v>
      </c>
      <c r="I340">
        <v>2.4E-2</v>
      </c>
      <c r="J340">
        <v>2612.79</v>
      </c>
      <c r="K340">
        <v>153319</v>
      </c>
      <c r="L340">
        <v>5728</v>
      </c>
    </row>
    <row r="341" spans="1:12" x14ac:dyDescent="0.35">
      <c r="A341" s="1">
        <v>45631</v>
      </c>
      <c r="B341">
        <v>2024</v>
      </c>
      <c r="C341" t="s">
        <v>24</v>
      </c>
      <c r="D341" t="s">
        <v>27</v>
      </c>
      <c r="E341">
        <v>12</v>
      </c>
      <c r="F341">
        <v>799.66</v>
      </c>
      <c r="G341">
        <v>863</v>
      </c>
      <c r="H341">
        <v>5178</v>
      </c>
      <c r="I341">
        <v>5.8999999999999997E-2</v>
      </c>
      <c r="J341">
        <v>1448.7</v>
      </c>
      <c r="K341">
        <v>81256</v>
      </c>
      <c r="L341">
        <v>3526</v>
      </c>
    </row>
    <row r="342" spans="1:12" x14ac:dyDescent="0.35">
      <c r="A342" s="1">
        <v>45632</v>
      </c>
      <c r="B342">
        <v>2024</v>
      </c>
      <c r="C342" t="s">
        <v>24</v>
      </c>
      <c r="D342" t="s">
        <v>27</v>
      </c>
      <c r="E342">
        <v>12</v>
      </c>
      <c r="F342">
        <v>522.36</v>
      </c>
      <c r="G342">
        <v>389</v>
      </c>
      <c r="H342">
        <v>778</v>
      </c>
      <c r="I342">
        <v>2.9399999999999999E-2</v>
      </c>
      <c r="J342">
        <v>2384.37</v>
      </c>
      <c r="K342">
        <v>106574</v>
      </c>
      <c r="L342">
        <v>1847</v>
      </c>
    </row>
    <row r="343" spans="1:12" x14ac:dyDescent="0.35">
      <c r="A343" s="1">
        <v>45633</v>
      </c>
      <c r="B343">
        <v>2024</v>
      </c>
      <c r="C343" t="s">
        <v>24</v>
      </c>
      <c r="D343" t="s">
        <v>27</v>
      </c>
      <c r="E343">
        <v>12</v>
      </c>
      <c r="F343">
        <v>2320.56</v>
      </c>
      <c r="G343">
        <v>1058</v>
      </c>
      <c r="H343">
        <v>5290</v>
      </c>
      <c r="I343">
        <v>3.3399999999999999E-2</v>
      </c>
      <c r="J343">
        <v>1891.92</v>
      </c>
      <c r="K343">
        <v>35520</v>
      </c>
      <c r="L343">
        <v>662</v>
      </c>
    </row>
    <row r="344" spans="1:12" x14ac:dyDescent="0.35">
      <c r="A344" s="1">
        <v>45634</v>
      </c>
      <c r="B344">
        <v>2024</v>
      </c>
      <c r="C344" t="s">
        <v>24</v>
      </c>
      <c r="D344" t="s">
        <v>27</v>
      </c>
      <c r="E344">
        <v>12</v>
      </c>
      <c r="F344">
        <v>482.4</v>
      </c>
      <c r="G344">
        <v>1056</v>
      </c>
      <c r="H344">
        <v>6336</v>
      </c>
      <c r="I344">
        <v>2.8799999999999999E-2</v>
      </c>
      <c r="J344">
        <v>928.99</v>
      </c>
      <c r="K344">
        <v>29026</v>
      </c>
      <c r="L344">
        <v>311</v>
      </c>
    </row>
    <row r="345" spans="1:12" x14ac:dyDescent="0.35">
      <c r="A345" s="1">
        <v>45635</v>
      </c>
      <c r="B345">
        <v>2024</v>
      </c>
      <c r="C345" t="s">
        <v>24</v>
      </c>
      <c r="D345" t="s">
        <v>27</v>
      </c>
      <c r="E345">
        <v>12</v>
      </c>
      <c r="F345">
        <v>1341.45</v>
      </c>
      <c r="G345">
        <v>252</v>
      </c>
      <c r="H345">
        <v>1008</v>
      </c>
      <c r="I345">
        <v>5.7700000000000001E-2</v>
      </c>
      <c r="J345">
        <v>1761.51</v>
      </c>
      <c r="K345">
        <v>125242</v>
      </c>
      <c r="L345">
        <v>3009</v>
      </c>
    </row>
    <row r="346" spans="1:12" x14ac:dyDescent="0.35">
      <c r="A346" s="1">
        <v>45636</v>
      </c>
      <c r="B346">
        <v>2024</v>
      </c>
      <c r="C346" t="s">
        <v>24</v>
      </c>
      <c r="D346" t="s">
        <v>27</v>
      </c>
      <c r="E346">
        <v>12</v>
      </c>
      <c r="F346">
        <v>1581.18</v>
      </c>
      <c r="G346">
        <v>1107</v>
      </c>
      <c r="H346">
        <v>6642</v>
      </c>
      <c r="I346">
        <v>4.8500000000000001E-2</v>
      </c>
      <c r="J346">
        <v>2181.6999999999998</v>
      </c>
      <c r="K346">
        <v>102348</v>
      </c>
      <c r="L346">
        <v>2363</v>
      </c>
    </row>
    <row r="347" spans="1:12" x14ac:dyDescent="0.35">
      <c r="A347" s="1">
        <v>45637</v>
      </c>
      <c r="B347">
        <v>2024</v>
      </c>
      <c r="C347" t="s">
        <v>24</v>
      </c>
      <c r="D347" t="s">
        <v>27</v>
      </c>
      <c r="E347">
        <v>12</v>
      </c>
      <c r="F347">
        <v>961.83</v>
      </c>
      <c r="G347">
        <v>925</v>
      </c>
      <c r="H347">
        <v>4625</v>
      </c>
      <c r="I347">
        <v>6.6500000000000004E-2</v>
      </c>
      <c r="J347">
        <v>0</v>
      </c>
      <c r="K347">
        <v>0</v>
      </c>
      <c r="L347">
        <v>0</v>
      </c>
    </row>
    <row r="348" spans="1:12" x14ac:dyDescent="0.35">
      <c r="A348" s="1">
        <v>45638</v>
      </c>
      <c r="B348">
        <v>2024</v>
      </c>
      <c r="C348" t="s">
        <v>24</v>
      </c>
      <c r="D348" t="s">
        <v>27</v>
      </c>
      <c r="E348">
        <v>12</v>
      </c>
      <c r="F348">
        <v>1021.68</v>
      </c>
      <c r="G348">
        <v>707</v>
      </c>
      <c r="H348">
        <v>4242</v>
      </c>
      <c r="I348">
        <v>4.2500000000000003E-2</v>
      </c>
      <c r="J348">
        <v>2367.5500000000002</v>
      </c>
      <c r="K348">
        <v>58694</v>
      </c>
      <c r="L348">
        <v>4554</v>
      </c>
    </row>
    <row r="349" spans="1:12" x14ac:dyDescent="0.35">
      <c r="A349" s="1">
        <v>45639</v>
      </c>
      <c r="B349">
        <v>2024</v>
      </c>
      <c r="C349" t="s">
        <v>24</v>
      </c>
      <c r="D349" t="s">
        <v>27</v>
      </c>
      <c r="E349">
        <v>12</v>
      </c>
      <c r="F349">
        <v>3831.43</v>
      </c>
      <c r="G349">
        <v>590</v>
      </c>
      <c r="H349">
        <v>3540</v>
      </c>
      <c r="I349">
        <v>6.0100000000000001E-2</v>
      </c>
      <c r="J349">
        <v>3057.63</v>
      </c>
      <c r="K349">
        <v>101610</v>
      </c>
      <c r="L349">
        <v>3390</v>
      </c>
    </row>
    <row r="350" spans="1:12" x14ac:dyDescent="0.35">
      <c r="A350" s="1">
        <v>45640</v>
      </c>
      <c r="B350">
        <v>2024</v>
      </c>
      <c r="C350" t="s">
        <v>24</v>
      </c>
      <c r="D350" t="s">
        <v>27</v>
      </c>
      <c r="E350">
        <v>12</v>
      </c>
      <c r="F350">
        <v>1585.63</v>
      </c>
      <c r="G350">
        <v>636</v>
      </c>
      <c r="H350">
        <v>3180</v>
      </c>
      <c r="I350">
        <v>7.0800000000000002E-2</v>
      </c>
      <c r="J350">
        <v>0</v>
      </c>
      <c r="K350">
        <v>0</v>
      </c>
      <c r="L350">
        <v>0</v>
      </c>
    </row>
    <row r="351" spans="1:12" x14ac:dyDescent="0.35">
      <c r="A351" s="1">
        <v>45641</v>
      </c>
      <c r="B351">
        <v>2024</v>
      </c>
      <c r="C351" t="s">
        <v>24</v>
      </c>
      <c r="D351" t="s">
        <v>27</v>
      </c>
      <c r="E351">
        <v>12</v>
      </c>
      <c r="F351">
        <v>1489.09</v>
      </c>
      <c r="G351">
        <v>1140</v>
      </c>
      <c r="H351">
        <v>3420</v>
      </c>
      <c r="I351">
        <v>7.3800000000000004E-2</v>
      </c>
      <c r="J351">
        <v>1145.96</v>
      </c>
      <c r="K351">
        <v>32252</v>
      </c>
      <c r="L351">
        <v>1480</v>
      </c>
    </row>
    <row r="352" spans="1:12" x14ac:dyDescent="0.35">
      <c r="A352" s="1">
        <v>45642</v>
      </c>
      <c r="B352">
        <v>2024</v>
      </c>
      <c r="C352" t="s">
        <v>24</v>
      </c>
      <c r="D352" t="s">
        <v>27</v>
      </c>
      <c r="E352">
        <v>12</v>
      </c>
      <c r="F352">
        <v>1157.31</v>
      </c>
      <c r="G352">
        <v>494</v>
      </c>
      <c r="H352">
        <v>2964</v>
      </c>
      <c r="I352">
        <v>3.61E-2</v>
      </c>
      <c r="J352">
        <v>3140.45</v>
      </c>
      <c r="K352">
        <v>83477</v>
      </c>
      <c r="L352">
        <v>2964</v>
      </c>
    </row>
    <row r="353" spans="1:12" x14ac:dyDescent="0.35">
      <c r="A353" s="1">
        <v>45643</v>
      </c>
      <c r="B353">
        <v>2024</v>
      </c>
      <c r="C353" t="s">
        <v>24</v>
      </c>
      <c r="D353" t="s">
        <v>27</v>
      </c>
      <c r="E353">
        <v>12</v>
      </c>
      <c r="F353">
        <v>480.5</v>
      </c>
      <c r="G353">
        <v>1126</v>
      </c>
      <c r="H353">
        <v>5630</v>
      </c>
      <c r="I353">
        <v>1.47E-2</v>
      </c>
      <c r="J353">
        <v>364.25</v>
      </c>
      <c r="K353">
        <v>14424</v>
      </c>
      <c r="L353">
        <v>1886</v>
      </c>
    </row>
    <row r="354" spans="1:12" x14ac:dyDescent="0.35">
      <c r="A354" s="1">
        <v>45644</v>
      </c>
      <c r="B354">
        <v>2024</v>
      </c>
      <c r="C354" t="s">
        <v>24</v>
      </c>
      <c r="D354" t="s">
        <v>27</v>
      </c>
      <c r="E354">
        <v>12</v>
      </c>
      <c r="F354">
        <v>1115.43</v>
      </c>
      <c r="G354">
        <v>1012</v>
      </c>
      <c r="H354">
        <v>5060</v>
      </c>
      <c r="I354">
        <v>5.6399999999999999E-2</v>
      </c>
      <c r="J354">
        <v>2804.66</v>
      </c>
      <c r="K354">
        <v>93183</v>
      </c>
      <c r="L354">
        <v>1997</v>
      </c>
    </row>
    <row r="355" spans="1:12" x14ac:dyDescent="0.35">
      <c r="A355" s="1">
        <v>45645</v>
      </c>
      <c r="B355">
        <v>2024</v>
      </c>
      <c r="C355" t="s">
        <v>24</v>
      </c>
      <c r="D355" t="s">
        <v>27</v>
      </c>
      <c r="E355">
        <v>12</v>
      </c>
      <c r="F355">
        <v>1329.9</v>
      </c>
      <c r="G355">
        <v>1080</v>
      </c>
      <c r="H355">
        <v>5400</v>
      </c>
      <c r="I355">
        <v>3.6299999999999999E-2</v>
      </c>
      <c r="J355">
        <v>299.86</v>
      </c>
      <c r="K355">
        <v>31143</v>
      </c>
      <c r="L355">
        <v>513</v>
      </c>
    </row>
    <row r="356" spans="1:12" x14ac:dyDescent="0.35">
      <c r="A356" s="1">
        <v>45646</v>
      </c>
      <c r="B356">
        <v>2024</v>
      </c>
      <c r="C356" t="s">
        <v>24</v>
      </c>
      <c r="D356" t="s">
        <v>27</v>
      </c>
      <c r="E356">
        <v>12</v>
      </c>
      <c r="F356">
        <v>1598.42</v>
      </c>
      <c r="G356">
        <v>929</v>
      </c>
      <c r="H356">
        <v>2787</v>
      </c>
      <c r="I356">
        <v>4.3200000000000002E-2</v>
      </c>
      <c r="J356">
        <v>2778.59</v>
      </c>
      <c r="K356">
        <v>81056</v>
      </c>
      <c r="L356">
        <v>3447</v>
      </c>
    </row>
    <row r="357" spans="1:12" x14ac:dyDescent="0.35">
      <c r="A357" s="1">
        <v>45647</v>
      </c>
      <c r="B357">
        <v>2024</v>
      </c>
      <c r="C357" t="s">
        <v>24</v>
      </c>
      <c r="D357" t="s">
        <v>27</v>
      </c>
      <c r="E357">
        <v>12</v>
      </c>
      <c r="F357">
        <v>881.83</v>
      </c>
      <c r="G357">
        <v>287</v>
      </c>
      <c r="H357">
        <v>861</v>
      </c>
      <c r="I357">
        <v>4.36E-2</v>
      </c>
      <c r="J357">
        <v>1571.84</v>
      </c>
      <c r="K357">
        <v>26618</v>
      </c>
      <c r="L357">
        <v>1512</v>
      </c>
    </row>
    <row r="358" spans="1:12" x14ac:dyDescent="0.35">
      <c r="A358" s="1">
        <v>45648</v>
      </c>
      <c r="B358">
        <v>2024</v>
      </c>
      <c r="C358" t="s">
        <v>24</v>
      </c>
      <c r="D358" t="s">
        <v>27</v>
      </c>
      <c r="E358">
        <v>12</v>
      </c>
      <c r="F358">
        <v>1261.6300000000001</v>
      </c>
      <c r="G358">
        <v>854</v>
      </c>
      <c r="H358">
        <v>3416</v>
      </c>
      <c r="I358">
        <v>6.6799999999999998E-2</v>
      </c>
      <c r="J358">
        <v>565.30999999999995</v>
      </c>
      <c r="K358">
        <v>46208</v>
      </c>
      <c r="L358">
        <v>1806</v>
      </c>
    </row>
    <row r="359" spans="1:12" x14ac:dyDescent="0.35">
      <c r="A359" s="1">
        <v>45649</v>
      </c>
      <c r="B359">
        <v>2024</v>
      </c>
      <c r="C359" t="s">
        <v>24</v>
      </c>
      <c r="D359" t="s">
        <v>27</v>
      </c>
      <c r="E359">
        <v>12</v>
      </c>
      <c r="F359">
        <v>779.74</v>
      </c>
      <c r="G359">
        <v>1145</v>
      </c>
      <c r="H359">
        <v>5725</v>
      </c>
      <c r="I359">
        <v>1.83E-2</v>
      </c>
      <c r="J359">
        <v>1101.08</v>
      </c>
      <c r="K359">
        <v>3848</v>
      </c>
      <c r="L359">
        <v>1470</v>
      </c>
    </row>
    <row r="360" spans="1:12" x14ac:dyDescent="0.35">
      <c r="A360" s="1">
        <v>45650</v>
      </c>
      <c r="B360">
        <v>2024</v>
      </c>
      <c r="C360" t="s">
        <v>24</v>
      </c>
      <c r="D360" t="s">
        <v>27</v>
      </c>
      <c r="E360">
        <v>12</v>
      </c>
      <c r="F360">
        <v>2080.59</v>
      </c>
      <c r="G360">
        <v>1182</v>
      </c>
      <c r="H360">
        <v>5910</v>
      </c>
      <c r="I360">
        <v>1.2999999999999999E-2</v>
      </c>
      <c r="J360">
        <v>2564.62</v>
      </c>
      <c r="K360">
        <v>156924</v>
      </c>
      <c r="L360">
        <v>3814</v>
      </c>
    </row>
    <row r="361" spans="1:12" x14ac:dyDescent="0.35">
      <c r="A361" s="1">
        <v>45651</v>
      </c>
      <c r="B361">
        <v>2024</v>
      </c>
      <c r="C361" t="s">
        <v>24</v>
      </c>
      <c r="D361" t="s">
        <v>27</v>
      </c>
      <c r="E361">
        <v>12</v>
      </c>
      <c r="F361">
        <v>455.98</v>
      </c>
      <c r="G361">
        <v>397</v>
      </c>
      <c r="H361">
        <v>1985</v>
      </c>
      <c r="I361">
        <v>6.6900000000000001E-2</v>
      </c>
      <c r="J361">
        <v>1317.03</v>
      </c>
      <c r="K361">
        <v>87966</v>
      </c>
      <c r="L361">
        <v>1653</v>
      </c>
    </row>
    <row r="362" spans="1:12" x14ac:dyDescent="0.35">
      <c r="A362" s="1">
        <v>45652</v>
      </c>
      <c r="B362">
        <v>2024</v>
      </c>
      <c r="C362" t="s">
        <v>24</v>
      </c>
      <c r="D362" t="s">
        <v>27</v>
      </c>
      <c r="E362">
        <v>12</v>
      </c>
      <c r="F362">
        <v>1631.8</v>
      </c>
      <c r="G362">
        <v>408</v>
      </c>
      <c r="H362">
        <v>816</v>
      </c>
      <c r="I362">
        <v>4.1599999999999998E-2</v>
      </c>
      <c r="J362">
        <v>3156.91</v>
      </c>
      <c r="K362">
        <v>181962</v>
      </c>
      <c r="L362">
        <v>5520</v>
      </c>
    </row>
    <row r="363" spans="1:12" x14ac:dyDescent="0.35">
      <c r="A363" s="1">
        <v>45653</v>
      </c>
      <c r="B363">
        <v>2024</v>
      </c>
      <c r="C363" t="s">
        <v>24</v>
      </c>
      <c r="D363" t="s">
        <v>27</v>
      </c>
      <c r="E363">
        <v>12</v>
      </c>
      <c r="F363">
        <v>758.71</v>
      </c>
      <c r="G363">
        <v>521</v>
      </c>
      <c r="H363">
        <v>2084</v>
      </c>
      <c r="I363">
        <v>5.1299999999999998E-2</v>
      </c>
      <c r="J363">
        <v>565.89</v>
      </c>
      <c r="K363">
        <v>2344</v>
      </c>
      <c r="L363">
        <v>192</v>
      </c>
    </row>
    <row r="364" spans="1:12" x14ac:dyDescent="0.35">
      <c r="A364" s="1">
        <v>45654</v>
      </c>
      <c r="B364">
        <v>2024</v>
      </c>
      <c r="C364" t="s">
        <v>24</v>
      </c>
      <c r="D364" t="s">
        <v>27</v>
      </c>
      <c r="E364">
        <v>12</v>
      </c>
      <c r="F364">
        <v>1151.3499999999999</v>
      </c>
      <c r="G364">
        <v>657</v>
      </c>
      <c r="H364">
        <v>1314</v>
      </c>
      <c r="I364">
        <v>6.5699999999999995E-2</v>
      </c>
      <c r="J364">
        <v>1540.26</v>
      </c>
      <c r="K364">
        <v>25156</v>
      </c>
      <c r="L364">
        <v>1640</v>
      </c>
    </row>
    <row r="365" spans="1:12" x14ac:dyDescent="0.35">
      <c r="A365" s="1">
        <v>45655</v>
      </c>
      <c r="B365">
        <v>2024</v>
      </c>
      <c r="C365" t="s">
        <v>24</v>
      </c>
      <c r="D365" t="s">
        <v>27</v>
      </c>
      <c r="E365">
        <v>12</v>
      </c>
      <c r="F365">
        <v>974.35</v>
      </c>
      <c r="G365">
        <v>1122</v>
      </c>
      <c r="H365">
        <v>6732</v>
      </c>
      <c r="I365">
        <v>3.5900000000000001E-2</v>
      </c>
      <c r="J365">
        <v>1000.86</v>
      </c>
      <c r="K365">
        <v>63332</v>
      </c>
      <c r="L365">
        <v>2370</v>
      </c>
    </row>
    <row r="366" spans="1:12" x14ac:dyDescent="0.35">
      <c r="A366" s="1">
        <v>45656</v>
      </c>
      <c r="B366">
        <v>2024</v>
      </c>
      <c r="C366" t="s">
        <v>24</v>
      </c>
      <c r="D366" t="s">
        <v>27</v>
      </c>
      <c r="E366">
        <v>12</v>
      </c>
      <c r="F366">
        <v>1388.13</v>
      </c>
      <c r="G366">
        <v>574</v>
      </c>
      <c r="H366">
        <v>2870</v>
      </c>
      <c r="I366">
        <v>6.7000000000000004E-2</v>
      </c>
      <c r="J366">
        <v>1192.0899999999999</v>
      </c>
      <c r="K366">
        <v>47216</v>
      </c>
      <c r="L366">
        <v>3218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4.5" x14ac:dyDescent="0.35"/>
  <cols>
    <col min="2" max="2" width="12.26953125" customWidth="1"/>
  </cols>
  <sheetData>
    <row r="1" spans="1:2" x14ac:dyDescent="0.35">
      <c r="A1" t="s">
        <v>28</v>
      </c>
      <c r="B1" t="s">
        <v>5</v>
      </c>
    </row>
    <row r="2" spans="1:2" x14ac:dyDescent="0.35">
      <c r="A2" t="s">
        <v>29</v>
      </c>
      <c r="B2">
        <v>21627.46</v>
      </c>
    </row>
    <row r="3" spans="1:2" x14ac:dyDescent="0.35">
      <c r="A3" t="s">
        <v>30</v>
      </c>
      <c r="B3">
        <v>18407.2</v>
      </c>
    </row>
    <row r="4" spans="1:2" x14ac:dyDescent="0.35">
      <c r="A4" t="s">
        <v>31</v>
      </c>
      <c r="B4">
        <v>10623.61</v>
      </c>
    </row>
    <row r="5" spans="1:2" x14ac:dyDescent="0.35">
      <c r="A5" t="s">
        <v>32</v>
      </c>
      <c r="B5">
        <v>21121.43</v>
      </c>
    </row>
    <row r="6" spans="1:2" x14ac:dyDescent="0.35">
      <c r="A6" t="s">
        <v>33</v>
      </c>
      <c r="B6">
        <v>13614.5</v>
      </c>
    </row>
    <row r="7" spans="1:2" x14ac:dyDescent="0.35">
      <c r="A7" t="s">
        <v>34</v>
      </c>
      <c r="B7">
        <v>15957.54</v>
      </c>
    </row>
    <row r="8" spans="1:2" x14ac:dyDescent="0.35">
      <c r="A8" t="s">
        <v>35</v>
      </c>
      <c r="B8">
        <v>15385.14</v>
      </c>
    </row>
    <row r="9" spans="1:2" x14ac:dyDescent="0.35">
      <c r="A9" t="s">
        <v>36</v>
      </c>
      <c r="B9">
        <v>15560.77</v>
      </c>
    </row>
    <row r="10" spans="1:2" x14ac:dyDescent="0.35">
      <c r="A10" t="s">
        <v>37</v>
      </c>
      <c r="B10">
        <v>20910.04</v>
      </c>
    </row>
    <row r="11" spans="1:2" x14ac:dyDescent="0.35">
      <c r="A11" t="s">
        <v>38</v>
      </c>
      <c r="B11">
        <v>16529.189999999999</v>
      </c>
    </row>
    <row r="12" spans="1:2" x14ac:dyDescent="0.35">
      <c r="A12" t="s">
        <v>39</v>
      </c>
      <c r="B12">
        <v>17847</v>
      </c>
    </row>
    <row r="13" spans="1:2" x14ac:dyDescent="0.35">
      <c r="A13" t="s">
        <v>40</v>
      </c>
      <c r="B13">
        <v>15332.86</v>
      </c>
    </row>
    <row r="14" spans="1:2" x14ac:dyDescent="0.35">
      <c r="A14" t="s">
        <v>41</v>
      </c>
      <c r="B14">
        <v>16927.61</v>
      </c>
    </row>
    <row r="15" spans="1:2" x14ac:dyDescent="0.35">
      <c r="A15" t="s">
        <v>42</v>
      </c>
      <c r="B15">
        <v>16497.59</v>
      </c>
    </row>
    <row r="16" spans="1:2" x14ac:dyDescent="0.35">
      <c r="A16" t="s">
        <v>43</v>
      </c>
      <c r="B16">
        <v>11275.79</v>
      </c>
    </row>
    <row r="17" spans="1:2" x14ac:dyDescent="0.35">
      <c r="A17" t="s">
        <v>44</v>
      </c>
      <c r="B17">
        <v>10300.049999999999</v>
      </c>
    </row>
    <row r="18" spans="1:2" x14ac:dyDescent="0.35">
      <c r="A18" t="s">
        <v>45</v>
      </c>
      <c r="B18">
        <v>14367.36</v>
      </c>
    </row>
    <row r="19" spans="1:2" x14ac:dyDescent="0.35">
      <c r="A19" t="s">
        <v>46</v>
      </c>
      <c r="B19">
        <v>20493.28</v>
      </c>
    </row>
    <row r="20" spans="1:2" x14ac:dyDescent="0.35">
      <c r="A20" t="s">
        <v>47</v>
      </c>
      <c r="B20">
        <v>16753.64</v>
      </c>
    </row>
    <row r="21" spans="1:2" x14ac:dyDescent="0.35">
      <c r="A21" t="s">
        <v>48</v>
      </c>
      <c r="B21">
        <v>16987.47</v>
      </c>
    </row>
    <row r="22" spans="1:2" x14ac:dyDescent="0.35">
      <c r="A22" t="s">
        <v>49</v>
      </c>
      <c r="B22">
        <v>18325.23</v>
      </c>
    </row>
    <row r="23" spans="1:2" x14ac:dyDescent="0.35">
      <c r="A23" t="s">
        <v>50</v>
      </c>
      <c r="B23">
        <v>16522.7</v>
      </c>
    </row>
    <row r="24" spans="1:2" x14ac:dyDescent="0.35">
      <c r="A24" t="s">
        <v>51</v>
      </c>
      <c r="B24">
        <v>11284.32</v>
      </c>
    </row>
    <row r="25" spans="1:2" x14ac:dyDescent="0.35">
      <c r="A25" t="s">
        <v>52</v>
      </c>
      <c r="B25">
        <v>15327.37</v>
      </c>
    </row>
    <row r="26" spans="1:2" x14ac:dyDescent="0.35">
      <c r="A26" t="s">
        <v>53</v>
      </c>
      <c r="B26">
        <v>11643.24</v>
      </c>
    </row>
    <row r="27" spans="1:2" x14ac:dyDescent="0.35">
      <c r="A27" t="s">
        <v>54</v>
      </c>
      <c r="B27">
        <v>13479.06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1"/>
  <sheetViews>
    <sheetView workbookViewId="0"/>
  </sheetViews>
  <sheetFormatPr defaultRowHeight="14.5" x14ac:dyDescent="0.35"/>
  <cols>
    <col min="1" max="1" width="10.54296875" customWidth="1"/>
    <col min="2" max="2" width="13.81640625" customWidth="1"/>
    <col min="3" max="3" width="12.7265625" customWidth="1"/>
    <col min="4" max="4" width="14" customWidth="1"/>
    <col min="6" max="6" width="15.26953125" customWidth="1"/>
  </cols>
  <sheetData>
    <row r="1" spans="1:6" x14ac:dyDescent="0.3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28</v>
      </c>
    </row>
    <row r="2" spans="1:6" x14ac:dyDescent="0.35">
      <c r="A2" t="s">
        <v>60</v>
      </c>
      <c r="B2" t="s">
        <v>61</v>
      </c>
      <c r="C2" s="1">
        <v>45337</v>
      </c>
      <c r="D2">
        <v>263.06</v>
      </c>
      <c r="E2" t="s">
        <v>62</v>
      </c>
      <c r="F2" t="s">
        <v>47</v>
      </c>
    </row>
    <row r="3" spans="1:6" x14ac:dyDescent="0.35">
      <c r="A3" t="s">
        <v>63</v>
      </c>
      <c r="B3" t="s">
        <v>64</v>
      </c>
      <c r="C3" s="1">
        <v>45603</v>
      </c>
      <c r="D3">
        <v>412.59</v>
      </c>
      <c r="E3" t="s">
        <v>65</v>
      </c>
      <c r="F3" t="s">
        <v>30</v>
      </c>
    </row>
    <row r="4" spans="1:6" x14ac:dyDescent="0.35">
      <c r="A4" t="s">
        <v>66</v>
      </c>
      <c r="B4" t="s">
        <v>67</v>
      </c>
      <c r="C4" s="1">
        <v>45558</v>
      </c>
      <c r="D4">
        <v>428.78</v>
      </c>
      <c r="E4" t="s">
        <v>68</v>
      </c>
      <c r="F4" t="s">
        <v>41</v>
      </c>
    </row>
    <row r="5" spans="1:6" x14ac:dyDescent="0.35">
      <c r="A5" t="s">
        <v>69</v>
      </c>
      <c r="B5" t="s">
        <v>70</v>
      </c>
      <c r="C5" s="1">
        <v>45516</v>
      </c>
      <c r="D5">
        <v>607.41999999999996</v>
      </c>
      <c r="E5" t="s">
        <v>71</v>
      </c>
      <c r="F5" t="s">
        <v>49</v>
      </c>
    </row>
    <row r="6" spans="1:6" x14ac:dyDescent="0.35">
      <c r="A6" t="s">
        <v>72</v>
      </c>
      <c r="B6" t="s">
        <v>67</v>
      </c>
      <c r="C6" s="1">
        <v>45557</v>
      </c>
      <c r="D6">
        <v>517.14</v>
      </c>
      <c r="E6" t="s">
        <v>71</v>
      </c>
      <c r="F6" t="s">
        <v>50</v>
      </c>
    </row>
    <row r="7" spans="1:6" x14ac:dyDescent="0.35">
      <c r="A7" t="s">
        <v>73</v>
      </c>
      <c r="B7" t="s">
        <v>74</v>
      </c>
      <c r="C7" s="1">
        <v>45553</v>
      </c>
      <c r="D7">
        <v>139.22999999999999</v>
      </c>
      <c r="E7" t="s">
        <v>71</v>
      </c>
      <c r="F7" t="s">
        <v>39</v>
      </c>
    </row>
    <row r="8" spans="1:6" x14ac:dyDescent="0.35">
      <c r="A8" t="s">
        <v>75</v>
      </c>
      <c r="B8" t="s">
        <v>76</v>
      </c>
      <c r="C8" s="1">
        <v>45310</v>
      </c>
      <c r="D8">
        <v>35.18</v>
      </c>
      <c r="E8" t="s">
        <v>71</v>
      </c>
      <c r="F8" t="s">
        <v>49</v>
      </c>
    </row>
    <row r="9" spans="1:6" x14ac:dyDescent="0.35">
      <c r="A9" t="s">
        <v>77</v>
      </c>
      <c r="B9" t="s">
        <v>78</v>
      </c>
      <c r="C9" s="1">
        <v>45372</v>
      </c>
      <c r="D9">
        <v>280.64999999999998</v>
      </c>
      <c r="E9" t="s">
        <v>62</v>
      </c>
      <c r="F9" t="s">
        <v>38</v>
      </c>
    </row>
    <row r="10" spans="1:6" x14ac:dyDescent="0.35">
      <c r="A10" t="s">
        <v>79</v>
      </c>
      <c r="B10" t="s">
        <v>80</v>
      </c>
      <c r="C10" s="1">
        <v>45634</v>
      </c>
      <c r="D10">
        <v>158.19</v>
      </c>
      <c r="E10" t="s">
        <v>65</v>
      </c>
      <c r="F10" t="s">
        <v>44</v>
      </c>
    </row>
    <row r="11" spans="1:6" x14ac:dyDescent="0.35">
      <c r="A11" t="s">
        <v>81</v>
      </c>
      <c r="B11" t="s">
        <v>82</v>
      </c>
      <c r="C11" s="1">
        <v>45299</v>
      </c>
      <c r="D11">
        <v>209.96</v>
      </c>
      <c r="E11" t="s">
        <v>68</v>
      </c>
      <c r="F11" t="s">
        <v>45</v>
      </c>
    </row>
    <row r="12" spans="1:6" x14ac:dyDescent="0.35">
      <c r="A12" t="s">
        <v>83</v>
      </c>
      <c r="B12" t="s">
        <v>84</v>
      </c>
      <c r="C12" s="1">
        <v>45578</v>
      </c>
      <c r="D12">
        <v>627.41999999999996</v>
      </c>
      <c r="E12" t="s">
        <v>62</v>
      </c>
      <c r="F12" t="s">
        <v>42</v>
      </c>
    </row>
    <row r="13" spans="1:6" x14ac:dyDescent="0.35">
      <c r="A13" t="s">
        <v>85</v>
      </c>
      <c r="B13" t="s">
        <v>86</v>
      </c>
      <c r="C13" s="1">
        <v>45433</v>
      </c>
      <c r="D13">
        <v>606.77</v>
      </c>
      <c r="E13" t="s">
        <v>71</v>
      </c>
      <c r="F13" t="s">
        <v>29</v>
      </c>
    </row>
    <row r="14" spans="1:6" x14ac:dyDescent="0.35">
      <c r="A14" t="s">
        <v>87</v>
      </c>
      <c r="B14" t="s">
        <v>88</v>
      </c>
      <c r="C14" s="1">
        <v>45586</v>
      </c>
      <c r="D14">
        <v>285.39</v>
      </c>
      <c r="E14" t="s">
        <v>62</v>
      </c>
      <c r="F14" t="s">
        <v>47</v>
      </c>
    </row>
    <row r="15" spans="1:6" x14ac:dyDescent="0.35">
      <c r="A15" t="s">
        <v>89</v>
      </c>
      <c r="B15" t="s">
        <v>90</v>
      </c>
      <c r="C15" s="1">
        <v>45346</v>
      </c>
      <c r="D15">
        <v>215.96</v>
      </c>
      <c r="E15" t="s">
        <v>68</v>
      </c>
      <c r="F15" t="s">
        <v>45</v>
      </c>
    </row>
    <row r="16" spans="1:6" x14ac:dyDescent="0.35">
      <c r="A16" t="s">
        <v>91</v>
      </c>
      <c r="B16" t="s">
        <v>92</v>
      </c>
      <c r="C16" s="1">
        <v>45351</v>
      </c>
      <c r="D16">
        <v>535.09</v>
      </c>
      <c r="E16" t="s">
        <v>62</v>
      </c>
      <c r="F16" t="s">
        <v>54</v>
      </c>
    </row>
    <row r="17" spans="1:6" x14ac:dyDescent="0.35">
      <c r="A17" t="s">
        <v>93</v>
      </c>
      <c r="B17" t="s">
        <v>94</v>
      </c>
      <c r="C17" s="1">
        <v>45586</v>
      </c>
      <c r="D17">
        <v>381.35</v>
      </c>
      <c r="E17" t="s">
        <v>65</v>
      </c>
      <c r="F17" t="s">
        <v>30</v>
      </c>
    </row>
    <row r="18" spans="1:6" x14ac:dyDescent="0.35">
      <c r="A18" t="s">
        <v>95</v>
      </c>
      <c r="B18" t="s">
        <v>96</v>
      </c>
      <c r="C18" s="1">
        <v>45416</v>
      </c>
      <c r="D18">
        <v>318.33999999999997</v>
      </c>
      <c r="E18" t="s">
        <v>65</v>
      </c>
      <c r="F18" t="s">
        <v>32</v>
      </c>
    </row>
    <row r="19" spans="1:6" x14ac:dyDescent="0.35">
      <c r="A19" t="s">
        <v>97</v>
      </c>
      <c r="B19" t="s">
        <v>98</v>
      </c>
      <c r="C19" s="1">
        <v>45592</v>
      </c>
      <c r="D19">
        <v>193.56</v>
      </c>
      <c r="E19" t="s">
        <v>65</v>
      </c>
      <c r="F19" t="s">
        <v>31</v>
      </c>
    </row>
    <row r="20" spans="1:6" x14ac:dyDescent="0.35">
      <c r="A20" t="s">
        <v>99</v>
      </c>
      <c r="B20" t="s">
        <v>100</v>
      </c>
      <c r="C20" s="1">
        <v>45487</v>
      </c>
      <c r="D20">
        <v>466.22</v>
      </c>
      <c r="E20" t="s">
        <v>71</v>
      </c>
      <c r="F20" t="s">
        <v>49</v>
      </c>
    </row>
    <row r="21" spans="1:6" x14ac:dyDescent="0.35">
      <c r="A21" t="s">
        <v>101</v>
      </c>
      <c r="B21" t="s">
        <v>102</v>
      </c>
      <c r="C21" s="1">
        <v>45453</v>
      </c>
      <c r="D21">
        <v>364.43</v>
      </c>
      <c r="E21" t="s">
        <v>62</v>
      </c>
      <c r="F21" t="s">
        <v>54</v>
      </c>
    </row>
    <row r="22" spans="1:6" x14ac:dyDescent="0.35">
      <c r="A22" t="s">
        <v>103</v>
      </c>
      <c r="B22" t="s">
        <v>104</v>
      </c>
      <c r="C22" s="1">
        <v>45650</v>
      </c>
      <c r="D22">
        <v>92.2</v>
      </c>
      <c r="E22" t="s">
        <v>71</v>
      </c>
      <c r="F22" t="s">
        <v>35</v>
      </c>
    </row>
    <row r="23" spans="1:6" x14ac:dyDescent="0.35">
      <c r="A23" t="s">
        <v>105</v>
      </c>
      <c r="B23" t="s">
        <v>106</v>
      </c>
      <c r="C23" s="1">
        <v>45636</v>
      </c>
      <c r="D23">
        <v>607.80999999999995</v>
      </c>
      <c r="E23" t="s">
        <v>68</v>
      </c>
      <c r="F23" t="s">
        <v>45</v>
      </c>
    </row>
    <row r="24" spans="1:6" x14ac:dyDescent="0.35">
      <c r="A24" t="s">
        <v>107</v>
      </c>
      <c r="B24" t="s">
        <v>108</v>
      </c>
      <c r="C24" s="1">
        <v>45535</v>
      </c>
      <c r="D24">
        <v>585</v>
      </c>
      <c r="E24" t="s">
        <v>62</v>
      </c>
      <c r="F24" t="s">
        <v>47</v>
      </c>
    </row>
    <row r="25" spans="1:6" x14ac:dyDescent="0.35">
      <c r="A25" t="s">
        <v>109</v>
      </c>
      <c r="B25" t="s">
        <v>110</v>
      </c>
      <c r="C25" s="1">
        <v>45429</v>
      </c>
      <c r="D25">
        <v>488.32</v>
      </c>
      <c r="E25" t="s">
        <v>71</v>
      </c>
      <c r="F25" t="s">
        <v>29</v>
      </c>
    </row>
    <row r="26" spans="1:6" x14ac:dyDescent="0.35">
      <c r="A26" t="s">
        <v>111</v>
      </c>
      <c r="B26" t="s">
        <v>112</v>
      </c>
      <c r="C26" s="1">
        <v>45412</v>
      </c>
      <c r="D26">
        <v>175.96</v>
      </c>
      <c r="E26" t="s">
        <v>62</v>
      </c>
      <c r="F26" t="s">
        <v>47</v>
      </c>
    </row>
    <row r="27" spans="1:6" x14ac:dyDescent="0.35">
      <c r="A27" t="s">
        <v>113</v>
      </c>
      <c r="B27" t="s">
        <v>114</v>
      </c>
      <c r="C27" s="1">
        <v>45419</v>
      </c>
      <c r="D27">
        <v>514.04999999999995</v>
      </c>
      <c r="E27" t="s">
        <v>62</v>
      </c>
      <c r="F27" t="s">
        <v>47</v>
      </c>
    </row>
    <row r="28" spans="1:6" x14ac:dyDescent="0.35">
      <c r="A28" t="s">
        <v>115</v>
      </c>
      <c r="B28" t="s">
        <v>116</v>
      </c>
      <c r="C28" s="1">
        <v>45353</v>
      </c>
      <c r="D28">
        <v>39.07</v>
      </c>
      <c r="E28" t="s">
        <v>65</v>
      </c>
      <c r="F28" t="s">
        <v>44</v>
      </c>
    </row>
    <row r="29" spans="1:6" x14ac:dyDescent="0.35">
      <c r="A29" t="s">
        <v>117</v>
      </c>
      <c r="B29" t="s">
        <v>118</v>
      </c>
      <c r="C29" s="1">
        <v>45569</v>
      </c>
      <c r="D29">
        <v>416.71</v>
      </c>
      <c r="E29" t="s">
        <v>65</v>
      </c>
      <c r="F29" t="s">
        <v>53</v>
      </c>
    </row>
    <row r="30" spans="1:6" x14ac:dyDescent="0.35">
      <c r="A30" t="s">
        <v>119</v>
      </c>
      <c r="B30" t="s">
        <v>120</v>
      </c>
      <c r="C30" s="1">
        <v>45544</v>
      </c>
      <c r="D30">
        <v>147.47</v>
      </c>
      <c r="E30" t="s">
        <v>62</v>
      </c>
      <c r="F30" t="s">
        <v>37</v>
      </c>
    </row>
    <row r="31" spans="1:6" x14ac:dyDescent="0.35">
      <c r="A31" t="s">
        <v>121</v>
      </c>
      <c r="B31" t="s">
        <v>122</v>
      </c>
      <c r="C31" s="1">
        <v>45553</v>
      </c>
      <c r="D31">
        <v>496.35</v>
      </c>
      <c r="E31" t="s">
        <v>65</v>
      </c>
      <c r="F31" t="s">
        <v>48</v>
      </c>
    </row>
    <row r="32" spans="1:6" x14ac:dyDescent="0.35">
      <c r="A32" t="s">
        <v>123</v>
      </c>
      <c r="B32" t="s">
        <v>124</v>
      </c>
      <c r="C32" s="1">
        <v>45357</v>
      </c>
      <c r="D32">
        <v>612.89</v>
      </c>
      <c r="E32" t="s">
        <v>65</v>
      </c>
      <c r="F32" t="s">
        <v>30</v>
      </c>
    </row>
    <row r="33" spans="1:6" x14ac:dyDescent="0.35">
      <c r="A33" t="s">
        <v>125</v>
      </c>
      <c r="B33" t="s">
        <v>126</v>
      </c>
      <c r="C33" s="1">
        <v>45308</v>
      </c>
      <c r="D33">
        <v>564.15</v>
      </c>
      <c r="E33" t="s">
        <v>62</v>
      </c>
      <c r="F33" t="s">
        <v>37</v>
      </c>
    </row>
    <row r="34" spans="1:6" x14ac:dyDescent="0.35">
      <c r="A34" t="s">
        <v>127</v>
      </c>
      <c r="B34" t="s">
        <v>128</v>
      </c>
      <c r="C34" s="1">
        <v>45381</v>
      </c>
      <c r="D34">
        <v>353.7</v>
      </c>
      <c r="E34" t="s">
        <v>68</v>
      </c>
      <c r="F34" t="s">
        <v>33</v>
      </c>
    </row>
    <row r="35" spans="1:6" x14ac:dyDescent="0.35">
      <c r="A35" t="s">
        <v>129</v>
      </c>
      <c r="B35" t="s">
        <v>130</v>
      </c>
      <c r="C35" s="1">
        <v>45453</v>
      </c>
      <c r="D35">
        <v>164.61</v>
      </c>
      <c r="E35" t="s">
        <v>68</v>
      </c>
      <c r="F35" t="s">
        <v>33</v>
      </c>
    </row>
    <row r="36" spans="1:6" x14ac:dyDescent="0.35">
      <c r="A36" t="s">
        <v>131</v>
      </c>
      <c r="B36" t="s">
        <v>132</v>
      </c>
      <c r="C36" s="1">
        <v>45589</v>
      </c>
      <c r="D36">
        <v>411.86</v>
      </c>
      <c r="E36" t="s">
        <v>62</v>
      </c>
      <c r="F36" t="s">
        <v>42</v>
      </c>
    </row>
    <row r="37" spans="1:6" x14ac:dyDescent="0.35">
      <c r="A37" t="s">
        <v>133</v>
      </c>
      <c r="B37" t="s">
        <v>134</v>
      </c>
      <c r="C37" s="1">
        <v>45424</v>
      </c>
      <c r="D37">
        <v>200.69</v>
      </c>
      <c r="E37" t="s">
        <v>62</v>
      </c>
      <c r="F37" t="s">
        <v>47</v>
      </c>
    </row>
    <row r="38" spans="1:6" x14ac:dyDescent="0.35">
      <c r="A38" t="s">
        <v>135</v>
      </c>
      <c r="B38" t="s">
        <v>106</v>
      </c>
      <c r="C38" s="1">
        <v>45605</v>
      </c>
      <c r="D38">
        <v>341.74</v>
      </c>
      <c r="E38" t="s">
        <v>62</v>
      </c>
      <c r="F38" t="s">
        <v>47</v>
      </c>
    </row>
    <row r="39" spans="1:6" x14ac:dyDescent="0.35">
      <c r="A39" t="s">
        <v>136</v>
      </c>
      <c r="B39" t="s">
        <v>137</v>
      </c>
      <c r="C39" s="1">
        <v>45399</v>
      </c>
      <c r="D39">
        <v>560.41</v>
      </c>
      <c r="E39" t="s">
        <v>62</v>
      </c>
      <c r="F39" t="s">
        <v>42</v>
      </c>
    </row>
    <row r="40" spans="1:6" x14ac:dyDescent="0.35">
      <c r="A40" t="s">
        <v>138</v>
      </c>
      <c r="B40" t="s">
        <v>139</v>
      </c>
      <c r="C40" s="1">
        <v>45435</v>
      </c>
      <c r="D40">
        <v>115.65</v>
      </c>
      <c r="E40" t="s">
        <v>71</v>
      </c>
      <c r="F40" t="s">
        <v>39</v>
      </c>
    </row>
    <row r="41" spans="1:6" x14ac:dyDescent="0.35">
      <c r="A41" t="s">
        <v>140</v>
      </c>
      <c r="B41" t="s">
        <v>141</v>
      </c>
      <c r="C41" s="1">
        <v>45586</v>
      </c>
      <c r="D41">
        <v>201.02</v>
      </c>
      <c r="E41" t="s">
        <v>68</v>
      </c>
      <c r="F41" t="s">
        <v>33</v>
      </c>
    </row>
    <row r="42" spans="1:6" x14ac:dyDescent="0.35">
      <c r="A42" t="s">
        <v>142</v>
      </c>
      <c r="B42" t="s">
        <v>143</v>
      </c>
      <c r="C42" s="1">
        <v>45412</v>
      </c>
      <c r="D42">
        <v>269.24</v>
      </c>
      <c r="E42" t="s">
        <v>65</v>
      </c>
      <c r="F42" t="s">
        <v>51</v>
      </c>
    </row>
    <row r="43" spans="1:6" x14ac:dyDescent="0.35">
      <c r="A43" t="s">
        <v>144</v>
      </c>
      <c r="B43" t="s">
        <v>145</v>
      </c>
      <c r="C43" s="1">
        <v>45366</v>
      </c>
      <c r="D43">
        <v>40.99</v>
      </c>
      <c r="E43" t="s">
        <v>65</v>
      </c>
      <c r="F43" t="s">
        <v>51</v>
      </c>
    </row>
    <row r="44" spans="1:6" x14ac:dyDescent="0.35">
      <c r="A44" t="s">
        <v>146</v>
      </c>
      <c r="B44" t="s">
        <v>147</v>
      </c>
      <c r="C44" s="1">
        <v>45507</v>
      </c>
      <c r="D44">
        <v>352.96</v>
      </c>
      <c r="E44" t="s">
        <v>71</v>
      </c>
      <c r="F44" t="s">
        <v>49</v>
      </c>
    </row>
    <row r="45" spans="1:6" x14ac:dyDescent="0.35">
      <c r="A45" t="s">
        <v>148</v>
      </c>
      <c r="B45" t="s">
        <v>149</v>
      </c>
      <c r="C45" s="1">
        <v>45453</v>
      </c>
      <c r="D45">
        <v>380.72</v>
      </c>
      <c r="E45" t="s">
        <v>62</v>
      </c>
      <c r="F45" t="s">
        <v>42</v>
      </c>
    </row>
    <row r="46" spans="1:6" x14ac:dyDescent="0.35">
      <c r="A46" t="s">
        <v>150</v>
      </c>
      <c r="B46" t="s">
        <v>151</v>
      </c>
      <c r="C46" s="1">
        <v>45582</v>
      </c>
      <c r="D46">
        <v>459.68</v>
      </c>
      <c r="E46" t="s">
        <v>65</v>
      </c>
      <c r="F46" t="s">
        <v>31</v>
      </c>
    </row>
    <row r="47" spans="1:6" x14ac:dyDescent="0.35">
      <c r="A47" t="s">
        <v>152</v>
      </c>
      <c r="B47" t="s">
        <v>153</v>
      </c>
      <c r="C47" s="1">
        <v>45322</v>
      </c>
      <c r="D47">
        <v>550.97</v>
      </c>
      <c r="E47" t="s">
        <v>62</v>
      </c>
      <c r="F47" t="s">
        <v>37</v>
      </c>
    </row>
    <row r="48" spans="1:6" x14ac:dyDescent="0.35">
      <c r="A48" t="s">
        <v>154</v>
      </c>
      <c r="B48" t="s">
        <v>139</v>
      </c>
      <c r="C48" s="1">
        <v>45341</v>
      </c>
      <c r="D48">
        <v>256.99</v>
      </c>
      <c r="E48" t="s">
        <v>62</v>
      </c>
      <c r="F48" t="s">
        <v>42</v>
      </c>
    </row>
    <row r="49" spans="1:6" x14ac:dyDescent="0.35">
      <c r="A49" t="s">
        <v>155</v>
      </c>
      <c r="B49" t="s">
        <v>156</v>
      </c>
      <c r="C49" s="1">
        <v>45578</v>
      </c>
      <c r="D49">
        <v>47.2</v>
      </c>
      <c r="E49" t="s">
        <v>62</v>
      </c>
      <c r="F49" t="s">
        <v>42</v>
      </c>
    </row>
    <row r="50" spans="1:6" x14ac:dyDescent="0.35">
      <c r="A50" t="s">
        <v>157</v>
      </c>
      <c r="B50" t="s">
        <v>158</v>
      </c>
      <c r="C50" s="1">
        <v>45354</v>
      </c>
      <c r="D50">
        <v>389.18</v>
      </c>
      <c r="E50" t="s">
        <v>71</v>
      </c>
      <c r="F50" t="s">
        <v>39</v>
      </c>
    </row>
    <row r="51" spans="1:6" x14ac:dyDescent="0.35">
      <c r="A51" t="s">
        <v>159</v>
      </c>
      <c r="B51" t="s">
        <v>160</v>
      </c>
      <c r="C51" s="1">
        <v>45624</v>
      </c>
      <c r="D51">
        <v>253.39</v>
      </c>
      <c r="E51" t="s">
        <v>71</v>
      </c>
      <c r="F51" t="s">
        <v>35</v>
      </c>
    </row>
    <row r="52" spans="1:6" x14ac:dyDescent="0.35">
      <c r="A52" t="s">
        <v>161</v>
      </c>
      <c r="B52" t="s">
        <v>162</v>
      </c>
      <c r="C52" s="1">
        <v>45636</v>
      </c>
      <c r="D52">
        <v>487.96</v>
      </c>
      <c r="E52" t="s">
        <v>65</v>
      </c>
      <c r="F52" t="s">
        <v>51</v>
      </c>
    </row>
    <row r="53" spans="1:6" x14ac:dyDescent="0.35">
      <c r="A53" t="s">
        <v>163</v>
      </c>
      <c r="B53" t="s">
        <v>164</v>
      </c>
      <c r="C53" s="1">
        <v>45332</v>
      </c>
      <c r="D53">
        <v>423.5</v>
      </c>
      <c r="E53" t="s">
        <v>62</v>
      </c>
      <c r="F53" t="s">
        <v>37</v>
      </c>
    </row>
    <row r="54" spans="1:6" x14ac:dyDescent="0.35">
      <c r="A54" t="s">
        <v>165</v>
      </c>
      <c r="B54" t="s">
        <v>166</v>
      </c>
      <c r="C54" s="1">
        <v>45366</v>
      </c>
      <c r="D54">
        <v>423.23</v>
      </c>
      <c r="E54" t="s">
        <v>62</v>
      </c>
      <c r="F54" t="s">
        <v>37</v>
      </c>
    </row>
    <row r="55" spans="1:6" x14ac:dyDescent="0.35">
      <c r="A55" t="s">
        <v>167</v>
      </c>
      <c r="B55" t="s">
        <v>168</v>
      </c>
      <c r="C55" s="1">
        <v>45584</v>
      </c>
      <c r="D55">
        <v>134.63</v>
      </c>
      <c r="E55" t="s">
        <v>68</v>
      </c>
      <c r="F55" t="s">
        <v>46</v>
      </c>
    </row>
    <row r="56" spans="1:6" x14ac:dyDescent="0.35">
      <c r="A56" t="s">
        <v>169</v>
      </c>
      <c r="B56" t="s">
        <v>108</v>
      </c>
      <c r="C56" s="1">
        <v>45408</v>
      </c>
      <c r="D56">
        <v>214.18</v>
      </c>
      <c r="E56" t="s">
        <v>62</v>
      </c>
      <c r="F56" t="s">
        <v>43</v>
      </c>
    </row>
    <row r="57" spans="1:6" x14ac:dyDescent="0.35">
      <c r="A57" t="s">
        <v>170</v>
      </c>
      <c r="B57" t="s">
        <v>171</v>
      </c>
      <c r="C57" s="1">
        <v>45428</v>
      </c>
      <c r="D57">
        <v>580.92999999999995</v>
      </c>
      <c r="E57" t="s">
        <v>65</v>
      </c>
      <c r="F57" t="s">
        <v>53</v>
      </c>
    </row>
    <row r="58" spans="1:6" x14ac:dyDescent="0.35">
      <c r="A58" t="s">
        <v>172</v>
      </c>
      <c r="B58" t="s">
        <v>173</v>
      </c>
      <c r="C58" s="1">
        <v>45477</v>
      </c>
      <c r="D58">
        <v>137.9</v>
      </c>
      <c r="E58" t="s">
        <v>65</v>
      </c>
      <c r="F58" t="s">
        <v>30</v>
      </c>
    </row>
    <row r="59" spans="1:6" x14ac:dyDescent="0.35">
      <c r="A59" t="s">
        <v>174</v>
      </c>
      <c r="B59" t="s">
        <v>175</v>
      </c>
      <c r="C59" s="1">
        <v>45303</v>
      </c>
      <c r="D59">
        <v>189.76</v>
      </c>
      <c r="E59" t="s">
        <v>71</v>
      </c>
      <c r="F59" t="s">
        <v>49</v>
      </c>
    </row>
    <row r="60" spans="1:6" x14ac:dyDescent="0.35">
      <c r="A60" t="s">
        <v>176</v>
      </c>
      <c r="B60" t="s">
        <v>116</v>
      </c>
      <c r="C60" s="1">
        <v>45650</v>
      </c>
      <c r="D60">
        <v>279.18</v>
      </c>
      <c r="E60" t="s">
        <v>71</v>
      </c>
      <c r="F60" t="s">
        <v>34</v>
      </c>
    </row>
    <row r="61" spans="1:6" x14ac:dyDescent="0.35">
      <c r="A61" t="s">
        <v>177</v>
      </c>
      <c r="B61" t="s">
        <v>61</v>
      </c>
      <c r="C61" s="1">
        <v>45340</v>
      </c>
      <c r="D61">
        <v>68.099999999999994</v>
      </c>
      <c r="E61" t="s">
        <v>65</v>
      </c>
      <c r="F61" t="s">
        <v>44</v>
      </c>
    </row>
    <row r="62" spans="1:6" x14ac:dyDescent="0.35">
      <c r="A62" t="s">
        <v>178</v>
      </c>
      <c r="B62" t="s">
        <v>179</v>
      </c>
      <c r="C62" s="1">
        <v>45495</v>
      </c>
      <c r="D62">
        <v>196.41</v>
      </c>
      <c r="E62" t="s">
        <v>68</v>
      </c>
      <c r="F62" t="s">
        <v>46</v>
      </c>
    </row>
    <row r="63" spans="1:6" x14ac:dyDescent="0.35">
      <c r="A63" t="s">
        <v>180</v>
      </c>
      <c r="B63" t="s">
        <v>181</v>
      </c>
      <c r="C63" s="1">
        <v>45371</v>
      </c>
      <c r="D63">
        <v>176.05</v>
      </c>
      <c r="E63" t="s">
        <v>65</v>
      </c>
      <c r="F63" t="s">
        <v>53</v>
      </c>
    </row>
    <row r="64" spans="1:6" x14ac:dyDescent="0.35">
      <c r="A64" t="s">
        <v>182</v>
      </c>
      <c r="B64" t="s">
        <v>183</v>
      </c>
      <c r="C64" s="1">
        <v>45437</v>
      </c>
      <c r="D64">
        <v>358.95</v>
      </c>
      <c r="E64" t="s">
        <v>71</v>
      </c>
      <c r="F64" t="s">
        <v>34</v>
      </c>
    </row>
    <row r="65" spans="1:6" x14ac:dyDescent="0.35">
      <c r="A65" t="s">
        <v>184</v>
      </c>
      <c r="B65" t="s">
        <v>98</v>
      </c>
      <c r="C65" s="1">
        <v>45379</v>
      </c>
      <c r="D65">
        <v>254.46</v>
      </c>
      <c r="E65" t="s">
        <v>68</v>
      </c>
      <c r="F65" t="s">
        <v>33</v>
      </c>
    </row>
    <row r="66" spans="1:6" x14ac:dyDescent="0.35">
      <c r="A66" t="s">
        <v>185</v>
      </c>
      <c r="B66" t="s">
        <v>186</v>
      </c>
      <c r="C66" s="1">
        <v>45458</v>
      </c>
      <c r="D66">
        <v>367.46</v>
      </c>
      <c r="E66" t="s">
        <v>65</v>
      </c>
      <c r="F66" t="s">
        <v>51</v>
      </c>
    </row>
    <row r="67" spans="1:6" x14ac:dyDescent="0.35">
      <c r="A67" t="s">
        <v>187</v>
      </c>
      <c r="B67" t="s">
        <v>188</v>
      </c>
      <c r="C67" s="1">
        <v>45431</v>
      </c>
      <c r="D67">
        <v>631.27</v>
      </c>
      <c r="E67" t="s">
        <v>65</v>
      </c>
      <c r="F67" t="s">
        <v>48</v>
      </c>
    </row>
    <row r="68" spans="1:6" x14ac:dyDescent="0.35">
      <c r="A68" t="s">
        <v>189</v>
      </c>
      <c r="B68" t="s">
        <v>190</v>
      </c>
      <c r="C68" s="1">
        <v>45649</v>
      </c>
      <c r="D68">
        <v>402.51</v>
      </c>
      <c r="E68" t="s">
        <v>71</v>
      </c>
      <c r="F68" t="s">
        <v>39</v>
      </c>
    </row>
    <row r="69" spans="1:6" x14ac:dyDescent="0.35">
      <c r="A69" t="s">
        <v>191</v>
      </c>
      <c r="B69" t="s">
        <v>192</v>
      </c>
      <c r="C69" s="1">
        <v>45615</v>
      </c>
      <c r="D69">
        <v>428.47</v>
      </c>
      <c r="E69" t="s">
        <v>65</v>
      </c>
      <c r="F69" t="s">
        <v>44</v>
      </c>
    </row>
    <row r="70" spans="1:6" x14ac:dyDescent="0.35">
      <c r="A70" t="s">
        <v>193</v>
      </c>
      <c r="B70" t="s">
        <v>194</v>
      </c>
      <c r="C70" s="1">
        <v>45565</v>
      </c>
      <c r="D70">
        <v>366.9</v>
      </c>
      <c r="E70" t="s">
        <v>62</v>
      </c>
      <c r="F70" t="s">
        <v>37</v>
      </c>
    </row>
    <row r="71" spans="1:6" x14ac:dyDescent="0.35">
      <c r="A71" t="s">
        <v>195</v>
      </c>
      <c r="B71" t="s">
        <v>183</v>
      </c>
      <c r="C71" s="1">
        <v>45337</v>
      </c>
      <c r="D71">
        <v>288.51</v>
      </c>
      <c r="E71" t="s">
        <v>62</v>
      </c>
      <c r="F71" t="s">
        <v>42</v>
      </c>
    </row>
    <row r="72" spans="1:6" x14ac:dyDescent="0.35">
      <c r="A72" t="s">
        <v>196</v>
      </c>
      <c r="B72" t="s">
        <v>197</v>
      </c>
      <c r="C72" s="1">
        <v>45371</v>
      </c>
      <c r="D72">
        <v>356.84</v>
      </c>
      <c r="E72" t="s">
        <v>68</v>
      </c>
      <c r="F72" t="s">
        <v>46</v>
      </c>
    </row>
    <row r="73" spans="1:6" x14ac:dyDescent="0.35">
      <c r="A73" t="s">
        <v>198</v>
      </c>
      <c r="B73" t="s">
        <v>199</v>
      </c>
      <c r="C73" s="1">
        <v>45361</v>
      </c>
      <c r="D73">
        <v>364.09</v>
      </c>
      <c r="E73" t="s">
        <v>62</v>
      </c>
      <c r="F73" t="s">
        <v>37</v>
      </c>
    </row>
    <row r="74" spans="1:6" x14ac:dyDescent="0.35">
      <c r="A74" t="s">
        <v>200</v>
      </c>
      <c r="B74" t="s">
        <v>201</v>
      </c>
      <c r="C74" s="1">
        <v>45644</v>
      </c>
      <c r="D74">
        <v>40.619999999999997</v>
      </c>
      <c r="E74" t="s">
        <v>65</v>
      </c>
      <c r="F74" t="s">
        <v>53</v>
      </c>
    </row>
    <row r="75" spans="1:6" x14ac:dyDescent="0.35">
      <c r="A75" t="s">
        <v>202</v>
      </c>
      <c r="B75" t="s">
        <v>203</v>
      </c>
      <c r="C75" s="1">
        <v>45512</v>
      </c>
      <c r="D75">
        <v>372.15</v>
      </c>
      <c r="E75" t="s">
        <v>71</v>
      </c>
      <c r="F75" t="s">
        <v>50</v>
      </c>
    </row>
    <row r="76" spans="1:6" x14ac:dyDescent="0.35">
      <c r="A76" t="s">
        <v>204</v>
      </c>
      <c r="B76" t="s">
        <v>205</v>
      </c>
      <c r="C76" s="1">
        <v>45388</v>
      </c>
      <c r="D76">
        <v>188.69</v>
      </c>
      <c r="E76" t="s">
        <v>65</v>
      </c>
      <c r="F76" t="s">
        <v>30</v>
      </c>
    </row>
    <row r="77" spans="1:6" x14ac:dyDescent="0.35">
      <c r="A77" t="s">
        <v>206</v>
      </c>
      <c r="B77" t="s">
        <v>207</v>
      </c>
      <c r="C77" s="1">
        <v>45622</v>
      </c>
      <c r="D77">
        <v>196.73</v>
      </c>
      <c r="E77" t="s">
        <v>65</v>
      </c>
      <c r="F77" t="s">
        <v>48</v>
      </c>
    </row>
    <row r="78" spans="1:6" x14ac:dyDescent="0.35">
      <c r="A78" t="s">
        <v>208</v>
      </c>
      <c r="B78" t="s">
        <v>209</v>
      </c>
      <c r="C78" s="1">
        <v>45508</v>
      </c>
      <c r="D78">
        <v>505.19</v>
      </c>
      <c r="E78" t="s">
        <v>71</v>
      </c>
      <c r="F78" t="s">
        <v>39</v>
      </c>
    </row>
    <row r="79" spans="1:6" x14ac:dyDescent="0.35">
      <c r="A79" t="s">
        <v>210</v>
      </c>
      <c r="B79" t="s">
        <v>211</v>
      </c>
      <c r="C79" s="1">
        <v>45605</v>
      </c>
      <c r="D79">
        <v>491.9</v>
      </c>
      <c r="E79" t="s">
        <v>62</v>
      </c>
      <c r="F79" t="s">
        <v>43</v>
      </c>
    </row>
    <row r="80" spans="1:6" x14ac:dyDescent="0.35">
      <c r="A80" t="s">
        <v>212</v>
      </c>
      <c r="B80" t="s">
        <v>102</v>
      </c>
      <c r="C80" s="1">
        <v>45429</v>
      </c>
      <c r="D80">
        <v>147.18</v>
      </c>
      <c r="E80" t="s">
        <v>71</v>
      </c>
      <c r="F80" t="s">
        <v>50</v>
      </c>
    </row>
    <row r="81" spans="1:6" x14ac:dyDescent="0.35">
      <c r="A81" t="s">
        <v>213</v>
      </c>
      <c r="B81" t="s">
        <v>214</v>
      </c>
      <c r="C81" s="1">
        <v>45440</v>
      </c>
      <c r="D81">
        <v>313.45</v>
      </c>
      <c r="E81" t="s">
        <v>65</v>
      </c>
      <c r="F81" t="s">
        <v>44</v>
      </c>
    </row>
    <row r="82" spans="1:6" x14ac:dyDescent="0.35">
      <c r="A82" t="s">
        <v>215</v>
      </c>
      <c r="B82" t="s">
        <v>216</v>
      </c>
      <c r="C82" s="1">
        <v>45650</v>
      </c>
      <c r="D82">
        <v>232.2</v>
      </c>
      <c r="E82" t="s">
        <v>65</v>
      </c>
      <c r="F82" t="s">
        <v>48</v>
      </c>
    </row>
    <row r="83" spans="1:6" x14ac:dyDescent="0.35">
      <c r="A83" t="s">
        <v>217</v>
      </c>
      <c r="B83" t="s">
        <v>218</v>
      </c>
      <c r="C83" s="1">
        <v>45369</v>
      </c>
      <c r="D83">
        <v>632.98</v>
      </c>
      <c r="E83" t="s">
        <v>68</v>
      </c>
      <c r="F83" t="s">
        <v>41</v>
      </c>
    </row>
    <row r="84" spans="1:6" x14ac:dyDescent="0.35">
      <c r="A84" t="s">
        <v>219</v>
      </c>
      <c r="B84" t="s">
        <v>220</v>
      </c>
      <c r="C84" s="1">
        <v>45436</v>
      </c>
      <c r="D84">
        <v>304.63</v>
      </c>
      <c r="E84" t="s">
        <v>71</v>
      </c>
      <c r="F84" t="s">
        <v>49</v>
      </c>
    </row>
    <row r="85" spans="1:6" x14ac:dyDescent="0.35">
      <c r="A85" t="s">
        <v>221</v>
      </c>
      <c r="B85" t="s">
        <v>222</v>
      </c>
      <c r="C85" s="1">
        <v>45296</v>
      </c>
      <c r="D85">
        <v>44.06</v>
      </c>
      <c r="E85" t="s">
        <v>68</v>
      </c>
      <c r="F85" t="s">
        <v>41</v>
      </c>
    </row>
    <row r="86" spans="1:6" x14ac:dyDescent="0.35">
      <c r="A86" t="s">
        <v>223</v>
      </c>
      <c r="B86" t="s">
        <v>106</v>
      </c>
      <c r="C86" s="1">
        <v>45403</v>
      </c>
      <c r="D86">
        <v>518.22</v>
      </c>
      <c r="E86" t="s">
        <v>65</v>
      </c>
      <c r="F86" t="s">
        <v>53</v>
      </c>
    </row>
    <row r="87" spans="1:6" x14ac:dyDescent="0.35">
      <c r="A87" t="s">
        <v>224</v>
      </c>
      <c r="B87" t="s">
        <v>225</v>
      </c>
      <c r="C87" s="1">
        <v>45547</v>
      </c>
      <c r="D87">
        <v>521.73</v>
      </c>
      <c r="E87" t="s">
        <v>65</v>
      </c>
      <c r="F87" t="s">
        <v>32</v>
      </c>
    </row>
    <row r="88" spans="1:6" x14ac:dyDescent="0.35">
      <c r="A88" t="s">
        <v>226</v>
      </c>
      <c r="B88" t="s">
        <v>227</v>
      </c>
      <c r="C88" s="1">
        <v>45461</v>
      </c>
      <c r="D88">
        <v>198.9</v>
      </c>
      <c r="E88" t="s">
        <v>71</v>
      </c>
      <c r="F88" t="s">
        <v>50</v>
      </c>
    </row>
    <row r="89" spans="1:6" x14ac:dyDescent="0.35">
      <c r="A89" t="s">
        <v>228</v>
      </c>
      <c r="B89" t="s">
        <v>229</v>
      </c>
      <c r="C89" s="1">
        <v>45492</v>
      </c>
      <c r="D89">
        <v>153.19999999999999</v>
      </c>
      <c r="E89" t="s">
        <v>65</v>
      </c>
      <c r="F89" t="s">
        <v>48</v>
      </c>
    </row>
    <row r="90" spans="1:6" x14ac:dyDescent="0.35">
      <c r="A90" t="s">
        <v>230</v>
      </c>
      <c r="B90" t="s">
        <v>164</v>
      </c>
      <c r="C90" s="1">
        <v>45420</v>
      </c>
      <c r="D90">
        <v>634.38</v>
      </c>
      <c r="E90" t="s">
        <v>68</v>
      </c>
      <c r="F90" t="s">
        <v>46</v>
      </c>
    </row>
    <row r="91" spans="1:6" x14ac:dyDescent="0.35">
      <c r="A91" t="s">
        <v>231</v>
      </c>
      <c r="B91" t="s">
        <v>232</v>
      </c>
      <c r="C91" s="1">
        <v>45419</v>
      </c>
      <c r="D91">
        <v>488.64</v>
      </c>
      <c r="E91" t="s">
        <v>65</v>
      </c>
      <c r="F91" t="s">
        <v>48</v>
      </c>
    </row>
    <row r="92" spans="1:6" x14ac:dyDescent="0.35">
      <c r="A92" t="s">
        <v>233</v>
      </c>
      <c r="B92" t="s">
        <v>234</v>
      </c>
      <c r="C92" s="1">
        <v>45309</v>
      </c>
      <c r="D92">
        <v>509.16</v>
      </c>
      <c r="E92" t="s">
        <v>65</v>
      </c>
      <c r="F92" t="s">
        <v>32</v>
      </c>
    </row>
    <row r="93" spans="1:6" x14ac:dyDescent="0.35">
      <c r="A93" t="s">
        <v>235</v>
      </c>
      <c r="B93" t="s">
        <v>236</v>
      </c>
      <c r="C93" s="1">
        <v>45558</v>
      </c>
      <c r="D93">
        <v>274.31</v>
      </c>
      <c r="E93" t="s">
        <v>71</v>
      </c>
      <c r="F93" t="s">
        <v>29</v>
      </c>
    </row>
    <row r="94" spans="1:6" x14ac:dyDescent="0.35">
      <c r="A94" t="s">
        <v>237</v>
      </c>
      <c r="B94" t="s">
        <v>238</v>
      </c>
      <c r="C94" s="1">
        <v>45451</v>
      </c>
      <c r="D94">
        <v>482.87</v>
      </c>
      <c r="E94" t="s">
        <v>71</v>
      </c>
      <c r="F94" t="s">
        <v>49</v>
      </c>
    </row>
    <row r="95" spans="1:6" x14ac:dyDescent="0.35">
      <c r="A95" t="s">
        <v>239</v>
      </c>
      <c r="B95" t="s">
        <v>240</v>
      </c>
      <c r="C95" s="1">
        <v>45573</v>
      </c>
      <c r="D95">
        <v>330.96</v>
      </c>
      <c r="E95" t="s">
        <v>68</v>
      </c>
      <c r="F95" t="s">
        <v>40</v>
      </c>
    </row>
    <row r="96" spans="1:6" x14ac:dyDescent="0.35">
      <c r="A96" t="s">
        <v>241</v>
      </c>
      <c r="B96" t="s">
        <v>234</v>
      </c>
      <c r="C96" s="1">
        <v>45444</v>
      </c>
      <c r="D96">
        <v>566.15</v>
      </c>
      <c r="E96" t="s">
        <v>62</v>
      </c>
      <c r="F96" t="s">
        <v>36</v>
      </c>
    </row>
    <row r="97" spans="1:6" x14ac:dyDescent="0.35">
      <c r="A97" t="s">
        <v>242</v>
      </c>
      <c r="B97" t="s">
        <v>243</v>
      </c>
      <c r="C97" s="1">
        <v>45403</v>
      </c>
      <c r="D97">
        <v>302.01</v>
      </c>
      <c r="E97" t="s">
        <v>71</v>
      </c>
      <c r="F97" t="s">
        <v>49</v>
      </c>
    </row>
    <row r="98" spans="1:6" x14ac:dyDescent="0.35">
      <c r="A98" t="s">
        <v>244</v>
      </c>
      <c r="B98" t="s">
        <v>166</v>
      </c>
      <c r="C98" s="1">
        <v>45299</v>
      </c>
      <c r="D98">
        <v>108.58</v>
      </c>
      <c r="E98" t="s">
        <v>62</v>
      </c>
      <c r="F98" t="s">
        <v>54</v>
      </c>
    </row>
    <row r="99" spans="1:6" x14ac:dyDescent="0.35">
      <c r="A99" t="s">
        <v>245</v>
      </c>
      <c r="B99" t="s">
        <v>130</v>
      </c>
      <c r="C99" s="1">
        <v>45416</v>
      </c>
      <c r="D99">
        <v>516.84</v>
      </c>
      <c r="E99" t="s">
        <v>68</v>
      </c>
      <c r="F99" t="s">
        <v>45</v>
      </c>
    </row>
    <row r="100" spans="1:6" x14ac:dyDescent="0.35">
      <c r="A100" t="s">
        <v>246</v>
      </c>
      <c r="B100" t="s">
        <v>247</v>
      </c>
      <c r="C100" s="1">
        <v>45535</v>
      </c>
      <c r="D100">
        <v>509.04</v>
      </c>
      <c r="E100" t="s">
        <v>71</v>
      </c>
      <c r="F100" t="s">
        <v>35</v>
      </c>
    </row>
    <row r="101" spans="1:6" x14ac:dyDescent="0.35">
      <c r="A101" t="s">
        <v>248</v>
      </c>
      <c r="B101" t="s">
        <v>249</v>
      </c>
      <c r="C101" s="1">
        <v>45419</v>
      </c>
      <c r="D101">
        <v>456.86</v>
      </c>
      <c r="E101" t="s">
        <v>65</v>
      </c>
      <c r="F101" t="s">
        <v>31</v>
      </c>
    </row>
    <row r="102" spans="1:6" x14ac:dyDescent="0.35">
      <c r="A102" t="s">
        <v>250</v>
      </c>
      <c r="B102" t="s">
        <v>209</v>
      </c>
      <c r="C102" s="1">
        <v>45465</v>
      </c>
      <c r="D102">
        <v>253.64</v>
      </c>
      <c r="E102" t="s">
        <v>68</v>
      </c>
      <c r="F102" t="s">
        <v>46</v>
      </c>
    </row>
    <row r="103" spans="1:6" x14ac:dyDescent="0.35">
      <c r="A103" t="s">
        <v>251</v>
      </c>
      <c r="B103" t="s">
        <v>252</v>
      </c>
      <c r="C103" s="1">
        <v>45370</v>
      </c>
      <c r="D103">
        <v>335.02</v>
      </c>
      <c r="E103" t="s">
        <v>68</v>
      </c>
      <c r="F103" t="s">
        <v>41</v>
      </c>
    </row>
    <row r="104" spans="1:6" x14ac:dyDescent="0.35">
      <c r="A104" t="s">
        <v>253</v>
      </c>
      <c r="B104" t="s">
        <v>156</v>
      </c>
      <c r="C104" s="1">
        <v>45454</v>
      </c>
      <c r="D104">
        <v>583.45000000000005</v>
      </c>
      <c r="E104" t="s">
        <v>62</v>
      </c>
      <c r="F104" t="s">
        <v>38</v>
      </c>
    </row>
    <row r="105" spans="1:6" x14ac:dyDescent="0.35">
      <c r="A105" t="s">
        <v>254</v>
      </c>
      <c r="B105" t="s">
        <v>255</v>
      </c>
      <c r="C105" s="1">
        <v>45390</v>
      </c>
      <c r="D105">
        <v>480.51</v>
      </c>
      <c r="E105" t="s">
        <v>65</v>
      </c>
      <c r="F105" t="s">
        <v>53</v>
      </c>
    </row>
    <row r="106" spans="1:6" x14ac:dyDescent="0.35">
      <c r="A106" t="s">
        <v>256</v>
      </c>
      <c r="B106" t="s">
        <v>257</v>
      </c>
      <c r="C106" s="1">
        <v>45420</v>
      </c>
      <c r="D106">
        <v>304.06</v>
      </c>
      <c r="E106" t="s">
        <v>65</v>
      </c>
      <c r="F106" t="s">
        <v>32</v>
      </c>
    </row>
    <row r="107" spans="1:6" x14ac:dyDescent="0.35">
      <c r="A107" t="s">
        <v>258</v>
      </c>
      <c r="B107" t="s">
        <v>259</v>
      </c>
      <c r="C107" s="1">
        <v>45442</v>
      </c>
      <c r="D107">
        <v>383.52</v>
      </c>
      <c r="E107" t="s">
        <v>65</v>
      </c>
      <c r="F107" t="s">
        <v>48</v>
      </c>
    </row>
    <row r="108" spans="1:6" x14ac:dyDescent="0.35">
      <c r="A108" t="s">
        <v>260</v>
      </c>
      <c r="B108" t="s">
        <v>261</v>
      </c>
      <c r="C108" s="1">
        <v>45570</v>
      </c>
      <c r="D108">
        <v>323.06</v>
      </c>
      <c r="E108" t="s">
        <v>62</v>
      </c>
      <c r="F108" t="s">
        <v>43</v>
      </c>
    </row>
    <row r="109" spans="1:6" x14ac:dyDescent="0.35">
      <c r="A109" t="s">
        <v>262</v>
      </c>
      <c r="B109" t="s">
        <v>263</v>
      </c>
      <c r="C109" s="1">
        <v>45598</v>
      </c>
      <c r="D109">
        <v>361.65</v>
      </c>
      <c r="E109" t="s">
        <v>71</v>
      </c>
      <c r="F109" t="s">
        <v>50</v>
      </c>
    </row>
    <row r="110" spans="1:6" x14ac:dyDescent="0.35">
      <c r="A110" t="s">
        <v>264</v>
      </c>
      <c r="B110" t="s">
        <v>265</v>
      </c>
      <c r="C110" s="1">
        <v>45522</v>
      </c>
      <c r="D110">
        <v>260.77</v>
      </c>
      <c r="E110" t="s">
        <v>62</v>
      </c>
      <c r="F110" t="s">
        <v>54</v>
      </c>
    </row>
    <row r="111" spans="1:6" x14ac:dyDescent="0.35">
      <c r="A111" t="s">
        <v>266</v>
      </c>
      <c r="B111" t="s">
        <v>267</v>
      </c>
      <c r="C111" s="1">
        <v>45292</v>
      </c>
      <c r="D111">
        <v>149.1</v>
      </c>
      <c r="E111" t="s">
        <v>65</v>
      </c>
      <c r="F111" t="s">
        <v>32</v>
      </c>
    </row>
    <row r="112" spans="1:6" x14ac:dyDescent="0.35">
      <c r="A112" t="s">
        <v>268</v>
      </c>
      <c r="B112" t="s">
        <v>269</v>
      </c>
      <c r="C112" s="1">
        <v>45301</v>
      </c>
      <c r="D112">
        <v>416.42</v>
      </c>
      <c r="E112" t="s">
        <v>62</v>
      </c>
      <c r="F112" t="s">
        <v>38</v>
      </c>
    </row>
    <row r="113" spans="1:6" x14ac:dyDescent="0.35">
      <c r="A113" t="s">
        <v>270</v>
      </c>
      <c r="B113" t="s">
        <v>61</v>
      </c>
      <c r="C113" s="1">
        <v>45456</v>
      </c>
      <c r="D113">
        <v>357.3</v>
      </c>
      <c r="E113" t="s">
        <v>65</v>
      </c>
      <c r="F113" t="s">
        <v>48</v>
      </c>
    </row>
    <row r="114" spans="1:6" x14ac:dyDescent="0.35">
      <c r="A114" t="s">
        <v>271</v>
      </c>
      <c r="B114" t="s">
        <v>272</v>
      </c>
      <c r="C114" s="1">
        <v>45546</v>
      </c>
      <c r="D114">
        <v>209.12</v>
      </c>
      <c r="E114" t="s">
        <v>71</v>
      </c>
      <c r="F114" t="s">
        <v>39</v>
      </c>
    </row>
    <row r="115" spans="1:6" x14ac:dyDescent="0.35">
      <c r="A115" t="s">
        <v>273</v>
      </c>
      <c r="B115" t="s">
        <v>274</v>
      </c>
      <c r="C115" s="1">
        <v>45501</v>
      </c>
      <c r="D115">
        <v>94.2</v>
      </c>
      <c r="E115" t="s">
        <v>62</v>
      </c>
      <c r="F115" t="s">
        <v>36</v>
      </c>
    </row>
    <row r="116" spans="1:6" x14ac:dyDescent="0.35">
      <c r="A116" t="s">
        <v>275</v>
      </c>
      <c r="B116" t="s">
        <v>276</v>
      </c>
      <c r="C116" s="1">
        <v>45629</v>
      </c>
      <c r="D116">
        <v>144.86000000000001</v>
      </c>
      <c r="E116" t="s">
        <v>68</v>
      </c>
      <c r="F116" t="s">
        <v>41</v>
      </c>
    </row>
    <row r="117" spans="1:6" x14ac:dyDescent="0.35">
      <c r="A117" t="s">
        <v>277</v>
      </c>
      <c r="B117" t="s">
        <v>278</v>
      </c>
      <c r="C117" s="1">
        <v>45308</v>
      </c>
      <c r="D117">
        <v>152.84</v>
      </c>
      <c r="E117" t="s">
        <v>68</v>
      </c>
      <c r="F117" t="s">
        <v>52</v>
      </c>
    </row>
    <row r="118" spans="1:6" x14ac:dyDescent="0.35">
      <c r="A118" t="s">
        <v>279</v>
      </c>
      <c r="B118" t="s">
        <v>280</v>
      </c>
      <c r="C118" s="1">
        <v>45308</v>
      </c>
      <c r="D118">
        <v>336.29</v>
      </c>
      <c r="E118" t="s">
        <v>65</v>
      </c>
      <c r="F118" t="s">
        <v>32</v>
      </c>
    </row>
    <row r="119" spans="1:6" x14ac:dyDescent="0.35">
      <c r="A119" t="s">
        <v>281</v>
      </c>
      <c r="B119" t="s">
        <v>282</v>
      </c>
      <c r="C119" s="1">
        <v>45611</v>
      </c>
      <c r="D119">
        <v>260.31</v>
      </c>
      <c r="E119" t="s">
        <v>62</v>
      </c>
      <c r="F119" t="s">
        <v>36</v>
      </c>
    </row>
    <row r="120" spans="1:6" x14ac:dyDescent="0.35">
      <c r="A120" t="s">
        <v>283</v>
      </c>
      <c r="B120" t="s">
        <v>229</v>
      </c>
      <c r="C120" s="1">
        <v>45602</v>
      </c>
      <c r="D120">
        <v>438.29</v>
      </c>
      <c r="E120" t="s">
        <v>68</v>
      </c>
      <c r="F120" t="s">
        <v>41</v>
      </c>
    </row>
    <row r="121" spans="1:6" x14ac:dyDescent="0.35">
      <c r="A121" t="s">
        <v>284</v>
      </c>
      <c r="B121" t="s">
        <v>285</v>
      </c>
      <c r="C121" s="1">
        <v>45332</v>
      </c>
      <c r="D121">
        <v>378.18</v>
      </c>
      <c r="E121" t="s">
        <v>68</v>
      </c>
      <c r="F121" t="s">
        <v>40</v>
      </c>
    </row>
    <row r="122" spans="1:6" x14ac:dyDescent="0.35">
      <c r="A122" t="s">
        <v>286</v>
      </c>
      <c r="B122" t="s">
        <v>287</v>
      </c>
      <c r="C122" s="1">
        <v>45504</v>
      </c>
      <c r="D122">
        <v>198.48</v>
      </c>
      <c r="E122" t="s">
        <v>68</v>
      </c>
      <c r="F122" t="s">
        <v>45</v>
      </c>
    </row>
    <row r="123" spans="1:6" x14ac:dyDescent="0.35">
      <c r="A123" t="s">
        <v>288</v>
      </c>
      <c r="B123" t="s">
        <v>229</v>
      </c>
      <c r="C123" s="1">
        <v>45312</v>
      </c>
      <c r="D123">
        <v>615.92999999999995</v>
      </c>
      <c r="E123" t="s">
        <v>62</v>
      </c>
      <c r="F123" t="s">
        <v>36</v>
      </c>
    </row>
    <row r="124" spans="1:6" x14ac:dyDescent="0.35">
      <c r="A124" t="s">
        <v>289</v>
      </c>
      <c r="B124" t="s">
        <v>290</v>
      </c>
      <c r="C124" s="1">
        <v>45557</v>
      </c>
      <c r="D124">
        <v>177.08</v>
      </c>
      <c r="E124" t="s">
        <v>68</v>
      </c>
      <c r="F124" t="s">
        <v>33</v>
      </c>
    </row>
    <row r="125" spans="1:6" x14ac:dyDescent="0.35">
      <c r="A125" t="s">
        <v>291</v>
      </c>
      <c r="B125" t="s">
        <v>292</v>
      </c>
      <c r="C125" s="1">
        <v>45489</v>
      </c>
      <c r="D125">
        <v>438.98</v>
      </c>
      <c r="E125" t="s">
        <v>71</v>
      </c>
      <c r="F125" t="s">
        <v>39</v>
      </c>
    </row>
    <row r="126" spans="1:6" x14ac:dyDescent="0.35">
      <c r="A126" t="s">
        <v>293</v>
      </c>
      <c r="B126" t="s">
        <v>209</v>
      </c>
      <c r="C126" s="1">
        <v>45583</v>
      </c>
      <c r="D126">
        <v>495.75</v>
      </c>
      <c r="E126" t="s">
        <v>71</v>
      </c>
      <c r="F126" t="s">
        <v>39</v>
      </c>
    </row>
    <row r="127" spans="1:6" x14ac:dyDescent="0.35">
      <c r="A127" t="s">
        <v>294</v>
      </c>
      <c r="B127" t="s">
        <v>295</v>
      </c>
      <c r="C127" s="1">
        <v>45504</v>
      </c>
      <c r="D127">
        <v>317.11</v>
      </c>
      <c r="E127" t="s">
        <v>62</v>
      </c>
      <c r="F127" t="s">
        <v>43</v>
      </c>
    </row>
    <row r="128" spans="1:6" x14ac:dyDescent="0.35">
      <c r="A128" t="s">
        <v>296</v>
      </c>
      <c r="B128" t="s">
        <v>297</v>
      </c>
      <c r="C128" s="1">
        <v>45632</v>
      </c>
      <c r="D128">
        <v>522.36</v>
      </c>
      <c r="E128" t="s">
        <v>68</v>
      </c>
      <c r="F128" t="s">
        <v>41</v>
      </c>
    </row>
    <row r="129" spans="1:6" x14ac:dyDescent="0.35">
      <c r="A129" t="s">
        <v>298</v>
      </c>
      <c r="B129" t="s">
        <v>299</v>
      </c>
      <c r="C129" s="1">
        <v>45573</v>
      </c>
      <c r="D129">
        <v>132.28</v>
      </c>
      <c r="E129" t="s">
        <v>62</v>
      </c>
      <c r="F129" t="s">
        <v>43</v>
      </c>
    </row>
    <row r="130" spans="1:6" x14ac:dyDescent="0.35">
      <c r="A130" t="s">
        <v>300</v>
      </c>
      <c r="B130" t="s">
        <v>183</v>
      </c>
      <c r="C130" s="1">
        <v>45599</v>
      </c>
      <c r="D130">
        <v>373.3</v>
      </c>
      <c r="E130" t="s">
        <v>62</v>
      </c>
      <c r="F130" t="s">
        <v>42</v>
      </c>
    </row>
    <row r="131" spans="1:6" x14ac:dyDescent="0.35">
      <c r="A131" t="s">
        <v>301</v>
      </c>
      <c r="B131" t="s">
        <v>225</v>
      </c>
      <c r="C131" s="1">
        <v>45458</v>
      </c>
      <c r="D131">
        <v>424.44</v>
      </c>
      <c r="E131" t="s">
        <v>65</v>
      </c>
      <c r="F131" t="s">
        <v>51</v>
      </c>
    </row>
    <row r="132" spans="1:6" x14ac:dyDescent="0.35">
      <c r="A132" t="s">
        <v>302</v>
      </c>
      <c r="B132" t="s">
        <v>303</v>
      </c>
      <c r="C132" s="1">
        <v>45457</v>
      </c>
      <c r="D132">
        <v>370.56</v>
      </c>
      <c r="E132" t="s">
        <v>71</v>
      </c>
      <c r="F132" t="s">
        <v>39</v>
      </c>
    </row>
    <row r="133" spans="1:6" x14ac:dyDescent="0.35">
      <c r="A133" t="s">
        <v>304</v>
      </c>
      <c r="B133" t="s">
        <v>305</v>
      </c>
      <c r="C133" s="1">
        <v>45484</v>
      </c>
      <c r="D133">
        <v>626.41999999999996</v>
      </c>
      <c r="E133" t="s">
        <v>62</v>
      </c>
      <c r="F133" t="s">
        <v>42</v>
      </c>
    </row>
    <row r="134" spans="1:6" x14ac:dyDescent="0.35">
      <c r="A134" t="s">
        <v>306</v>
      </c>
      <c r="B134" t="s">
        <v>307</v>
      </c>
      <c r="C134" s="1">
        <v>45521</v>
      </c>
      <c r="D134">
        <v>56.32</v>
      </c>
      <c r="E134" t="s">
        <v>68</v>
      </c>
      <c r="F134" t="s">
        <v>33</v>
      </c>
    </row>
    <row r="135" spans="1:6" x14ac:dyDescent="0.35">
      <c r="A135" t="s">
        <v>308</v>
      </c>
      <c r="B135" t="s">
        <v>247</v>
      </c>
      <c r="C135" s="1">
        <v>45437</v>
      </c>
      <c r="D135">
        <v>118.08</v>
      </c>
      <c r="E135" t="s">
        <v>68</v>
      </c>
      <c r="F135" t="s">
        <v>45</v>
      </c>
    </row>
    <row r="136" spans="1:6" x14ac:dyDescent="0.35">
      <c r="A136" t="s">
        <v>309</v>
      </c>
      <c r="B136" t="s">
        <v>310</v>
      </c>
      <c r="C136" s="1">
        <v>45446</v>
      </c>
      <c r="D136">
        <v>167.12</v>
      </c>
      <c r="E136" t="s">
        <v>62</v>
      </c>
      <c r="F136" t="s">
        <v>47</v>
      </c>
    </row>
    <row r="137" spans="1:6" x14ac:dyDescent="0.35">
      <c r="A137" t="s">
        <v>311</v>
      </c>
      <c r="B137" t="s">
        <v>312</v>
      </c>
      <c r="C137" s="1">
        <v>45453</v>
      </c>
      <c r="D137">
        <v>349.43</v>
      </c>
      <c r="E137" t="s">
        <v>62</v>
      </c>
      <c r="F137" t="s">
        <v>54</v>
      </c>
    </row>
    <row r="138" spans="1:6" x14ac:dyDescent="0.35">
      <c r="A138" t="s">
        <v>313</v>
      </c>
      <c r="B138" t="s">
        <v>280</v>
      </c>
      <c r="C138" s="1">
        <v>45584</v>
      </c>
      <c r="D138">
        <v>58.21</v>
      </c>
      <c r="E138" t="s">
        <v>71</v>
      </c>
      <c r="F138" t="s">
        <v>50</v>
      </c>
    </row>
    <row r="139" spans="1:6" x14ac:dyDescent="0.35">
      <c r="A139" t="s">
        <v>314</v>
      </c>
      <c r="B139" t="s">
        <v>315</v>
      </c>
      <c r="C139" s="1">
        <v>45474</v>
      </c>
      <c r="D139">
        <v>260.76</v>
      </c>
      <c r="E139" t="s">
        <v>71</v>
      </c>
      <c r="F139" t="s">
        <v>35</v>
      </c>
    </row>
    <row r="140" spans="1:6" x14ac:dyDescent="0.35">
      <c r="A140" t="s">
        <v>316</v>
      </c>
      <c r="B140" t="s">
        <v>317</v>
      </c>
      <c r="C140" s="1">
        <v>45590</v>
      </c>
      <c r="D140">
        <v>533.80999999999995</v>
      </c>
      <c r="E140" t="s">
        <v>71</v>
      </c>
      <c r="F140" t="s">
        <v>35</v>
      </c>
    </row>
    <row r="141" spans="1:6" x14ac:dyDescent="0.35">
      <c r="A141" t="s">
        <v>318</v>
      </c>
      <c r="B141" t="s">
        <v>280</v>
      </c>
      <c r="C141" s="1">
        <v>45339</v>
      </c>
      <c r="D141">
        <v>599.5</v>
      </c>
      <c r="E141" t="s">
        <v>65</v>
      </c>
      <c r="F141" t="s">
        <v>44</v>
      </c>
    </row>
    <row r="142" spans="1:6" x14ac:dyDescent="0.35">
      <c r="A142" t="s">
        <v>319</v>
      </c>
      <c r="B142" t="s">
        <v>320</v>
      </c>
      <c r="C142" s="1">
        <v>45331</v>
      </c>
      <c r="D142">
        <v>335.29</v>
      </c>
      <c r="E142" t="s">
        <v>65</v>
      </c>
      <c r="F142" t="s">
        <v>48</v>
      </c>
    </row>
    <row r="143" spans="1:6" x14ac:dyDescent="0.35">
      <c r="A143" t="s">
        <v>321</v>
      </c>
      <c r="B143" t="s">
        <v>322</v>
      </c>
      <c r="C143" s="1">
        <v>45645</v>
      </c>
      <c r="D143">
        <v>429.99</v>
      </c>
      <c r="E143" t="s">
        <v>68</v>
      </c>
      <c r="F143" t="s">
        <v>45</v>
      </c>
    </row>
    <row r="144" spans="1:6" x14ac:dyDescent="0.35">
      <c r="A144" t="s">
        <v>323</v>
      </c>
      <c r="B144" t="s">
        <v>322</v>
      </c>
      <c r="C144" s="1">
        <v>45311</v>
      </c>
      <c r="D144">
        <v>514.77</v>
      </c>
      <c r="E144" t="s">
        <v>65</v>
      </c>
      <c r="F144" t="s">
        <v>31</v>
      </c>
    </row>
    <row r="145" spans="1:6" x14ac:dyDescent="0.35">
      <c r="A145" t="s">
        <v>324</v>
      </c>
      <c r="B145" t="s">
        <v>261</v>
      </c>
      <c r="C145" s="1">
        <v>45463</v>
      </c>
      <c r="D145">
        <v>607.1</v>
      </c>
      <c r="E145" t="s">
        <v>65</v>
      </c>
      <c r="F145" t="s">
        <v>30</v>
      </c>
    </row>
    <row r="146" spans="1:6" x14ac:dyDescent="0.35">
      <c r="A146" t="s">
        <v>325</v>
      </c>
      <c r="B146" t="s">
        <v>326</v>
      </c>
      <c r="C146" s="1">
        <v>45353</v>
      </c>
      <c r="D146">
        <v>513.11</v>
      </c>
      <c r="E146" t="s">
        <v>68</v>
      </c>
      <c r="F146" t="s">
        <v>33</v>
      </c>
    </row>
    <row r="147" spans="1:6" x14ac:dyDescent="0.35">
      <c r="A147" t="s">
        <v>327</v>
      </c>
      <c r="B147" t="s">
        <v>124</v>
      </c>
      <c r="C147" s="1">
        <v>45487</v>
      </c>
      <c r="D147">
        <v>60.33</v>
      </c>
      <c r="E147" t="s">
        <v>62</v>
      </c>
      <c r="F147" t="s">
        <v>54</v>
      </c>
    </row>
    <row r="148" spans="1:6" x14ac:dyDescent="0.35">
      <c r="A148" t="s">
        <v>328</v>
      </c>
      <c r="B148" t="s">
        <v>329</v>
      </c>
      <c r="C148" s="1">
        <v>45568</v>
      </c>
      <c r="D148">
        <v>343.98</v>
      </c>
      <c r="E148" t="s">
        <v>71</v>
      </c>
      <c r="F148" t="s">
        <v>35</v>
      </c>
    </row>
    <row r="149" spans="1:6" x14ac:dyDescent="0.35">
      <c r="A149" t="s">
        <v>330</v>
      </c>
      <c r="B149" t="s">
        <v>331</v>
      </c>
      <c r="C149" s="1">
        <v>45405</v>
      </c>
      <c r="D149">
        <v>484.92</v>
      </c>
      <c r="E149" t="s">
        <v>68</v>
      </c>
      <c r="F149" t="s">
        <v>33</v>
      </c>
    </row>
    <row r="150" spans="1:6" x14ac:dyDescent="0.35">
      <c r="A150" t="s">
        <v>332</v>
      </c>
      <c r="B150" t="s">
        <v>333</v>
      </c>
      <c r="C150" s="1">
        <v>45493</v>
      </c>
      <c r="D150">
        <v>300.64</v>
      </c>
      <c r="E150" t="s">
        <v>68</v>
      </c>
      <c r="F150" t="s">
        <v>41</v>
      </c>
    </row>
    <row r="151" spans="1:6" x14ac:dyDescent="0.35">
      <c r="A151" t="s">
        <v>334</v>
      </c>
      <c r="B151" t="s">
        <v>335</v>
      </c>
      <c r="C151" s="1">
        <v>45493</v>
      </c>
      <c r="D151">
        <v>85.77</v>
      </c>
      <c r="E151" t="s">
        <v>71</v>
      </c>
      <c r="F151" t="s">
        <v>35</v>
      </c>
    </row>
    <row r="152" spans="1:6" x14ac:dyDescent="0.35">
      <c r="A152" t="s">
        <v>336</v>
      </c>
      <c r="B152" t="s">
        <v>218</v>
      </c>
      <c r="C152" s="1">
        <v>45584</v>
      </c>
      <c r="D152">
        <v>87.32</v>
      </c>
      <c r="E152" t="s">
        <v>65</v>
      </c>
      <c r="F152" t="s">
        <v>53</v>
      </c>
    </row>
    <row r="153" spans="1:6" x14ac:dyDescent="0.35">
      <c r="A153" t="s">
        <v>337</v>
      </c>
      <c r="B153" t="s">
        <v>338</v>
      </c>
      <c r="C153" s="1">
        <v>45548</v>
      </c>
      <c r="D153">
        <v>330.77</v>
      </c>
      <c r="E153" t="s">
        <v>71</v>
      </c>
      <c r="F153" t="s">
        <v>34</v>
      </c>
    </row>
    <row r="154" spans="1:6" x14ac:dyDescent="0.35">
      <c r="A154" t="s">
        <v>339</v>
      </c>
      <c r="B154" t="s">
        <v>149</v>
      </c>
      <c r="C154" s="1">
        <v>45393</v>
      </c>
      <c r="D154">
        <v>386.37</v>
      </c>
      <c r="E154" t="s">
        <v>65</v>
      </c>
      <c r="F154" t="s">
        <v>32</v>
      </c>
    </row>
    <row r="155" spans="1:6" x14ac:dyDescent="0.35">
      <c r="A155" t="s">
        <v>340</v>
      </c>
      <c r="B155" t="s">
        <v>341</v>
      </c>
      <c r="C155" s="1">
        <v>45579</v>
      </c>
      <c r="D155">
        <v>79.06</v>
      </c>
      <c r="E155" t="s">
        <v>71</v>
      </c>
      <c r="F155" t="s">
        <v>34</v>
      </c>
    </row>
    <row r="156" spans="1:6" x14ac:dyDescent="0.35">
      <c r="A156" t="s">
        <v>342</v>
      </c>
      <c r="B156" t="s">
        <v>238</v>
      </c>
      <c r="C156" s="1">
        <v>45512</v>
      </c>
      <c r="D156">
        <v>448.12</v>
      </c>
      <c r="E156" t="s">
        <v>68</v>
      </c>
      <c r="F156" t="s">
        <v>46</v>
      </c>
    </row>
    <row r="157" spans="1:6" x14ac:dyDescent="0.35">
      <c r="A157" t="s">
        <v>343</v>
      </c>
      <c r="B157" t="s">
        <v>344</v>
      </c>
      <c r="C157" s="1">
        <v>45508</v>
      </c>
      <c r="D157">
        <v>232.25</v>
      </c>
      <c r="E157" t="s">
        <v>62</v>
      </c>
      <c r="F157" t="s">
        <v>47</v>
      </c>
    </row>
    <row r="158" spans="1:6" x14ac:dyDescent="0.35">
      <c r="A158" t="s">
        <v>345</v>
      </c>
      <c r="B158" t="s">
        <v>346</v>
      </c>
      <c r="C158" s="1">
        <v>45596</v>
      </c>
      <c r="D158">
        <v>139.09</v>
      </c>
      <c r="E158" t="s">
        <v>68</v>
      </c>
      <c r="F158" t="s">
        <v>40</v>
      </c>
    </row>
    <row r="159" spans="1:6" x14ac:dyDescent="0.35">
      <c r="A159" t="s">
        <v>347</v>
      </c>
      <c r="B159" t="s">
        <v>341</v>
      </c>
      <c r="C159" s="1">
        <v>45471</v>
      </c>
      <c r="D159">
        <v>124.68</v>
      </c>
      <c r="E159" t="s">
        <v>65</v>
      </c>
      <c r="F159" t="s">
        <v>44</v>
      </c>
    </row>
    <row r="160" spans="1:6" x14ac:dyDescent="0.35">
      <c r="A160" t="s">
        <v>348</v>
      </c>
      <c r="B160" t="s">
        <v>222</v>
      </c>
      <c r="C160" s="1">
        <v>45314</v>
      </c>
      <c r="D160">
        <v>264.89999999999998</v>
      </c>
      <c r="E160" t="s">
        <v>71</v>
      </c>
      <c r="F160" t="s">
        <v>49</v>
      </c>
    </row>
    <row r="161" spans="1:6" x14ac:dyDescent="0.35">
      <c r="A161" t="s">
        <v>349</v>
      </c>
      <c r="B161" t="s">
        <v>243</v>
      </c>
      <c r="C161" s="1">
        <v>45335</v>
      </c>
      <c r="D161">
        <v>618.6</v>
      </c>
      <c r="E161" t="s">
        <v>68</v>
      </c>
      <c r="F161" t="s">
        <v>41</v>
      </c>
    </row>
    <row r="162" spans="1:6" x14ac:dyDescent="0.35">
      <c r="A162" t="s">
        <v>350</v>
      </c>
      <c r="B162" t="s">
        <v>351</v>
      </c>
      <c r="C162" s="1">
        <v>45367</v>
      </c>
      <c r="D162">
        <v>461.68</v>
      </c>
      <c r="E162" t="s">
        <v>68</v>
      </c>
      <c r="F162" t="s">
        <v>40</v>
      </c>
    </row>
    <row r="163" spans="1:6" x14ac:dyDescent="0.35">
      <c r="A163" t="s">
        <v>352</v>
      </c>
      <c r="B163" t="s">
        <v>353</v>
      </c>
      <c r="C163" s="1">
        <v>45348</v>
      </c>
      <c r="D163">
        <v>48.99</v>
      </c>
      <c r="E163" t="s">
        <v>65</v>
      </c>
      <c r="F163" t="s">
        <v>30</v>
      </c>
    </row>
    <row r="164" spans="1:6" x14ac:dyDescent="0.35">
      <c r="A164" t="s">
        <v>354</v>
      </c>
      <c r="B164" t="s">
        <v>160</v>
      </c>
      <c r="C164" s="1">
        <v>45399</v>
      </c>
      <c r="D164">
        <v>371.05</v>
      </c>
      <c r="E164" t="s">
        <v>71</v>
      </c>
      <c r="F164" t="s">
        <v>34</v>
      </c>
    </row>
    <row r="165" spans="1:6" x14ac:dyDescent="0.35">
      <c r="A165" t="s">
        <v>355</v>
      </c>
      <c r="B165" t="s">
        <v>188</v>
      </c>
      <c r="C165" s="1">
        <v>45424</v>
      </c>
      <c r="D165">
        <v>483.9</v>
      </c>
      <c r="E165" t="s">
        <v>65</v>
      </c>
      <c r="F165" t="s">
        <v>44</v>
      </c>
    </row>
    <row r="166" spans="1:6" x14ac:dyDescent="0.35">
      <c r="A166" t="s">
        <v>356</v>
      </c>
      <c r="B166" t="s">
        <v>357</v>
      </c>
      <c r="C166" s="1">
        <v>45364</v>
      </c>
      <c r="D166">
        <v>393.55</v>
      </c>
      <c r="E166" t="s">
        <v>68</v>
      </c>
      <c r="F166" t="s">
        <v>52</v>
      </c>
    </row>
    <row r="167" spans="1:6" x14ac:dyDescent="0.35">
      <c r="A167" t="s">
        <v>358</v>
      </c>
      <c r="B167" t="s">
        <v>359</v>
      </c>
      <c r="C167" s="1">
        <v>45631</v>
      </c>
      <c r="D167">
        <v>139.75</v>
      </c>
      <c r="E167" t="s">
        <v>68</v>
      </c>
      <c r="F167" t="s">
        <v>40</v>
      </c>
    </row>
    <row r="168" spans="1:6" x14ac:dyDescent="0.35">
      <c r="A168" t="s">
        <v>360</v>
      </c>
      <c r="B168" t="s">
        <v>361</v>
      </c>
      <c r="C168" s="1">
        <v>45437</v>
      </c>
      <c r="D168">
        <v>320.95</v>
      </c>
      <c r="E168" t="s">
        <v>62</v>
      </c>
      <c r="F168" t="s">
        <v>36</v>
      </c>
    </row>
    <row r="169" spans="1:6" x14ac:dyDescent="0.35">
      <c r="A169" t="s">
        <v>362</v>
      </c>
      <c r="B169" t="s">
        <v>276</v>
      </c>
      <c r="C169" s="1">
        <v>45296</v>
      </c>
      <c r="D169">
        <v>201.86</v>
      </c>
      <c r="E169" t="s">
        <v>65</v>
      </c>
      <c r="F169" t="s">
        <v>32</v>
      </c>
    </row>
    <row r="170" spans="1:6" x14ac:dyDescent="0.35">
      <c r="A170" t="s">
        <v>363</v>
      </c>
      <c r="B170" t="s">
        <v>76</v>
      </c>
      <c r="C170" s="1">
        <v>45629</v>
      </c>
      <c r="D170">
        <v>214.88</v>
      </c>
      <c r="E170" t="s">
        <v>68</v>
      </c>
      <c r="F170" t="s">
        <v>46</v>
      </c>
    </row>
    <row r="171" spans="1:6" x14ac:dyDescent="0.35">
      <c r="A171" t="s">
        <v>364</v>
      </c>
      <c r="B171" t="s">
        <v>232</v>
      </c>
      <c r="C171" s="1">
        <v>45624</v>
      </c>
      <c r="D171">
        <v>347.75</v>
      </c>
      <c r="E171" t="s">
        <v>71</v>
      </c>
      <c r="F171" t="s">
        <v>29</v>
      </c>
    </row>
    <row r="172" spans="1:6" x14ac:dyDescent="0.35">
      <c r="A172" t="s">
        <v>365</v>
      </c>
      <c r="B172" t="s">
        <v>366</v>
      </c>
      <c r="C172" s="1">
        <v>45655</v>
      </c>
      <c r="D172">
        <v>568.07000000000005</v>
      </c>
      <c r="E172" t="s">
        <v>62</v>
      </c>
      <c r="F172" t="s">
        <v>37</v>
      </c>
    </row>
    <row r="173" spans="1:6" x14ac:dyDescent="0.35">
      <c r="A173" t="s">
        <v>367</v>
      </c>
      <c r="B173" t="s">
        <v>368</v>
      </c>
      <c r="C173" s="1">
        <v>45564</v>
      </c>
      <c r="D173">
        <v>342.9</v>
      </c>
      <c r="E173" t="s">
        <v>71</v>
      </c>
      <c r="F173" t="s">
        <v>34</v>
      </c>
    </row>
    <row r="174" spans="1:6" x14ac:dyDescent="0.35">
      <c r="A174" t="s">
        <v>369</v>
      </c>
      <c r="B174" t="s">
        <v>370</v>
      </c>
      <c r="C174" s="1">
        <v>45526</v>
      </c>
      <c r="D174">
        <v>187.15</v>
      </c>
      <c r="E174" t="s">
        <v>68</v>
      </c>
      <c r="F174" t="s">
        <v>46</v>
      </c>
    </row>
    <row r="175" spans="1:6" x14ac:dyDescent="0.35">
      <c r="A175" t="s">
        <v>371</v>
      </c>
      <c r="B175" t="s">
        <v>353</v>
      </c>
      <c r="C175" s="1">
        <v>45563</v>
      </c>
      <c r="D175">
        <v>276.94</v>
      </c>
      <c r="E175" t="s">
        <v>62</v>
      </c>
      <c r="F175" t="s">
        <v>37</v>
      </c>
    </row>
    <row r="176" spans="1:6" x14ac:dyDescent="0.35">
      <c r="A176" t="s">
        <v>372</v>
      </c>
      <c r="B176" t="s">
        <v>373</v>
      </c>
      <c r="C176" s="1">
        <v>45372</v>
      </c>
      <c r="D176">
        <v>251.43</v>
      </c>
      <c r="E176" t="s">
        <v>62</v>
      </c>
      <c r="F176" t="s">
        <v>43</v>
      </c>
    </row>
    <row r="177" spans="1:6" x14ac:dyDescent="0.35">
      <c r="A177" t="s">
        <v>374</v>
      </c>
      <c r="B177" t="s">
        <v>375</v>
      </c>
      <c r="C177" s="1">
        <v>45612</v>
      </c>
      <c r="D177">
        <v>204.67</v>
      </c>
      <c r="E177" t="s">
        <v>71</v>
      </c>
      <c r="F177" t="s">
        <v>39</v>
      </c>
    </row>
    <row r="178" spans="1:6" x14ac:dyDescent="0.35">
      <c r="A178" t="s">
        <v>376</v>
      </c>
      <c r="B178" t="s">
        <v>209</v>
      </c>
      <c r="C178" s="1">
        <v>45323</v>
      </c>
      <c r="D178">
        <v>582.6</v>
      </c>
      <c r="E178" t="s">
        <v>62</v>
      </c>
      <c r="F178" t="s">
        <v>37</v>
      </c>
    </row>
    <row r="179" spans="1:6" x14ac:dyDescent="0.35">
      <c r="A179" t="s">
        <v>377</v>
      </c>
      <c r="B179" t="s">
        <v>143</v>
      </c>
      <c r="C179" s="1">
        <v>45307</v>
      </c>
      <c r="D179">
        <v>128.30000000000001</v>
      </c>
      <c r="E179" t="s">
        <v>62</v>
      </c>
      <c r="F179" t="s">
        <v>47</v>
      </c>
    </row>
    <row r="180" spans="1:6" x14ac:dyDescent="0.35">
      <c r="A180" t="s">
        <v>378</v>
      </c>
      <c r="B180" t="s">
        <v>379</v>
      </c>
      <c r="C180" s="1">
        <v>45493</v>
      </c>
      <c r="D180">
        <v>483.88</v>
      </c>
      <c r="E180" t="s">
        <v>71</v>
      </c>
      <c r="F180" t="s">
        <v>50</v>
      </c>
    </row>
    <row r="181" spans="1:6" x14ac:dyDescent="0.35">
      <c r="A181" t="s">
        <v>380</v>
      </c>
      <c r="B181" t="s">
        <v>381</v>
      </c>
      <c r="C181" s="1">
        <v>45558</v>
      </c>
      <c r="D181">
        <v>182.82</v>
      </c>
      <c r="E181" t="s">
        <v>71</v>
      </c>
      <c r="F181" t="s">
        <v>29</v>
      </c>
    </row>
    <row r="182" spans="1:6" x14ac:dyDescent="0.35">
      <c r="A182" t="s">
        <v>382</v>
      </c>
      <c r="B182" t="s">
        <v>297</v>
      </c>
      <c r="C182" s="1">
        <v>45370</v>
      </c>
      <c r="D182">
        <v>237.51</v>
      </c>
      <c r="E182" t="s">
        <v>62</v>
      </c>
      <c r="F182" t="s">
        <v>54</v>
      </c>
    </row>
    <row r="183" spans="1:6" x14ac:dyDescent="0.35">
      <c r="A183" t="s">
        <v>383</v>
      </c>
      <c r="B183" t="s">
        <v>384</v>
      </c>
      <c r="C183" s="1">
        <v>45569</v>
      </c>
      <c r="D183">
        <v>120.22</v>
      </c>
      <c r="E183" t="s">
        <v>71</v>
      </c>
      <c r="F183" t="s">
        <v>49</v>
      </c>
    </row>
    <row r="184" spans="1:6" x14ac:dyDescent="0.35">
      <c r="A184" t="s">
        <v>385</v>
      </c>
      <c r="B184" t="s">
        <v>278</v>
      </c>
      <c r="C184" s="1">
        <v>45569</v>
      </c>
      <c r="D184">
        <v>458.45</v>
      </c>
      <c r="E184" t="s">
        <v>71</v>
      </c>
      <c r="F184" t="s">
        <v>35</v>
      </c>
    </row>
    <row r="185" spans="1:6" x14ac:dyDescent="0.35">
      <c r="A185" t="s">
        <v>386</v>
      </c>
      <c r="B185" t="s">
        <v>387</v>
      </c>
      <c r="C185" s="1">
        <v>45560</v>
      </c>
      <c r="D185">
        <v>124.27</v>
      </c>
      <c r="E185" t="s">
        <v>65</v>
      </c>
      <c r="F185" t="s">
        <v>51</v>
      </c>
    </row>
    <row r="186" spans="1:6" x14ac:dyDescent="0.35">
      <c r="A186" t="s">
        <v>388</v>
      </c>
      <c r="B186" t="s">
        <v>249</v>
      </c>
      <c r="C186" s="1">
        <v>45581</v>
      </c>
      <c r="D186">
        <v>377.76</v>
      </c>
      <c r="E186" t="s">
        <v>62</v>
      </c>
      <c r="F186" t="s">
        <v>36</v>
      </c>
    </row>
    <row r="187" spans="1:6" x14ac:dyDescent="0.35">
      <c r="A187" t="s">
        <v>389</v>
      </c>
      <c r="B187" t="s">
        <v>390</v>
      </c>
      <c r="C187" s="1">
        <v>45352</v>
      </c>
      <c r="D187">
        <v>575.98</v>
      </c>
      <c r="E187" t="s">
        <v>62</v>
      </c>
      <c r="F187" t="s">
        <v>38</v>
      </c>
    </row>
    <row r="188" spans="1:6" x14ac:dyDescent="0.35">
      <c r="A188" t="s">
        <v>391</v>
      </c>
      <c r="B188" t="s">
        <v>392</v>
      </c>
      <c r="C188" s="1">
        <v>45307</v>
      </c>
      <c r="D188">
        <v>221.56</v>
      </c>
      <c r="E188" t="s">
        <v>65</v>
      </c>
      <c r="F188" t="s">
        <v>30</v>
      </c>
    </row>
    <row r="189" spans="1:6" x14ac:dyDescent="0.35">
      <c r="A189" t="s">
        <v>393</v>
      </c>
      <c r="B189" t="s">
        <v>394</v>
      </c>
      <c r="C189" s="1">
        <v>45618</v>
      </c>
      <c r="D189">
        <v>100.66</v>
      </c>
      <c r="E189" t="s">
        <v>71</v>
      </c>
      <c r="F189" t="s">
        <v>34</v>
      </c>
    </row>
    <row r="190" spans="1:6" x14ac:dyDescent="0.35">
      <c r="A190" t="s">
        <v>395</v>
      </c>
      <c r="B190" t="s">
        <v>396</v>
      </c>
      <c r="C190" s="1">
        <v>45386</v>
      </c>
      <c r="D190">
        <v>383.73</v>
      </c>
      <c r="E190" t="s">
        <v>62</v>
      </c>
      <c r="F190" t="s">
        <v>54</v>
      </c>
    </row>
    <row r="191" spans="1:6" x14ac:dyDescent="0.35">
      <c r="A191" t="s">
        <v>397</v>
      </c>
      <c r="B191" t="s">
        <v>247</v>
      </c>
      <c r="C191" s="1">
        <v>45410</v>
      </c>
      <c r="D191">
        <v>457.74</v>
      </c>
      <c r="E191" t="s">
        <v>71</v>
      </c>
      <c r="F191" t="s">
        <v>34</v>
      </c>
    </row>
    <row r="192" spans="1:6" x14ac:dyDescent="0.35">
      <c r="A192" t="s">
        <v>398</v>
      </c>
      <c r="B192" t="s">
        <v>116</v>
      </c>
      <c r="C192" s="1">
        <v>45475</v>
      </c>
      <c r="D192">
        <v>343.93</v>
      </c>
      <c r="E192" t="s">
        <v>65</v>
      </c>
      <c r="F192" t="s">
        <v>48</v>
      </c>
    </row>
    <row r="193" spans="1:6" x14ac:dyDescent="0.35">
      <c r="A193" t="s">
        <v>399</v>
      </c>
      <c r="B193" t="s">
        <v>400</v>
      </c>
      <c r="C193" s="1">
        <v>45601</v>
      </c>
      <c r="D193">
        <v>559.05999999999995</v>
      </c>
      <c r="E193" t="s">
        <v>62</v>
      </c>
      <c r="F193" t="s">
        <v>47</v>
      </c>
    </row>
    <row r="194" spans="1:6" x14ac:dyDescent="0.35">
      <c r="A194" t="s">
        <v>401</v>
      </c>
      <c r="B194" t="s">
        <v>402</v>
      </c>
      <c r="C194" s="1">
        <v>45543</v>
      </c>
      <c r="D194">
        <v>153.85</v>
      </c>
      <c r="E194" t="s">
        <v>71</v>
      </c>
      <c r="F194" t="s">
        <v>34</v>
      </c>
    </row>
    <row r="195" spans="1:6" x14ac:dyDescent="0.35">
      <c r="A195" t="s">
        <v>403</v>
      </c>
      <c r="B195" t="s">
        <v>404</v>
      </c>
      <c r="C195" s="1">
        <v>45308</v>
      </c>
      <c r="D195">
        <v>619.37</v>
      </c>
      <c r="E195" t="s">
        <v>68</v>
      </c>
      <c r="F195" t="s">
        <v>40</v>
      </c>
    </row>
    <row r="196" spans="1:6" x14ac:dyDescent="0.35">
      <c r="A196" t="s">
        <v>405</v>
      </c>
      <c r="B196" t="s">
        <v>406</v>
      </c>
      <c r="C196" s="1">
        <v>45405</v>
      </c>
      <c r="D196">
        <v>75.67</v>
      </c>
      <c r="E196" t="s">
        <v>71</v>
      </c>
      <c r="F196" t="s">
        <v>34</v>
      </c>
    </row>
    <row r="197" spans="1:6" x14ac:dyDescent="0.35">
      <c r="A197" t="s">
        <v>407</v>
      </c>
      <c r="B197" t="s">
        <v>341</v>
      </c>
      <c r="C197" s="1">
        <v>45516</v>
      </c>
      <c r="D197">
        <v>234.81</v>
      </c>
      <c r="E197" t="s">
        <v>65</v>
      </c>
      <c r="F197" t="s">
        <v>32</v>
      </c>
    </row>
    <row r="198" spans="1:6" x14ac:dyDescent="0.35">
      <c r="A198" t="s">
        <v>408</v>
      </c>
      <c r="B198" t="s">
        <v>409</v>
      </c>
      <c r="C198" s="1">
        <v>45526</v>
      </c>
      <c r="D198">
        <v>512.37</v>
      </c>
      <c r="E198" t="s">
        <v>65</v>
      </c>
      <c r="F198" t="s">
        <v>30</v>
      </c>
    </row>
    <row r="199" spans="1:6" x14ac:dyDescent="0.35">
      <c r="A199" t="s">
        <v>410</v>
      </c>
      <c r="B199" t="s">
        <v>411</v>
      </c>
      <c r="C199" s="1">
        <v>45603</v>
      </c>
      <c r="D199">
        <v>411.08</v>
      </c>
      <c r="E199" t="s">
        <v>62</v>
      </c>
      <c r="F199" t="s">
        <v>37</v>
      </c>
    </row>
    <row r="200" spans="1:6" x14ac:dyDescent="0.35">
      <c r="A200" t="s">
        <v>412</v>
      </c>
      <c r="B200" t="s">
        <v>413</v>
      </c>
      <c r="C200" s="1">
        <v>45584</v>
      </c>
      <c r="D200">
        <v>102.23</v>
      </c>
      <c r="E200" t="s">
        <v>68</v>
      </c>
      <c r="F200" t="s">
        <v>45</v>
      </c>
    </row>
    <row r="201" spans="1:6" x14ac:dyDescent="0.35">
      <c r="A201" t="s">
        <v>414</v>
      </c>
      <c r="B201" t="s">
        <v>118</v>
      </c>
      <c r="C201" s="1">
        <v>45525</v>
      </c>
      <c r="D201">
        <v>365.79</v>
      </c>
      <c r="E201" t="s">
        <v>71</v>
      </c>
      <c r="F201" t="s">
        <v>39</v>
      </c>
    </row>
    <row r="202" spans="1:6" x14ac:dyDescent="0.35">
      <c r="A202" t="s">
        <v>415</v>
      </c>
      <c r="B202" t="s">
        <v>156</v>
      </c>
      <c r="C202" s="1">
        <v>45312</v>
      </c>
      <c r="D202">
        <v>505.57</v>
      </c>
      <c r="E202" t="s">
        <v>65</v>
      </c>
      <c r="F202" t="s">
        <v>44</v>
      </c>
    </row>
    <row r="203" spans="1:6" x14ac:dyDescent="0.35">
      <c r="A203" t="s">
        <v>416</v>
      </c>
      <c r="B203" t="s">
        <v>292</v>
      </c>
      <c r="C203" s="1">
        <v>45317</v>
      </c>
      <c r="D203">
        <v>279.79000000000002</v>
      </c>
      <c r="E203" t="s">
        <v>62</v>
      </c>
      <c r="F203" t="s">
        <v>37</v>
      </c>
    </row>
    <row r="204" spans="1:6" x14ac:dyDescent="0.35">
      <c r="A204" t="s">
        <v>417</v>
      </c>
      <c r="B204" t="s">
        <v>67</v>
      </c>
      <c r="C204" s="1">
        <v>45447</v>
      </c>
      <c r="D204">
        <v>294.81</v>
      </c>
      <c r="E204" t="s">
        <v>65</v>
      </c>
      <c r="F204" t="s">
        <v>48</v>
      </c>
    </row>
    <row r="205" spans="1:6" x14ac:dyDescent="0.35">
      <c r="A205" t="s">
        <v>418</v>
      </c>
      <c r="B205" t="s">
        <v>124</v>
      </c>
      <c r="C205" s="1">
        <v>45605</v>
      </c>
      <c r="D205">
        <v>545.38</v>
      </c>
      <c r="E205" t="s">
        <v>71</v>
      </c>
      <c r="F205" t="s">
        <v>29</v>
      </c>
    </row>
    <row r="206" spans="1:6" x14ac:dyDescent="0.35">
      <c r="A206" t="s">
        <v>419</v>
      </c>
      <c r="B206" t="s">
        <v>420</v>
      </c>
      <c r="C206" s="1">
        <v>45523</v>
      </c>
      <c r="D206">
        <v>513.91999999999996</v>
      </c>
      <c r="E206" t="s">
        <v>68</v>
      </c>
      <c r="F206" t="s">
        <v>41</v>
      </c>
    </row>
    <row r="207" spans="1:6" x14ac:dyDescent="0.35">
      <c r="A207" t="s">
        <v>421</v>
      </c>
      <c r="B207" t="s">
        <v>422</v>
      </c>
      <c r="C207" s="1">
        <v>45648</v>
      </c>
      <c r="D207">
        <v>289.33999999999997</v>
      </c>
      <c r="E207" t="s">
        <v>71</v>
      </c>
      <c r="F207" t="s">
        <v>29</v>
      </c>
    </row>
    <row r="208" spans="1:6" x14ac:dyDescent="0.35">
      <c r="A208" t="s">
        <v>423</v>
      </c>
      <c r="B208" t="s">
        <v>424</v>
      </c>
      <c r="C208" s="1">
        <v>45522</v>
      </c>
      <c r="D208">
        <v>398.04</v>
      </c>
      <c r="E208" t="s">
        <v>71</v>
      </c>
      <c r="F208" t="s">
        <v>29</v>
      </c>
    </row>
    <row r="209" spans="1:6" x14ac:dyDescent="0.35">
      <c r="A209" t="s">
        <v>425</v>
      </c>
      <c r="B209" t="s">
        <v>278</v>
      </c>
      <c r="C209" s="1">
        <v>45656</v>
      </c>
      <c r="D209">
        <v>188.8</v>
      </c>
      <c r="E209" t="s">
        <v>65</v>
      </c>
      <c r="F209" t="s">
        <v>31</v>
      </c>
    </row>
    <row r="210" spans="1:6" x14ac:dyDescent="0.35">
      <c r="A210" t="s">
        <v>426</v>
      </c>
      <c r="B210" t="s">
        <v>427</v>
      </c>
      <c r="C210" s="1">
        <v>45646</v>
      </c>
      <c r="D210">
        <v>485.96</v>
      </c>
      <c r="E210" t="s">
        <v>71</v>
      </c>
      <c r="F210" t="s">
        <v>49</v>
      </c>
    </row>
    <row r="211" spans="1:6" x14ac:dyDescent="0.35">
      <c r="A211" t="s">
        <v>428</v>
      </c>
      <c r="B211" t="s">
        <v>429</v>
      </c>
      <c r="C211" s="1">
        <v>45338</v>
      </c>
      <c r="D211">
        <v>258.20999999999998</v>
      </c>
      <c r="E211" t="s">
        <v>65</v>
      </c>
      <c r="F211" t="s">
        <v>32</v>
      </c>
    </row>
    <row r="212" spans="1:6" x14ac:dyDescent="0.35">
      <c r="A212" t="s">
        <v>430</v>
      </c>
      <c r="B212" t="s">
        <v>431</v>
      </c>
      <c r="C212" s="1">
        <v>45560</v>
      </c>
      <c r="D212">
        <v>373.46</v>
      </c>
      <c r="E212" t="s">
        <v>71</v>
      </c>
      <c r="F212" t="s">
        <v>29</v>
      </c>
    </row>
    <row r="213" spans="1:6" x14ac:dyDescent="0.35">
      <c r="A213" t="s">
        <v>432</v>
      </c>
      <c r="B213" t="s">
        <v>433</v>
      </c>
      <c r="C213" s="1">
        <v>45314</v>
      </c>
      <c r="D213">
        <v>570.85</v>
      </c>
      <c r="E213" t="s">
        <v>62</v>
      </c>
      <c r="F213" t="s">
        <v>54</v>
      </c>
    </row>
    <row r="214" spans="1:6" x14ac:dyDescent="0.35">
      <c r="A214" t="s">
        <v>434</v>
      </c>
      <c r="B214" t="s">
        <v>435</v>
      </c>
      <c r="C214" s="1">
        <v>45368</v>
      </c>
      <c r="D214">
        <v>508.03</v>
      </c>
      <c r="E214" t="s">
        <v>71</v>
      </c>
      <c r="F214" t="s">
        <v>34</v>
      </c>
    </row>
    <row r="215" spans="1:6" x14ac:dyDescent="0.35">
      <c r="A215" t="s">
        <v>436</v>
      </c>
      <c r="B215" t="s">
        <v>137</v>
      </c>
      <c r="C215" s="1">
        <v>45318</v>
      </c>
      <c r="D215">
        <v>484.05</v>
      </c>
      <c r="E215" t="s">
        <v>62</v>
      </c>
      <c r="F215" t="s">
        <v>42</v>
      </c>
    </row>
    <row r="216" spans="1:6" x14ac:dyDescent="0.35">
      <c r="A216" t="s">
        <v>437</v>
      </c>
      <c r="B216" t="s">
        <v>351</v>
      </c>
      <c r="C216" s="1">
        <v>45520</v>
      </c>
      <c r="D216">
        <v>587.6</v>
      </c>
      <c r="E216" t="s">
        <v>71</v>
      </c>
      <c r="F216" t="s">
        <v>50</v>
      </c>
    </row>
    <row r="217" spans="1:6" x14ac:dyDescent="0.35">
      <c r="A217" t="s">
        <v>438</v>
      </c>
      <c r="B217" t="s">
        <v>439</v>
      </c>
      <c r="C217" s="1">
        <v>45395</v>
      </c>
      <c r="D217">
        <v>317.07</v>
      </c>
      <c r="E217" t="s">
        <v>62</v>
      </c>
      <c r="F217" t="s">
        <v>36</v>
      </c>
    </row>
    <row r="218" spans="1:6" x14ac:dyDescent="0.35">
      <c r="A218" t="s">
        <v>440</v>
      </c>
      <c r="B218" t="s">
        <v>441</v>
      </c>
      <c r="C218" s="1">
        <v>45547</v>
      </c>
      <c r="D218">
        <v>577.86</v>
      </c>
      <c r="E218" t="s">
        <v>68</v>
      </c>
      <c r="F218" t="s">
        <v>45</v>
      </c>
    </row>
    <row r="219" spans="1:6" x14ac:dyDescent="0.35">
      <c r="A219" t="s">
        <v>442</v>
      </c>
      <c r="B219" t="s">
        <v>443</v>
      </c>
      <c r="C219" s="1">
        <v>45413</v>
      </c>
      <c r="D219">
        <v>287.24</v>
      </c>
      <c r="E219" t="s">
        <v>65</v>
      </c>
      <c r="F219" t="s">
        <v>30</v>
      </c>
    </row>
    <row r="220" spans="1:6" x14ac:dyDescent="0.35">
      <c r="A220" t="s">
        <v>444</v>
      </c>
      <c r="B220" t="s">
        <v>445</v>
      </c>
      <c r="C220" s="1">
        <v>45332</v>
      </c>
      <c r="D220">
        <v>577.53</v>
      </c>
      <c r="E220" t="s">
        <v>68</v>
      </c>
      <c r="F220" t="s">
        <v>41</v>
      </c>
    </row>
    <row r="221" spans="1:6" x14ac:dyDescent="0.35">
      <c r="A221" t="s">
        <v>446</v>
      </c>
      <c r="B221" t="s">
        <v>269</v>
      </c>
      <c r="C221" s="1">
        <v>45434</v>
      </c>
      <c r="D221">
        <v>148.68</v>
      </c>
      <c r="E221" t="s">
        <v>71</v>
      </c>
      <c r="F221" t="s">
        <v>50</v>
      </c>
    </row>
    <row r="222" spans="1:6" x14ac:dyDescent="0.35">
      <c r="A222" t="s">
        <v>447</v>
      </c>
      <c r="B222" t="s">
        <v>448</v>
      </c>
      <c r="C222" s="1">
        <v>45320</v>
      </c>
      <c r="D222">
        <v>124.41</v>
      </c>
      <c r="E222" t="s">
        <v>62</v>
      </c>
      <c r="F222" t="s">
        <v>36</v>
      </c>
    </row>
    <row r="223" spans="1:6" x14ac:dyDescent="0.35">
      <c r="A223" t="s">
        <v>449</v>
      </c>
      <c r="B223" t="s">
        <v>450</v>
      </c>
      <c r="C223" s="1">
        <v>45308</v>
      </c>
      <c r="D223">
        <v>601.04</v>
      </c>
      <c r="E223" t="s">
        <v>62</v>
      </c>
      <c r="F223" t="s">
        <v>42</v>
      </c>
    </row>
    <row r="224" spans="1:6" x14ac:dyDescent="0.35">
      <c r="A224" t="s">
        <v>451</v>
      </c>
      <c r="B224" t="s">
        <v>452</v>
      </c>
      <c r="C224" s="1">
        <v>45317</v>
      </c>
      <c r="D224">
        <v>134.22</v>
      </c>
      <c r="E224" t="s">
        <v>65</v>
      </c>
      <c r="F224" t="s">
        <v>48</v>
      </c>
    </row>
    <row r="225" spans="1:6" x14ac:dyDescent="0.35">
      <c r="A225" t="s">
        <v>453</v>
      </c>
      <c r="B225" t="s">
        <v>454</v>
      </c>
      <c r="C225" s="1">
        <v>45437</v>
      </c>
      <c r="D225">
        <v>495.84</v>
      </c>
      <c r="E225" t="s">
        <v>71</v>
      </c>
      <c r="F225" t="s">
        <v>29</v>
      </c>
    </row>
    <row r="226" spans="1:6" x14ac:dyDescent="0.35">
      <c r="A226" t="s">
        <v>455</v>
      </c>
      <c r="B226" t="s">
        <v>456</v>
      </c>
      <c r="C226" s="1">
        <v>45476</v>
      </c>
      <c r="D226">
        <v>233.54</v>
      </c>
      <c r="E226" t="s">
        <v>68</v>
      </c>
      <c r="F226" t="s">
        <v>40</v>
      </c>
    </row>
    <row r="227" spans="1:6" x14ac:dyDescent="0.35">
      <c r="A227" t="s">
        <v>457</v>
      </c>
      <c r="B227" t="s">
        <v>276</v>
      </c>
      <c r="C227" s="1">
        <v>45486</v>
      </c>
      <c r="D227">
        <v>373.54</v>
      </c>
      <c r="E227" t="s">
        <v>65</v>
      </c>
      <c r="F227" t="s">
        <v>51</v>
      </c>
    </row>
    <row r="228" spans="1:6" x14ac:dyDescent="0.35">
      <c r="A228" t="s">
        <v>458</v>
      </c>
      <c r="B228" t="s">
        <v>459</v>
      </c>
      <c r="C228" s="1">
        <v>45441</v>
      </c>
      <c r="D228">
        <v>462.19</v>
      </c>
      <c r="E228" t="s">
        <v>71</v>
      </c>
      <c r="F228" t="s">
        <v>50</v>
      </c>
    </row>
    <row r="229" spans="1:6" x14ac:dyDescent="0.35">
      <c r="A229" t="s">
        <v>460</v>
      </c>
      <c r="B229" t="s">
        <v>461</v>
      </c>
      <c r="C229" s="1">
        <v>45432</v>
      </c>
      <c r="D229">
        <v>164.05</v>
      </c>
      <c r="E229" t="s">
        <v>65</v>
      </c>
      <c r="F229" t="s">
        <v>44</v>
      </c>
    </row>
    <row r="230" spans="1:6" x14ac:dyDescent="0.35">
      <c r="A230" t="s">
        <v>462</v>
      </c>
      <c r="B230" t="s">
        <v>463</v>
      </c>
      <c r="C230" s="1">
        <v>45399</v>
      </c>
      <c r="D230">
        <v>386.39</v>
      </c>
      <c r="E230" t="s">
        <v>68</v>
      </c>
      <c r="F230" t="s">
        <v>46</v>
      </c>
    </row>
    <row r="231" spans="1:6" x14ac:dyDescent="0.35">
      <c r="A231" t="s">
        <v>464</v>
      </c>
      <c r="B231" t="s">
        <v>465</v>
      </c>
      <c r="C231" s="1">
        <v>45614</v>
      </c>
      <c r="D231">
        <v>480.31</v>
      </c>
      <c r="E231" t="s">
        <v>68</v>
      </c>
      <c r="F231" t="s">
        <v>52</v>
      </c>
    </row>
    <row r="232" spans="1:6" x14ac:dyDescent="0.35">
      <c r="A232" t="s">
        <v>466</v>
      </c>
      <c r="B232" t="s">
        <v>351</v>
      </c>
      <c r="C232" s="1">
        <v>45601</v>
      </c>
      <c r="D232">
        <v>556.4</v>
      </c>
      <c r="E232" t="s">
        <v>65</v>
      </c>
      <c r="F232" t="s">
        <v>44</v>
      </c>
    </row>
    <row r="233" spans="1:6" x14ac:dyDescent="0.35">
      <c r="A233" t="s">
        <v>467</v>
      </c>
      <c r="B233" t="s">
        <v>359</v>
      </c>
      <c r="C233" s="1">
        <v>45424</v>
      </c>
      <c r="D233">
        <v>412.79</v>
      </c>
      <c r="E233" t="s">
        <v>62</v>
      </c>
      <c r="F233" t="s">
        <v>47</v>
      </c>
    </row>
    <row r="234" spans="1:6" x14ac:dyDescent="0.35">
      <c r="A234" t="s">
        <v>468</v>
      </c>
      <c r="B234" t="s">
        <v>240</v>
      </c>
      <c r="C234" s="1">
        <v>45546</v>
      </c>
      <c r="D234">
        <v>531.91</v>
      </c>
      <c r="E234" t="s">
        <v>65</v>
      </c>
      <c r="F234" t="s">
        <v>30</v>
      </c>
    </row>
    <row r="235" spans="1:6" x14ac:dyDescent="0.35">
      <c r="A235" t="s">
        <v>469</v>
      </c>
      <c r="B235" t="s">
        <v>222</v>
      </c>
      <c r="C235" s="1">
        <v>45604</v>
      </c>
      <c r="D235">
        <v>35.97</v>
      </c>
      <c r="E235" t="s">
        <v>62</v>
      </c>
      <c r="F235" t="s">
        <v>47</v>
      </c>
    </row>
    <row r="236" spans="1:6" x14ac:dyDescent="0.35">
      <c r="A236" t="s">
        <v>470</v>
      </c>
      <c r="B236" t="s">
        <v>471</v>
      </c>
      <c r="C236" s="1">
        <v>45304</v>
      </c>
      <c r="D236">
        <v>556.55999999999995</v>
      </c>
      <c r="E236" t="s">
        <v>68</v>
      </c>
      <c r="F236" t="s">
        <v>33</v>
      </c>
    </row>
    <row r="237" spans="1:6" x14ac:dyDescent="0.35">
      <c r="A237" t="s">
        <v>472</v>
      </c>
      <c r="B237" t="s">
        <v>473</v>
      </c>
      <c r="C237" s="1">
        <v>45607</v>
      </c>
      <c r="D237">
        <v>240.28</v>
      </c>
      <c r="E237" t="s">
        <v>65</v>
      </c>
      <c r="F237" t="s">
        <v>31</v>
      </c>
    </row>
    <row r="238" spans="1:6" x14ac:dyDescent="0.35">
      <c r="A238" t="s">
        <v>474</v>
      </c>
      <c r="B238" t="s">
        <v>267</v>
      </c>
      <c r="C238" s="1">
        <v>45578</v>
      </c>
      <c r="D238">
        <v>428.98</v>
      </c>
      <c r="E238" t="s">
        <v>71</v>
      </c>
      <c r="F238" t="s">
        <v>50</v>
      </c>
    </row>
    <row r="239" spans="1:6" x14ac:dyDescent="0.35">
      <c r="A239" t="s">
        <v>475</v>
      </c>
      <c r="B239" t="s">
        <v>476</v>
      </c>
      <c r="C239" s="1">
        <v>45645</v>
      </c>
      <c r="D239">
        <v>76.72</v>
      </c>
      <c r="E239" t="s">
        <v>62</v>
      </c>
      <c r="F239" t="s">
        <v>38</v>
      </c>
    </row>
    <row r="240" spans="1:6" x14ac:dyDescent="0.35">
      <c r="A240" t="s">
        <v>477</v>
      </c>
      <c r="B240" t="s">
        <v>478</v>
      </c>
      <c r="C240" s="1">
        <v>45445</v>
      </c>
      <c r="D240">
        <v>38.770000000000003</v>
      </c>
      <c r="E240" t="s">
        <v>62</v>
      </c>
      <c r="F240" t="s">
        <v>38</v>
      </c>
    </row>
    <row r="241" spans="1:6" x14ac:dyDescent="0.35">
      <c r="A241" t="s">
        <v>479</v>
      </c>
      <c r="B241" t="s">
        <v>480</v>
      </c>
      <c r="C241" s="1">
        <v>45643</v>
      </c>
      <c r="D241">
        <v>480.5</v>
      </c>
      <c r="E241" t="s">
        <v>62</v>
      </c>
      <c r="F241" t="s">
        <v>37</v>
      </c>
    </row>
    <row r="242" spans="1:6" x14ac:dyDescent="0.35">
      <c r="A242" t="s">
        <v>481</v>
      </c>
      <c r="B242" t="s">
        <v>98</v>
      </c>
      <c r="C242" s="1">
        <v>45607</v>
      </c>
      <c r="D242">
        <v>238.27</v>
      </c>
      <c r="E242" t="s">
        <v>71</v>
      </c>
      <c r="F242" t="s">
        <v>34</v>
      </c>
    </row>
    <row r="243" spans="1:6" x14ac:dyDescent="0.35">
      <c r="A243" t="s">
        <v>482</v>
      </c>
      <c r="B243" t="s">
        <v>483</v>
      </c>
      <c r="C243" s="1">
        <v>45465</v>
      </c>
      <c r="D243">
        <v>525.30999999999995</v>
      </c>
      <c r="E243" t="s">
        <v>65</v>
      </c>
      <c r="F243" t="s">
        <v>30</v>
      </c>
    </row>
    <row r="244" spans="1:6" x14ac:dyDescent="0.35">
      <c r="A244" t="s">
        <v>484</v>
      </c>
      <c r="B244" t="s">
        <v>387</v>
      </c>
      <c r="C244" s="1">
        <v>45622</v>
      </c>
      <c r="D244">
        <v>420.73</v>
      </c>
      <c r="E244" t="s">
        <v>65</v>
      </c>
      <c r="F244" t="s">
        <v>48</v>
      </c>
    </row>
    <row r="245" spans="1:6" x14ac:dyDescent="0.35">
      <c r="A245" t="s">
        <v>485</v>
      </c>
      <c r="B245" t="s">
        <v>486</v>
      </c>
      <c r="C245" s="1">
        <v>45566</v>
      </c>
      <c r="D245">
        <v>535.71</v>
      </c>
      <c r="E245" t="s">
        <v>65</v>
      </c>
      <c r="F245" t="s">
        <v>51</v>
      </c>
    </row>
    <row r="246" spans="1:6" x14ac:dyDescent="0.35">
      <c r="A246" t="s">
        <v>487</v>
      </c>
      <c r="B246" t="s">
        <v>240</v>
      </c>
      <c r="C246" s="1">
        <v>45320</v>
      </c>
      <c r="D246">
        <v>480.85</v>
      </c>
      <c r="E246" t="s">
        <v>62</v>
      </c>
      <c r="F246" t="s">
        <v>54</v>
      </c>
    </row>
    <row r="247" spans="1:6" x14ac:dyDescent="0.35">
      <c r="A247" t="s">
        <v>488</v>
      </c>
      <c r="B247" t="s">
        <v>143</v>
      </c>
      <c r="C247" s="1">
        <v>45453</v>
      </c>
      <c r="D247">
        <v>390.1</v>
      </c>
      <c r="E247" t="s">
        <v>68</v>
      </c>
      <c r="F247" t="s">
        <v>41</v>
      </c>
    </row>
    <row r="248" spans="1:6" x14ac:dyDescent="0.35">
      <c r="A248" t="s">
        <v>489</v>
      </c>
      <c r="B248" t="s">
        <v>490</v>
      </c>
      <c r="C248" s="1">
        <v>45461</v>
      </c>
      <c r="D248">
        <v>207.48</v>
      </c>
      <c r="E248" t="s">
        <v>68</v>
      </c>
      <c r="F248" t="s">
        <v>41</v>
      </c>
    </row>
    <row r="249" spans="1:6" x14ac:dyDescent="0.35">
      <c r="A249" t="s">
        <v>491</v>
      </c>
      <c r="B249" t="s">
        <v>96</v>
      </c>
      <c r="C249" s="1">
        <v>45307</v>
      </c>
      <c r="D249">
        <v>363.58</v>
      </c>
      <c r="E249" t="s">
        <v>65</v>
      </c>
      <c r="F249" t="s">
        <v>32</v>
      </c>
    </row>
    <row r="250" spans="1:6" x14ac:dyDescent="0.35">
      <c r="A250" t="s">
        <v>492</v>
      </c>
      <c r="B250" t="s">
        <v>280</v>
      </c>
      <c r="C250" s="1">
        <v>45376</v>
      </c>
      <c r="D250">
        <v>401.04</v>
      </c>
      <c r="E250" t="s">
        <v>65</v>
      </c>
      <c r="F250" t="s">
        <v>48</v>
      </c>
    </row>
    <row r="251" spans="1:6" x14ac:dyDescent="0.35">
      <c r="A251" t="s">
        <v>493</v>
      </c>
      <c r="B251" t="s">
        <v>494</v>
      </c>
      <c r="C251" s="1">
        <v>45449</v>
      </c>
      <c r="D251">
        <v>289.52999999999997</v>
      </c>
      <c r="E251" t="s">
        <v>68</v>
      </c>
      <c r="F251" t="s">
        <v>40</v>
      </c>
    </row>
    <row r="252" spans="1:6" x14ac:dyDescent="0.35">
      <c r="A252" t="s">
        <v>495</v>
      </c>
      <c r="B252" t="s">
        <v>496</v>
      </c>
      <c r="C252" s="1">
        <v>45546</v>
      </c>
      <c r="D252">
        <v>545.12</v>
      </c>
      <c r="E252" t="s">
        <v>62</v>
      </c>
      <c r="F252" t="s">
        <v>37</v>
      </c>
    </row>
    <row r="253" spans="1:6" x14ac:dyDescent="0.35">
      <c r="A253" t="s">
        <v>497</v>
      </c>
      <c r="B253" t="s">
        <v>153</v>
      </c>
      <c r="C253" s="1">
        <v>45446</v>
      </c>
      <c r="D253">
        <v>104.02</v>
      </c>
      <c r="E253" t="s">
        <v>62</v>
      </c>
      <c r="F253" t="s">
        <v>47</v>
      </c>
    </row>
    <row r="254" spans="1:6" x14ac:dyDescent="0.35">
      <c r="A254" t="s">
        <v>498</v>
      </c>
      <c r="B254" t="s">
        <v>278</v>
      </c>
      <c r="C254" s="1">
        <v>45311</v>
      </c>
      <c r="D254">
        <v>346.19</v>
      </c>
      <c r="E254" t="s">
        <v>68</v>
      </c>
      <c r="F254" t="s">
        <v>52</v>
      </c>
    </row>
    <row r="255" spans="1:6" x14ac:dyDescent="0.35">
      <c r="A255" t="s">
        <v>499</v>
      </c>
      <c r="B255" t="s">
        <v>500</v>
      </c>
      <c r="C255" s="1">
        <v>45539</v>
      </c>
      <c r="D255">
        <v>244.17</v>
      </c>
      <c r="E255" t="s">
        <v>71</v>
      </c>
      <c r="F255" t="s">
        <v>34</v>
      </c>
    </row>
    <row r="256" spans="1:6" x14ac:dyDescent="0.35">
      <c r="A256" t="s">
        <v>501</v>
      </c>
      <c r="B256" t="s">
        <v>179</v>
      </c>
      <c r="C256" s="1">
        <v>45539</v>
      </c>
      <c r="D256">
        <v>236.31</v>
      </c>
      <c r="E256" t="s">
        <v>62</v>
      </c>
      <c r="F256" t="s">
        <v>38</v>
      </c>
    </row>
    <row r="257" spans="1:6" x14ac:dyDescent="0.35">
      <c r="A257" t="s">
        <v>502</v>
      </c>
      <c r="B257" t="s">
        <v>74</v>
      </c>
      <c r="C257" s="1">
        <v>45342</v>
      </c>
      <c r="D257">
        <v>480.61</v>
      </c>
      <c r="E257" t="s">
        <v>71</v>
      </c>
      <c r="F257" t="s">
        <v>34</v>
      </c>
    </row>
    <row r="258" spans="1:6" x14ac:dyDescent="0.35">
      <c r="A258" t="s">
        <v>503</v>
      </c>
      <c r="B258" t="s">
        <v>504</v>
      </c>
      <c r="C258" s="1">
        <v>45527</v>
      </c>
      <c r="D258">
        <v>226.25</v>
      </c>
      <c r="E258" t="s">
        <v>68</v>
      </c>
      <c r="F258" t="s">
        <v>46</v>
      </c>
    </row>
    <row r="259" spans="1:6" x14ac:dyDescent="0.35">
      <c r="A259" t="s">
        <v>505</v>
      </c>
      <c r="B259" t="s">
        <v>413</v>
      </c>
      <c r="C259" s="1">
        <v>45314</v>
      </c>
      <c r="D259">
        <v>322.13</v>
      </c>
      <c r="E259" t="s">
        <v>68</v>
      </c>
      <c r="F259" t="s">
        <v>40</v>
      </c>
    </row>
    <row r="260" spans="1:6" x14ac:dyDescent="0.35">
      <c r="A260" t="s">
        <v>506</v>
      </c>
      <c r="B260" t="s">
        <v>507</v>
      </c>
      <c r="C260" s="1">
        <v>45315</v>
      </c>
      <c r="D260">
        <v>390.2</v>
      </c>
      <c r="E260" t="s">
        <v>62</v>
      </c>
      <c r="F260" t="s">
        <v>36</v>
      </c>
    </row>
    <row r="261" spans="1:6" x14ac:dyDescent="0.35">
      <c r="A261" t="s">
        <v>508</v>
      </c>
      <c r="B261" t="s">
        <v>509</v>
      </c>
      <c r="C261" s="1">
        <v>45451</v>
      </c>
      <c r="D261">
        <v>158.34</v>
      </c>
      <c r="E261" t="s">
        <v>71</v>
      </c>
      <c r="F261" t="s">
        <v>35</v>
      </c>
    </row>
    <row r="262" spans="1:6" x14ac:dyDescent="0.35">
      <c r="A262" t="s">
        <v>510</v>
      </c>
      <c r="B262" t="s">
        <v>511</v>
      </c>
      <c r="C262" s="1">
        <v>45438</v>
      </c>
      <c r="D262">
        <v>306.29000000000002</v>
      </c>
      <c r="E262" t="s">
        <v>62</v>
      </c>
      <c r="F262" t="s">
        <v>38</v>
      </c>
    </row>
    <row r="263" spans="1:6" x14ac:dyDescent="0.35">
      <c r="A263" t="s">
        <v>512</v>
      </c>
      <c r="B263" t="s">
        <v>211</v>
      </c>
      <c r="C263" s="1">
        <v>45352</v>
      </c>
      <c r="D263">
        <v>203.29</v>
      </c>
      <c r="E263" t="s">
        <v>71</v>
      </c>
      <c r="F263" t="s">
        <v>34</v>
      </c>
    </row>
    <row r="264" spans="1:6" x14ac:dyDescent="0.35">
      <c r="A264" t="s">
        <v>513</v>
      </c>
      <c r="B264" t="s">
        <v>216</v>
      </c>
      <c r="C264" s="1">
        <v>45299</v>
      </c>
      <c r="D264">
        <v>368.66</v>
      </c>
      <c r="E264" t="s">
        <v>68</v>
      </c>
      <c r="F264" t="s">
        <v>41</v>
      </c>
    </row>
    <row r="265" spans="1:6" x14ac:dyDescent="0.35">
      <c r="A265" t="s">
        <v>514</v>
      </c>
      <c r="B265" t="s">
        <v>392</v>
      </c>
      <c r="C265" s="1">
        <v>45573</v>
      </c>
      <c r="D265">
        <v>615.12</v>
      </c>
      <c r="E265" t="s">
        <v>62</v>
      </c>
      <c r="F265" t="s">
        <v>47</v>
      </c>
    </row>
    <row r="266" spans="1:6" x14ac:dyDescent="0.35">
      <c r="A266" t="s">
        <v>515</v>
      </c>
      <c r="B266" t="s">
        <v>516</v>
      </c>
      <c r="C266" s="1">
        <v>45437</v>
      </c>
      <c r="D266">
        <v>78.81</v>
      </c>
      <c r="E266" t="s">
        <v>71</v>
      </c>
      <c r="F266" t="s">
        <v>34</v>
      </c>
    </row>
    <row r="267" spans="1:6" x14ac:dyDescent="0.35">
      <c r="A267" t="s">
        <v>517</v>
      </c>
      <c r="B267" t="s">
        <v>96</v>
      </c>
      <c r="C267" s="1">
        <v>45605</v>
      </c>
      <c r="D267">
        <v>115</v>
      </c>
      <c r="E267" t="s">
        <v>65</v>
      </c>
      <c r="F267" t="s">
        <v>31</v>
      </c>
    </row>
    <row r="268" spans="1:6" x14ac:dyDescent="0.35">
      <c r="A268" t="s">
        <v>518</v>
      </c>
      <c r="B268" t="s">
        <v>519</v>
      </c>
      <c r="C268" s="1">
        <v>45533</v>
      </c>
      <c r="D268">
        <v>270.91000000000003</v>
      </c>
      <c r="E268" t="s">
        <v>68</v>
      </c>
      <c r="F268" t="s">
        <v>46</v>
      </c>
    </row>
    <row r="269" spans="1:6" x14ac:dyDescent="0.35">
      <c r="A269" t="s">
        <v>520</v>
      </c>
      <c r="B269" t="s">
        <v>297</v>
      </c>
      <c r="C269" s="1">
        <v>45336</v>
      </c>
      <c r="D269">
        <v>468.38</v>
      </c>
      <c r="E269" t="s">
        <v>65</v>
      </c>
      <c r="F269" t="s">
        <v>48</v>
      </c>
    </row>
    <row r="270" spans="1:6" x14ac:dyDescent="0.35">
      <c r="A270" t="s">
        <v>521</v>
      </c>
      <c r="B270" t="s">
        <v>522</v>
      </c>
      <c r="C270" s="1">
        <v>45595</v>
      </c>
      <c r="D270">
        <v>253.71</v>
      </c>
      <c r="E270" t="s">
        <v>65</v>
      </c>
      <c r="F270" t="s">
        <v>44</v>
      </c>
    </row>
    <row r="271" spans="1:6" x14ac:dyDescent="0.35">
      <c r="A271" t="s">
        <v>523</v>
      </c>
      <c r="B271" t="s">
        <v>234</v>
      </c>
      <c r="C271" s="1">
        <v>45462</v>
      </c>
      <c r="D271">
        <v>384.19</v>
      </c>
      <c r="E271" t="s">
        <v>68</v>
      </c>
      <c r="F271" t="s">
        <v>52</v>
      </c>
    </row>
    <row r="272" spans="1:6" x14ac:dyDescent="0.35">
      <c r="A272" t="s">
        <v>524</v>
      </c>
      <c r="B272" t="s">
        <v>285</v>
      </c>
      <c r="C272" s="1">
        <v>45339</v>
      </c>
      <c r="D272">
        <v>225.89</v>
      </c>
      <c r="E272" t="s">
        <v>68</v>
      </c>
      <c r="F272" t="s">
        <v>52</v>
      </c>
    </row>
    <row r="273" spans="1:6" x14ac:dyDescent="0.35">
      <c r="A273" t="s">
        <v>525</v>
      </c>
      <c r="B273" t="s">
        <v>471</v>
      </c>
      <c r="C273" s="1">
        <v>45621</v>
      </c>
      <c r="D273">
        <v>617.67999999999995</v>
      </c>
      <c r="E273" t="s">
        <v>65</v>
      </c>
      <c r="F273" t="s">
        <v>48</v>
      </c>
    </row>
    <row r="274" spans="1:6" x14ac:dyDescent="0.35">
      <c r="A274" t="s">
        <v>526</v>
      </c>
      <c r="B274" t="s">
        <v>341</v>
      </c>
      <c r="C274" s="1">
        <v>45365</v>
      </c>
      <c r="D274">
        <v>276.13</v>
      </c>
      <c r="E274" t="s">
        <v>62</v>
      </c>
      <c r="F274" t="s">
        <v>42</v>
      </c>
    </row>
    <row r="275" spans="1:6" x14ac:dyDescent="0.35">
      <c r="A275" t="s">
        <v>527</v>
      </c>
      <c r="B275" t="s">
        <v>236</v>
      </c>
      <c r="C275" s="1">
        <v>45650</v>
      </c>
      <c r="D275">
        <v>564.39</v>
      </c>
      <c r="E275" t="s">
        <v>62</v>
      </c>
      <c r="F275" t="s">
        <v>38</v>
      </c>
    </row>
    <row r="276" spans="1:6" x14ac:dyDescent="0.35">
      <c r="A276" t="s">
        <v>528</v>
      </c>
      <c r="B276" t="s">
        <v>529</v>
      </c>
      <c r="C276" s="1">
        <v>45458</v>
      </c>
      <c r="D276">
        <v>75.2</v>
      </c>
      <c r="E276" t="s">
        <v>65</v>
      </c>
      <c r="F276" t="s">
        <v>31</v>
      </c>
    </row>
    <row r="277" spans="1:6" x14ac:dyDescent="0.35">
      <c r="A277" t="s">
        <v>530</v>
      </c>
      <c r="B277" t="s">
        <v>158</v>
      </c>
      <c r="C277" s="1">
        <v>45349</v>
      </c>
      <c r="D277">
        <v>555.15</v>
      </c>
      <c r="E277" t="s">
        <v>65</v>
      </c>
      <c r="F277" t="s">
        <v>30</v>
      </c>
    </row>
    <row r="278" spans="1:6" x14ac:dyDescent="0.35">
      <c r="A278" t="s">
        <v>531</v>
      </c>
      <c r="B278" t="s">
        <v>261</v>
      </c>
      <c r="C278" s="1">
        <v>45436</v>
      </c>
      <c r="D278">
        <v>98.3</v>
      </c>
      <c r="E278" t="s">
        <v>71</v>
      </c>
      <c r="F278" t="s">
        <v>39</v>
      </c>
    </row>
    <row r="279" spans="1:6" x14ac:dyDescent="0.35">
      <c r="A279" t="s">
        <v>532</v>
      </c>
      <c r="B279" t="s">
        <v>320</v>
      </c>
      <c r="C279" s="1">
        <v>45346</v>
      </c>
      <c r="D279">
        <v>362.64</v>
      </c>
      <c r="E279" t="s">
        <v>68</v>
      </c>
      <c r="F279" t="s">
        <v>40</v>
      </c>
    </row>
    <row r="280" spans="1:6" x14ac:dyDescent="0.35">
      <c r="A280" t="s">
        <v>533</v>
      </c>
      <c r="B280" t="s">
        <v>282</v>
      </c>
      <c r="C280" s="1">
        <v>45497</v>
      </c>
      <c r="D280">
        <v>416.84</v>
      </c>
      <c r="E280" t="s">
        <v>65</v>
      </c>
      <c r="F280" t="s">
        <v>48</v>
      </c>
    </row>
    <row r="281" spans="1:6" x14ac:dyDescent="0.35">
      <c r="A281" t="s">
        <v>534</v>
      </c>
      <c r="B281" t="s">
        <v>535</v>
      </c>
      <c r="C281" s="1">
        <v>45572</v>
      </c>
      <c r="D281">
        <v>75.63</v>
      </c>
      <c r="E281" t="s">
        <v>65</v>
      </c>
      <c r="F281" t="s">
        <v>30</v>
      </c>
    </row>
    <row r="282" spans="1:6" x14ac:dyDescent="0.35">
      <c r="A282" t="s">
        <v>536</v>
      </c>
      <c r="B282" t="s">
        <v>282</v>
      </c>
      <c r="C282" s="1">
        <v>45398</v>
      </c>
      <c r="D282">
        <v>637.83000000000004</v>
      </c>
      <c r="E282" t="s">
        <v>65</v>
      </c>
      <c r="F282" t="s">
        <v>51</v>
      </c>
    </row>
    <row r="283" spans="1:6" x14ac:dyDescent="0.35">
      <c r="A283" t="s">
        <v>537</v>
      </c>
      <c r="B283" t="s">
        <v>106</v>
      </c>
      <c r="C283" s="1">
        <v>45582</v>
      </c>
      <c r="D283">
        <v>442.51</v>
      </c>
      <c r="E283" t="s">
        <v>71</v>
      </c>
      <c r="F283" t="s">
        <v>34</v>
      </c>
    </row>
    <row r="284" spans="1:6" x14ac:dyDescent="0.35">
      <c r="A284" t="s">
        <v>538</v>
      </c>
      <c r="B284" t="s">
        <v>516</v>
      </c>
      <c r="C284" s="1">
        <v>45331</v>
      </c>
      <c r="D284">
        <v>399.18</v>
      </c>
      <c r="E284" t="s">
        <v>65</v>
      </c>
      <c r="F284" t="s">
        <v>31</v>
      </c>
    </row>
    <row r="285" spans="1:6" x14ac:dyDescent="0.35">
      <c r="A285" t="s">
        <v>539</v>
      </c>
      <c r="B285" t="s">
        <v>320</v>
      </c>
      <c r="C285" s="1">
        <v>45529</v>
      </c>
      <c r="D285">
        <v>143.35</v>
      </c>
      <c r="E285" t="s">
        <v>68</v>
      </c>
      <c r="F285" t="s">
        <v>52</v>
      </c>
    </row>
    <row r="286" spans="1:6" x14ac:dyDescent="0.35">
      <c r="A286" t="s">
        <v>540</v>
      </c>
      <c r="B286" t="s">
        <v>82</v>
      </c>
      <c r="C286" s="1">
        <v>45499</v>
      </c>
      <c r="D286">
        <v>535.65</v>
      </c>
      <c r="E286" t="s">
        <v>68</v>
      </c>
      <c r="F286" t="s">
        <v>33</v>
      </c>
    </row>
    <row r="287" spans="1:6" x14ac:dyDescent="0.35">
      <c r="A287" t="s">
        <v>541</v>
      </c>
      <c r="B287" t="s">
        <v>542</v>
      </c>
      <c r="C287" s="1">
        <v>45486</v>
      </c>
      <c r="D287">
        <v>441</v>
      </c>
      <c r="E287" t="s">
        <v>65</v>
      </c>
      <c r="F287" t="s">
        <v>32</v>
      </c>
    </row>
    <row r="288" spans="1:6" x14ac:dyDescent="0.35">
      <c r="A288" t="s">
        <v>543</v>
      </c>
      <c r="B288" t="s">
        <v>443</v>
      </c>
      <c r="C288" s="1">
        <v>45338</v>
      </c>
      <c r="D288">
        <v>590.5</v>
      </c>
      <c r="E288" t="s">
        <v>71</v>
      </c>
      <c r="F288" t="s">
        <v>39</v>
      </c>
    </row>
    <row r="289" spans="1:6" x14ac:dyDescent="0.35">
      <c r="A289" t="s">
        <v>544</v>
      </c>
      <c r="B289" t="s">
        <v>545</v>
      </c>
      <c r="C289" s="1">
        <v>45617</v>
      </c>
      <c r="D289">
        <v>126.77</v>
      </c>
      <c r="E289" t="s">
        <v>71</v>
      </c>
      <c r="F289" t="s">
        <v>49</v>
      </c>
    </row>
    <row r="290" spans="1:6" x14ac:dyDescent="0.35">
      <c r="A290" t="s">
        <v>546</v>
      </c>
      <c r="B290" t="s">
        <v>203</v>
      </c>
      <c r="C290" s="1">
        <v>45564</v>
      </c>
      <c r="D290">
        <v>390.43</v>
      </c>
      <c r="E290" t="s">
        <v>65</v>
      </c>
      <c r="F290" t="s">
        <v>44</v>
      </c>
    </row>
    <row r="291" spans="1:6" x14ac:dyDescent="0.35">
      <c r="A291" t="s">
        <v>547</v>
      </c>
      <c r="B291" t="s">
        <v>548</v>
      </c>
      <c r="C291" s="1">
        <v>45392</v>
      </c>
      <c r="D291">
        <v>385.72</v>
      </c>
      <c r="E291" t="s">
        <v>62</v>
      </c>
      <c r="F291" t="s">
        <v>42</v>
      </c>
    </row>
    <row r="292" spans="1:6" x14ac:dyDescent="0.35">
      <c r="A292" t="s">
        <v>549</v>
      </c>
      <c r="B292" t="s">
        <v>197</v>
      </c>
      <c r="C292" s="1">
        <v>45639</v>
      </c>
      <c r="D292">
        <v>639.29</v>
      </c>
      <c r="E292" t="s">
        <v>65</v>
      </c>
      <c r="F292" t="s">
        <v>32</v>
      </c>
    </row>
    <row r="293" spans="1:6" x14ac:dyDescent="0.35">
      <c r="A293" t="s">
        <v>550</v>
      </c>
      <c r="B293" t="s">
        <v>368</v>
      </c>
      <c r="C293" s="1">
        <v>45468</v>
      </c>
      <c r="D293">
        <v>641.65</v>
      </c>
      <c r="E293" t="s">
        <v>68</v>
      </c>
      <c r="F293" t="s">
        <v>45</v>
      </c>
    </row>
    <row r="294" spans="1:6" x14ac:dyDescent="0.35">
      <c r="A294" t="s">
        <v>551</v>
      </c>
      <c r="B294" t="s">
        <v>552</v>
      </c>
      <c r="C294" s="1">
        <v>45498</v>
      </c>
      <c r="D294">
        <v>262.07</v>
      </c>
      <c r="E294" t="s">
        <v>62</v>
      </c>
      <c r="F294" t="s">
        <v>36</v>
      </c>
    </row>
    <row r="295" spans="1:6" x14ac:dyDescent="0.35">
      <c r="A295" t="s">
        <v>553</v>
      </c>
      <c r="B295" t="s">
        <v>124</v>
      </c>
      <c r="C295" s="1">
        <v>45573</v>
      </c>
      <c r="D295">
        <v>379.42</v>
      </c>
      <c r="E295" t="s">
        <v>68</v>
      </c>
      <c r="F295" t="s">
        <v>33</v>
      </c>
    </row>
    <row r="296" spans="1:6" x14ac:dyDescent="0.35">
      <c r="A296" t="s">
        <v>554</v>
      </c>
      <c r="B296" t="s">
        <v>214</v>
      </c>
      <c r="C296" s="1">
        <v>45475</v>
      </c>
      <c r="D296">
        <v>54.18</v>
      </c>
      <c r="E296" t="s">
        <v>62</v>
      </c>
      <c r="F296" t="s">
        <v>38</v>
      </c>
    </row>
    <row r="297" spans="1:6" x14ac:dyDescent="0.35">
      <c r="A297" t="s">
        <v>555</v>
      </c>
      <c r="B297" t="s">
        <v>282</v>
      </c>
      <c r="C297" s="1">
        <v>45513</v>
      </c>
      <c r="D297">
        <v>230.65</v>
      </c>
      <c r="E297" t="s">
        <v>65</v>
      </c>
      <c r="F297" t="s">
        <v>32</v>
      </c>
    </row>
    <row r="298" spans="1:6" x14ac:dyDescent="0.35">
      <c r="A298" t="s">
        <v>556</v>
      </c>
      <c r="B298" t="s">
        <v>168</v>
      </c>
      <c r="C298" s="1">
        <v>45487</v>
      </c>
      <c r="D298">
        <v>370.25</v>
      </c>
      <c r="E298" t="s">
        <v>65</v>
      </c>
      <c r="F298" t="s">
        <v>30</v>
      </c>
    </row>
    <row r="299" spans="1:6" x14ac:dyDescent="0.35">
      <c r="A299" t="s">
        <v>557</v>
      </c>
      <c r="B299" t="s">
        <v>558</v>
      </c>
      <c r="C299" s="1">
        <v>45631</v>
      </c>
      <c r="D299">
        <v>150.76</v>
      </c>
      <c r="E299" t="s">
        <v>65</v>
      </c>
      <c r="F299" t="s">
        <v>48</v>
      </c>
    </row>
    <row r="300" spans="1:6" x14ac:dyDescent="0.35">
      <c r="A300" t="s">
        <v>559</v>
      </c>
      <c r="B300" t="s">
        <v>76</v>
      </c>
      <c r="C300" s="1">
        <v>45488</v>
      </c>
      <c r="D300">
        <v>212.41</v>
      </c>
      <c r="E300" t="s">
        <v>65</v>
      </c>
      <c r="F300" t="s">
        <v>48</v>
      </c>
    </row>
    <row r="301" spans="1:6" x14ac:dyDescent="0.35">
      <c r="A301" t="s">
        <v>560</v>
      </c>
      <c r="B301" t="s">
        <v>175</v>
      </c>
      <c r="C301" s="1">
        <v>45635</v>
      </c>
      <c r="D301">
        <v>79.12</v>
      </c>
      <c r="E301" t="s">
        <v>71</v>
      </c>
      <c r="F301" t="s">
        <v>50</v>
      </c>
    </row>
    <row r="302" spans="1:6" x14ac:dyDescent="0.35">
      <c r="A302" t="s">
        <v>561</v>
      </c>
      <c r="B302" t="s">
        <v>562</v>
      </c>
      <c r="C302" s="1">
        <v>45300</v>
      </c>
      <c r="D302">
        <v>303.58999999999997</v>
      </c>
      <c r="E302" t="s">
        <v>65</v>
      </c>
      <c r="F302" t="s">
        <v>32</v>
      </c>
    </row>
    <row r="303" spans="1:6" x14ac:dyDescent="0.35">
      <c r="A303" t="s">
        <v>563</v>
      </c>
      <c r="B303" t="s">
        <v>181</v>
      </c>
      <c r="C303" s="1">
        <v>45361</v>
      </c>
      <c r="D303">
        <v>530.65</v>
      </c>
      <c r="E303" t="s">
        <v>71</v>
      </c>
      <c r="F303" t="s">
        <v>49</v>
      </c>
    </row>
    <row r="304" spans="1:6" x14ac:dyDescent="0.35">
      <c r="A304" t="s">
        <v>564</v>
      </c>
      <c r="B304" t="s">
        <v>171</v>
      </c>
      <c r="C304" s="1">
        <v>45525</v>
      </c>
      <c r="D304">
        <v>145.58000000000001</v>
      </c>
      <c r="E304" t="s">
        <v>65</v>
      </c>
      <c r="F304" t="s">
        <v>44</v>
      </c>
    </row>
    <row r="305" spans="1:6" x14ac:dyDescent="0.35">
      <c r="A305" t="s">
        <v>565</v>
      </c>
      <c r="B305" t="s">
        <v>566</v>
      </c>
      <c r="C305" s="1">
        <v>45552</v>
      </c>
      <c r="D305">
        <v>253.51</v>
      </c>
      <c r="E305" t="s">
        <v>65</v>
      </c>
      <c r="F305" t="s">
        <v>30</v>
      </c>
    </row>
    <row r="306" spans="1:6" x14ac:dyDescent="0.35">
      <c r="A306" t="s">
        <v>567</v>
      </c>
      <c r="B306" t="s">
        <v>566</v>
      </c>
      <c r="C306" s="1">
        <v>45387</v>
      </c>
      <c r="D306">
        <v>341.37</v>
      </c>
      <c r="E306" t="s">
        <v>68</v>
      </c>
      <c r="F306" t="s">
        <v>45</v>
      </c>
    </row>
    <row r="307" spans="1:6" x14ac:dyDescent="0.35">
      <c r="A307" t="s">
        <v>568</v>
      </c>
      <c r="B307" t="s">
        <v>500</v>
      </c>
      <c r="C307" s="1">
        <v>45413</v>
      </c>
      <c r="D307">
        <v>604.84</v>
      </c>
      <c r="E307" t="s">
        <v>62</v>
      </c>
      <c r="F307" t="s">
        <v>37</v>
      </c>
    </row>
    <row r="308" spans="1:6" x14ac:dyDescent="0.35">
      <c r="A308" t="s">
        <v>569</v>
      </c>
      <c r="B308" t="s">
        <v>344</v>
      </c>
      <c r="C308" s="1">
        <v>45587</v>
      </c>
      <c r="D308">
        <v>384.41</v>
      </c>
      <c r="E308" t="s">
        <v>68</v>
      </c>
      <c r="F308" t="s">
        <v>46</v>
      </c>
    </row>
    <row r="309" spans="1:6" x14ac:dyDescent="0.35">
      <c r="A309" t="s">
        <v>570</v>
      </c>
      <c r="B309" t="s">
        <v>287</v>
      </c>
      <c r="C309" s="1">
        <v>45652</v>
      </c>
      <c r="D309">
        <v>331.14</v>
      </c>
      <c r="E309" t="s">
        <v>68</v>
      </c>
      <c r="F309" t="s">
        <v>45</v>
      </c>
    </row>
    <row r="310" spans="1:6" x14ac:dyDescent="0.35">
      <c r="A310" t="s">
        <v>571</v>
      </c>
      <c r="B310" t="s">
        <v>116</v>
      </c>
      <c r="C310" s="1">
        <v>45645</v>
      </c>
      <c r="D310">
        <v>484.75</v>
      </c>
      <c r="E310" t="s">
        <v>71</v>
      </c>
      <c r="F310" t="s">
        <v>49</v>
      </c>
    </row>
    <row r="311" spans="1:6" x14ac:dyDescent="0.35">
      <c r="A311" t="s">
        <v>572</v>
      </c>
      <c r="B311" t="s">
        <v>471</v>
      </c>
      <c r="C311" s="1">
        <v>45435</v>
      </c>
      <c r="D311">
        <v>582.29999999999995</v>
      </c>
      <c r="E311" t="s">
        <v>68</v>
      </c>
      <c r="F311" t="s">
        <v>45</v>
      </c>
    </row>
    <row r="312" spans="1:6" x14ac:dyDescent="0.35">
      <c r="A312" t="s">
        <v>573</v>
      </c>
      <c r="B312" t="s">
        <v>574</v>
      </c>
      <c r="C312" s="1">
        <v>45337</v>
      </c>
      <c r="D312">
        <v>491.14</v>
      </c>
      <c r="E312" t="s">
        <v>65</v>
      </c>
      <c r="F312" t="s">
        <v>32</v>
      </c>
    </row>
    <row r="313" spans="1:6" x14ac:dyDescent="0.35">
      <c r="A313" t="s">
        <v>575</v>
      </c>
      <c r="B313" t="s">
        <v>576</v>
      </c>
      <c r="C313" s="1">
        <v>45634</v>
      </c>
      <c r="D313">
        <v>67.459999999999994</v>
      </c>
      <c r="E313" t="s">
        <v>62</v>
      </c>
      <c r="F313" t="s">
        <v>54</v>
      </c>
    </row>
    <row r="314" spans="1:6" x14ac:dyDescent="0.35">
      <c r="A314" t="s">
        <v>577</v>
      </c>
      <c r="B314" t="s">
        <v>578</v>
      </c>
      <c r="C314" s="1">
        <v>45467</v>
      </c>
      <c r="D314">
        <v>314.23</v>
      </c>
      <c r="E314" t="s">
        <v>68</v>
      </c>
      <c r="F314" t="s">
        <v>52</v>
      </c>
    </row>
    <row r="315" spans="1:6" x14ac:dyDescent="0.35">
      <c r="A315" t="s">
        <v>579</v>
      </c>
      <c r="B315" t="s">
        <v>516</v>
      </c>
      <c r="C315" s="1">
        <v>45532</v>
      </c>
      <c r="D315">
        <v>252.04</v>
      </c>
      <c r="E315" t="s">
        <v>62</v>
      </c>
      <c r="F315" t="s">
        <v>37</v>
      </c>
    </row>
    <row r="316" spans="1:6" x14ac:dyDescent="0.35">
      <c r="A316" t="s">
        <v>580</v>
      </c>
      <c r="B316" t="s">
        <v>581</v>
      </c>
      <c r="C316" s="1">
        <v>45442</v>
      </c>
      <c r="D316">
        <v>462.46</v>
      </c>
      <c r="E316" t="s">
        <v>71</v>
      </c>
      <c r="F316" t="s">
        <v>50</v>
      </c>
    </row>
    <row r="317" spans="1:6" x14ac:dyDescent="0.35">
      <c r="A317" t="s">
        <v>582</v>
      </c>
      <c r="B317" t="s">
        <v>197</v>
      </c>
      <c r="C317" s="1">
        <v>45597</v>
      </c>
      <c r="D317">
        <v>422.02</v>
      </c>
      <c r="E317" t="s">
        <v>62</v>
      </c>
      <c r="F317" t="s">
        <v>36</v>
      </c>
    </row>
    <row r="318" spans="1:6" x14ac:dyDescent="0.35">
      <c r="A318" t="s">
        <v>583</v>
      </c>
      <c r="B318" t="s">
        <v>584</v>
      </c>
      <c r="C318" s="1">
        <v>45588</v>
      </c>
      <c r="D318">
        <v>644.07000000000005</v>
      </c>
      <c r="E318" t="s">
        <v>68</v>
      </c>
      <c r="F318" t="s">
        <v>33</v>
      </c>
    </row>
    <row r="319" spans="1:6" x14ac:dyDescent="0.35">
      <c r="A319" t="s">
        <v>585</v>
      </c>
      <c r="B319" t="s">
        <v>396</v>
      </c>
      <c r="C319" s="1">
        <v>45611</v>
      </c>
      <c r="D319">
        <v>85.74</v>
      </c>
      <c r="E319" t="s">
        <v>62</v>
      </c>
      <c r="F319" t="s">
        <v>37</v>
      </c>
    </row>
    <row r="320" spans="1:6" x14ac:dyDescent="0.35">
      <c r="A320" t="s">
        <v>586</v>
      </c>
      <c r="B320" t="s">
        <v>576</v>
      </c>
      <c r="C320" s="1">
        <v>45550</v>
      </c>
      <c r="D320">
        <v>116.51</v>
      </c>
      <c r="E320" t="s">
        <v>62</v>
      </c>
      <c r="F320" t="s">
        <v>42</v>
      </c>
    </row>
    <row r="321" spans="1:6" x14ac:dyDescent="0.35">
      <c r="A321" t="s">
        <v>587</v>
      </c>
      <c r="B321" t="s">
        <v>394</v>
      </c>
      <c r="C321" s="1">
        <v>45435</v>
      </c>
      <c r="D321">
        <v>490.98</v>
      </c>
      <c r="E321" t="s">
        <v>62</v>
      </c>
      <c r="F321" t="s">
        <v>36</v>
      </c>
    </row>
    <row r="322" spans="1:6" x14ac:dyDescent="0.35">
      <c r="A322" t="s">
        <v>588</v>
      </c>
      <c r="B322" t="s">
        <v>589</v>
      </c>
      <c r="C322" s="1">
        <v>45601</v>
      </c>
      <c r="D322">
        <v>309.69</v>
      </c>
      <c r="E322" t="s">
        <v>71</v>
      </c>
      <c r="F322" t="s">
        <v>49</v>
      </c>
    </row>
    <row r="323" spans="1:6" x14ac:dyDescent="0.35">
      <c r="A323" t="s">
        <v>590</v>
      </c>
      <c r="B323" t="s">
        <v>591</v>
      </c>
      <c r="C323" s="1">
        <v>45381</v>
      </c>
      <c r="D323">
        <v>146.19999999999999</v>
      </c>
      <c r="E323" t="s">
        <v>71</v>
      </c>
      <c r="F323" t="s">
        <v>29</v>
      </c>
    </row>
    <row r="324" spans="1:6" x14ac:dyDescent="0.35">
      <c r="A324" t="s">
        <v>592</v>
      </c>
      <c r="B324" t="s">
        <v>593</v>
      </c>
      <c r="C324" s="1">
        <v>45562</v>
      </c>
      <c r="D324">
        <v>629.91999999999996</v>
      </c>
      <c r="E324" t="s">
        <v>62</v>
      </c>
      <c r="F324" t="s">
        <v>36</v>
      </c>
    </row>
    <row r="325" spans="1:6" x14ac:dyDescent="0.35">
      <c r="A325" t="s">
        <v>594</v>
      </c>
      <c r="B325" t="s">
        <v>331</v>
      </c>
      <c r="C325" s="1">
        <v>45596</v>
      </c>
      <c r="D325">
        <v>646.05999999999995</v>
      </c>
      <c r="E325" t="s">
        <v>65</v>
      </c>
      <c r="F325" t="s">
        <v>51</v>
      </c>
    </row>
    <row r="326" spans="1:6" x14ac:dyDescent="0.35">
      <c r="A326" t="s">
        <v>595</v>
      </c>
      <c r="B326" t="s">
        <v>496</v>
      </c>
      <c r="C326" s="1">
        <v>45488</v>
      </c>
      <c r="D326">
        <v>427.11</v>
      </c>
      <c r="E326" t="s">
        <v>65</v>
      </c>
      <c r="F326" t="s">
        <v>32</v>
      </c>
    </row>
    <row r="327" spans="1:6" x14ac:dyDescent="0.35">
      <c r="A327" t="s">
        <v>596</v>
      </c>
      <c r="B327" t="s">
        <v>322</v>
      </c>
      <c r="C327" s="1">
        <v>45399</v>
      </c>
      <c r="D327">
        <v>429.99</v>
      </c>
      <c r="E327" t="s">
        <v>62</v>
      </c>
      <c r="F327" t="s">
        <v>36</v>
      </c>
    </row>
    <row r="328" spans="1:6" x14ac:dyDescent="0.35">
      <c r="A328" t="s">
        <v>597</v>
      </c>
      <c r="B328" t="s">
        <v>598</v>
      </c>
      <c r="C328" s="1">
        <v>45351</v>
      </c>
      <c r="D328">
        <v>280.23</v>
      </c>
      <c r="E328" t="s">
        <v>71</v>
      </c>
      <c r="F328" t="s">
        <v>29</v>
      </c>
    </row>
    <row r="329" spans="1:6" x14ac:dyDescent="0.35">
      <c r="A329" t="s">
        <v>599</v>
      </c>
      <c r="B329" t="s">
        <v>186</v>
      </c>
      <c r="C329" s="1">
        <v>45446</v>
      </c>
      <c r="D329">
        <v>455.36</v>
      </c>
      <c r="E329" t="s">
        <v>71</v>
      </c>
      <c r="F329" t="s">
        <v>29</v>
      </c>
    </row>
    <row r="330" spans="1:6" x14ac:dyDescent="0.35">
      <c r="A330" t="s">
        <v>600</v>
      </c>
      <c r="B330" t="s">
        <v>402</v>
      </c>
      <c r="C330" s="1">
        <v>45491</v>
      </c>
      <c r="D330">
        <v>361.22</v>
      </c>
      <c r="E330" t="s">
        <v>62</v>
      </c>
      <c r="F330" t="s">
        <v>47</v>
      </c>
    </row>
    <row r="331" spans="1:6" x14ac:dyDescent="0.35">
      <c r="A331" t="s">
        <v>601</v>
      </c>
      <c r="B331" t="s">
        <v>602</v>
      </c>
      <c r="C331" s="1">
        <v>45514</v>
      </c>
      <c r="D331">
        <v>311.02</v>
      </c>
      <c r="E331" t="s">
        <v>62</v>
      </c>
      <c r="F331" t="s">
        <v>38</v>
      </c>
    </row>
    <row r="332" spans="1:6" x14ac:dyDescent="0.35">
      <c r="A332" t="s">
        <v>603</v>
      </c>
      <c r="B332" t="s">
        <v>494</v>
      </c>
      <c r="C332" s="1">
        <v>45639</v>
      </c>
      <c r="D332">
        <v>599.39</v>
      </c>
      <c r="E332" t="s">
        <v>68</v>
      </c>
      <c r="F332" t="s">
        <v>46</v>
      </c>
    </row>
    <row r="333" spans="1:6" x14ac:dyDescent="0.35">
      <c r="A333" t="s">
        <v>604</v>
      </c>
      <c r="B333" t="s">
        <v>490</v>
      </c>
      <c r="C333" s="1">
        <v>45618</v>
      </c>
      <c r="D333">
        <v>599.6</v>
      </c>
      <c r="E333" t="s">
        <v>65</v>
      </c>
      <c r="F333" t="s">
        <v>44</v>
      </c>
    </row>
    <row r="334" spans="1:6" x14ac:dyDescent="0.35">
      <c r="A334" t="s">
        <v>605</v>
      </c>
      <c r="B334" t="s">
        <v>486</v>
      </c>
      <c r="C334" s="1">
        <v>45431</v>
      </c>
      <c r="D334">
        <v>528.41999999999996</v>
      </c>
      <c r="E334" t="s">
        <v>62</v>
      </c>
      <c r="F334" t="s">
        <v>42</v>
      </c>
    </row>
    <row r="335" spans="1:6" x14ac:dyDescent="0.35">
      <c r="A335" t="s">
        <v>606</v>
      </c>
      <c r="B335" t="s">
        <v>346</v>
      </c>
      <c r="C335" s="1">
        <v>45422</v>
      </c>
      <c r="D335">
        <v>510.49</v>
      </c>
      <c r="E335" t="s">
        <v>65</v>
      </c>
      <c r="F335" t="s">
        <v>30</v>
      </c>
    </row>
    <row r="336" spans="1:6" x14ac:dyDescent="0.35">
      <c r="A336" t="s">
        <v>607</v>
      </c>
      <c r="B336" t="s">
        <v>483</v>
      </c>
      <c r="C336" s="1">
        <v>45415</v>
      </c>
      <c r="D336">
        <v>242.51</v>
      </c>
      <c r="E336" t="s">
        <v>71</v>
      </c>
      <c r="F336" t="s">
        <v>39</v>
      </c>
    </row>
    <row r="337" spans="1:6" x14ac:dyDescent="0.35">
      <c r="A337" t="s">
        <v>608</v>
      </c>
      <c r="B337" t="s">
        <v>609</v>
      </c>
      <c r="C337" s="1">
        <v>45645</v>
      </c>
      <c r="D337">
        <v>41.51</v>
      </c>
      <c r="E337" t="s">
        <v>62</v>
      </c>
      <c r="F337" t="s">
        <v>54</v>
      </c>
    </row>
    <row r="338" spans="1:6" x14ac:dyDescent="0.35">
      <c r="A338" t="s">
        <v>610</v>
      </c>
      <c r="B338" t="s">
        <v>276</v>
      </c>
      <c r="C338" s="1">
        <v>45296</v>
      </c>
      <c r="D338">
        <v>95.08</v>
      </c>
      <c r="E338" t="s">
        <v>68</v>
      </c>
      <c r="F338" t="s">
        <v>52</v>
      </c>
    </row>
    <row r="339" spans="1:6" x14ac:dyDescent="0.35">
      <c r="A339" t="s">
        <v>611</v>
      </c>
      <c r="B339" t="s">
        <v>333</v>
      </c>
      <c r="C339" s="1">
        <v>45345</v>
      </c>
      <c r="D339">
        <v>481.03</v>
      </c>
      <c r="E339" t="s">
        <v>62</v>
      </c>
      <c r="F339" t="s">
        <v>47</v>
      </c>
    </row>
    <row r="340" spans="1:6" x14ac:dyDescent="0.35">
      <c r="A340" t="s">
        <v>612</v>
      </c>
      <c r="B340" t="s">
        <v>613</v>
      </c>
      <c r="C340" s="1">
        <v>45420</v>
      </c>
      <c r="D340">
        <v>415.93</v>
      </c>
      <c r="E340" t="s">
        <v>68</v>
      </c>
      <c r="F340" t="s">
        <v>46</v>
      </c>
    </row>
    <row r="341" spans="1:6" x14ac:dyDescent="0.35">
      <c r="A341" t="s">
        <v>614</v>
      </c>
      <c r="B341" t="s">
        <v>413</v>
      </c>
      <c r="C341" s="1">
        <v>45321</v>
      </c>
      <c r="D341">
        <v>427.42</v>
      </c>
      <c r="E341" t="s">
        <v>71</v>
      </c>
      <c r="F341" t="s">
        <v>39</v>
      </c>
    </row>
    <row r="342" spans="1:6" x14ac:dyDescent="0.35">
      <c r="A342" t="s">
        <v>615</v>
      </c>
      <c r="B342" t="s">
        <v>616</v>
      </c>
      <c r="C342" s="1">
        <v>45654</v>
      </c>
      <c r="D342">
        <v>114.89</v>
      </c>
      <c r="E342" t="s">
        <v>68</v>
      </c>
      <c r="F342" t="s">
        <v>45</v>
      </c>
    </row>
    <row r="343" spans="1:6" x14ac:dyDescent="0.35">
      <c r="A343" t="s">
        <v>617</v>
      </c>
      <c r="B343" t="s">
        <v>618</v>
      </c>
      <c r="C343" s="1">
        <v>45628</v>
      </c>
      <c r="D343">
        <v>462.83</v>
      </c>
      <c r="E343" t="s">
        <v>71</v>
      </c>
      <c r="F343" t="s">
        <v>50</v>
      </c>
    </row>
    <row r="344" spans="1:6" x14ac:dyDescent="0.35">
      <c r="A344" t="s">
        <v>619</v>
      </c>
      <c r="B344" t="s">
        <v>620</v>
      </c>
      <c r="C344" s="1">
        <v>45421</v>
      </c>
      <c r="D344">
        <v>610.75</v>
      </c>
      <c r="E344" t="s">
        <v>65</v>
      </c>
      <c r="F344" t="s">
        <v>32</v>
      </c>
    </row>
    <row r="345" spans="1:6" x14ac:dyDescent="0.35">
      <c r="A345" t="s">
        <v>621</v>
      </c>
      <c r="B345" t="s">
        <v>529</v>
      </c>
      <c r="C345" s="1">
        <v>45619</v>
      </c>
      <c r="D345">
        <v>297.58999999999997</v>
      </c>
      <c r="E345" t="s">
        <v>62</v>
      </c>
      <c r="F345" t="s">
        <v>38</v>
      </c>
    </row>
    <row r="346" spans="1:6" x14ac:dyDescent="0.35">
      <c r="A346" t="s">
        <v>622</v>
      </c>
      <c r="B346" t="s">
        <v>238</v>
      </c>
      <c r="C346" s="1">
        <v>45633</v>
      </c>
      <c r="D346">
        <v>515.15</v>
      </c>
      <c r="E346" t="s">
        <v>62</v>
      </c>
      <c r="F346" t="s">
        <v>47</v>
      </c>
    </row>
    <row r="347" spans="1:6" x14ac:dyDescent="0.35">
      <c r="A347" t="s">
        <v>623</v>
      </c>
      <c r="B347" t="s">
        <v>624</v>
      </c>
      <c r="C347" s="1">
        <v>45433</v>
      </c>
      <c r="D347">
        <v>239.58</v>
      </c>
      <c r="E347" t="s">
        <v>65</v>
      </c>
      <c r="F347" t="s">
        <v>30</v>
      </c>
    </row>
    <row r="348" spans="1:6" x14ac:dyDescent="0.35">
      <c r="A348" t="s">
        <v>625</v>
      </c>
      <c r="B348" t="s">
        <v>626</v>
      </c>
      <c r="C348" s="1">
        <v>45322</v>
      </c>
      <c r="D348">
        <v>305.95</v>
      </c>
      <c r="E348" t="s">
        <v>62</v>
      </c>
      <c r="F348" t="s">
        <v>47</v>
      </c>
    </row>
    <row r="349" spans="1:6" x14ac:dyDescent="0.35">
      <c r="A349" t="s">
        <v>627</v>
      </c>
      <c r="B349" t="s">
        <v>361</v>
      </c>
      <c r="C349" s="1">
        <v>45543</v>
      </c>
      <c r="D349">
        <v>431.97</v>
      </c>
      <c r="E349" t="s">
        <v>65</v>
      </c>
      <c r="F349" t="s">
        <v>48</v>
      </c>
    </row>
    <row r="350" spans="1:6" x14ac:dyDescent="0.35">
      <c r="A350" t="s">
        <v>628</v>
      </c>
      <c r="B350" t="s">
        <v>562</v>
      </c>
      <c r="C350" s="1">
        <v>45347</v>
      </c>
      <c r="D350">
        <v>412.59</v>
      </c>
      <c r="E350" t="s">
        <v>65</v>
      </c>
      <c r="F350" t="s">
        <v>48</v>
      </c>
    </row>
    <row r="351" spans="1:6" x14ac:dyDescent="0.35">
      <c r="A351" t="s">
        <v>629</v>
      </c>
      <c r="B351" t="s">
        <v>183</v>
      </c>
      <c r="C351" s="1">
        <v>45346</v>
      </c>
      <c r="D351">
        <v>56.44</v>
      </c>
      <c r="E351" t="s">
        <v>62</v>
      </c>
      <c r="F351" t="s">
        <v>36</v>
      </c>
    </row>
    <row r="352" spans="1:6" x14ac:dyDescent="0.35">
      <c r="A352" t="s">
        <v>630</v>
      </c>
      <c r="B352" t="s">
        <v>280</v>
      </c>
      <c r="C352" s="1">
        <v>45328</v>
      </c>
      <c r="D352">
        <v>309.22000000000003</v>
      </c>
      <c r="E352" t="s">
        <v>62</v>
      </c>
      <c r="F352" t="s">
        <v>38</v>
      </c>
    </row>
    <row r="353" spans="1:6" x14ac:dyDescent="0.35">
      <c r="A353" t="s">
        <v>631</v>
      </c>
      <c r="B353" t="s">
        <v>145</v>
      </c>
      <c r="C353" s="1">
        <v>45546</v>
      </c>
      <c r="D353">
        <v>443.73</v>
      </c>
      <c r="E353" t="s">
        <v>68</v>
      </c>
      <c r="F353" t="s">
        <v>46</v>
      </c>
    </row>
    <row r="354" spans="1:6" x14ac:dyDescent="0.35">
      <c r="A354" t="s">
        <v>632</v>
      </c>
      <c r="B354" t="s">
        <v>633</v>
      </c>
      <c r="C354" s="1">
        <v>45428</v>
      </c>
      <c r="D354">
        <v>388.4</v>
      </c>
      <c r="E354" t="s">
        <v>62</v>
      </c>
      <c r="F354" t="s">
        <v>37</v>
      </c>
    </row>
    <row r="355" spans="1:6" x14ac:dyDescent="0.35">
      <c r="A355" t="s">
        <v>634</v>
      </c>
      <c r="B355" t="s">
        <v>201</v>
      </c>
      <c r="C355" s="1">
        <v>45555</v>
      </c>
      <c r="D355">
        <v>283.41000000000003</v>
      </c>
      <c r="E355" t="s">
        <v>65</v>
      </c>
      <c r="F355" t="s">
        <v>30</v>
      </c>
    </row>
    <row r="356" spans="1:6" x14ac:dyDescent="0.35">
      <c r="A356" t="s">
        <v>635</v>
      </c>
      <c r="B356" t="s">
        <v>190</v>
      </c>
      <c r="C356" s="1">
        <v>45327</v>
      </c>
      <c r="D356">
        <v>271.42</v>
      </c>
      <c r="E356" t="s">
        <v>71</v>
      </c>
      <c r="F356" t="s">
        <v>50</v>
      </c>
    </row>
    <row r="357" spans="1:6" x14ac:dyDescent="0.35">
      <c r="A357" t="s">
        <v>636</v>
      </c>
      <c r="B357" t="s">
        <v>637</v>
      </c>
      <c r="C357" s="1">
        <v>45644</v>
      </c>
      <c r="D357">
        <v>364.21</v>
      </c>
      <c r="E357" t="s">
        <v>68</v>
      </c>
      <c r="F357" t="s">
        <v>45</v>
      </c>
    </row>
    <row r="358" spans="1:6" x14ac:dyDescent="0.35">
      <c r="A358" t="s">
        <v>638</v>
      </c>
      <c r="B358" t="s">
        <v>480</v>
      </c>
      <c r="C358" s="1">
        <v>45475</v>
      </c>
      <c r="D358">
        <v>68.94</v>
      </c>
      <c r="E358" t="s">
        <v>62</v>
      </c>
      <c r="F358" t="s">
        <v>37</v>
      </c>
    </row>
    <row r="359" spans="1:6" x14ac:dyDescent="0.35">
      <c r="A359" t="s">
        <v>639</v>
      </c>
      <c r="B359" t="s">
        <v>420</v>
      </c>
      <c r="C359" s="1">
        <v>45623</v>
      </c>
      <c r="D359">
        <v>559.80999999999995</v>
      </c>
      <c r="E359" t="s">
        <v>62</v>
      </c>
      <c r="F359" t="s">
        <v>54</v>
      </c>
    </row>
    <row r="360" spans="1:6" x14ac:dyDescent="0.35">
      <c r="A360" t="s">
        <v>640</v>
      </c>
      <c r="B360" t="s">
        <v>227</v>
      </c>
      <c r="C360" s="1">
        <v>45466</v>
      </c>
      <c r="D360">
        <v>506.4</v>
      </c>
      <c r="E360" t="s">
        <v>65</v>
      </c>
      <c r="F360" t="s">
        <v>51</v>
      </c>
    </row>
    <row r="361" spans="1:6" x14ac:dyDescent="0.35">
      <c r="A361" t="s">
        <v>641</v>
      </c>
      <c r="B361" t="s">
        <v>278</v>
      </c>
      <c r="C361" s="1">
        <v>45623</v>
      </c>
      <c r="D361">
        <v>59.19</v>
      </c>
      <c r="E361" t="s">
        <v>71</v>
      </c>
      <c r="F361" t="s">
        <v>39</v>
      </c>
    </row>
    <row r="362" spans="1:6" x14ac:dyDescent="0.35">
      <c r="A362" t="s">
        <v>642</v>
      </c>
      <c r="B362" t="s">
        <v>643</v>
      </c>
      <c r="C362" s="1">
        <v>45488</v>
      </c>
      <c r="D362">
        <v>462.97</v>
      </c>
      <c r="E362" t="s">
        <v>71</v>
      </c>
      <c r="F362" t="s">
        <v>35</v>
      </c>
    </row>
    <row r="363" spans="1:6" x14ac:dyDescent="0.35">
      <c r="A363" t="s">
        <v>644</v>
      </c>
      <c r="B363" t="s">
        <v>522</v>
      </c>
      <c r="C363" s="1">
        <v>45346</v>
      </c>
      <c r="D363">
        <v>87.19</v>
      </c>
      <c r="E363" t="s">
        <v>62</v>
      </c>
      <c r="F363" t="s">
        <v>37</v>
      </c>
    </row>
    <row r="364" spans="1:6" x14ac:dyDescent="0.35">
      <c r="A364" t="s">
        <v>645</v>
      </c>
      <c r="B364" t="s">
        <v>646</v>
      </c>
      <c r="C364" s="1">
        <v>45615</v>
      </c>
      <c r="D364">
        <v>56.95</v>
      </c>
      <c r="E364" t="s">
        <v>71</v>
      </c>
      <c r="F364" t="s">
        <v>34</v>
      </c>
    </row>
    <row r="365" spans="1:6" x14ac:dyDescent="0.35">
      <c r="A365" t="s">
        <v>647</v>
      </c>
      <c r="B365" t="s">
        <v>648</v>
      </c>
      <c r="C365" s="1">
        <v>45304</v>
      </c>
      <c r="D365">
        <v>274.08999999999997</v>
      </c>
      <c r="E365" t="s">
        <v>71</v>
      </c>
      <c r="F365" t="s">
        <v>29</v>
      </c>
    </row>
    <row r="366" spans="1:6" x14ac:dyDescent="0.35">
      <c r="A366" t="s">
        <v>649</v>
      </c>
      <c r="B366" t="s">
        <v>650</v>
      </c>
      <c r="C366" s="1">
        <v>45568</v>
      </c>
      <c r="D366">
        <v>363.37</v>
      </c>
      <c r="E366" t="s">
        <v>62</v>
      </c>
      <c r="F366" t="s">
        <v>37</v>
      </c>
    </row>
    <row r="367" spans="1:6" x14ac:dyDescent="0.35">
      <c r="A367" t="s">
        <v>651</v>
      </c>
      <c r="B367" t="s">
        <v>652</v>
      </c>
      <c r="C367" s="1">
        <v>45522</v>
      </c>
      <c r="D367">
        <v>69.47</v>
      </c>
      <c r="E367" t="s">
        <v>68</v>
      </c>
      <c r="F367" t="s">
        <v>40</v>
      </c>
    </row>
    <row r="368" spans="1:6" x14ac:dyDescent="0.35">
      <c r="A368" t="s">
        <v>653</v>
      </c>
      <c r="B368" t="s">
        <v>168</v>
      </c>
      <c r="C368" s="1">
        <v>45313</v>
      </c>
      <c r="D368">
        <v>531.37</v>
      </c>
      <c r="E368" t="s">
        <v>68</v>
      </c>
      <c r="F368" t="s">
        <v>41</v>
      </c>
    </row>
    <row r="369" spans="1:6" x14ac:dyDescent="0.35">
      <c r="A369" t="s">
        <v>654</v>
      </c>
      <c r="B369" t="s">
        <v>655</v>
      </c>
      <c r="C369" s="1">
        <v>45633</v>
      </c>
      <c r="D369">
        <v>570.16999999999996</v>
      </c>
      <c r="E369" t="s">
        <v>65</v>
      </c>
      <c r="F369" t="s">
        <v>32</v>
      </c>
    </row>
    <row r="370" spans="1:6" x14ac:dyDescent="0.35">
      <c r="A370" t="s">
        <v>656</v>
      </c>
      <c r="B370" t="s">
        <v>145</v>
      </c>
      <c r="C370" s="1">
        <v>45566</v>
      </c>
      <c r="D370">
        <v>57.68</v>
      </c>
      <c r="E370" t="s">
        <v>71</v>
      </c>
      <c r="F370" t="s">
        <v>50</v>
      </c>
    </row>
    <row r="371" spans="1:6" x14ac:dyDescent="0.35">
      <c r="A371" t="s">
        <v>657</v>
      </c>
      <c r="B371" t="s">
        <v>658</v>
      </c>
      <c r="C371" s="1">
        <v>45364</v>
      </c>
      <c r="D371">
        <v>592.91999999999996</v>
      </c>
      <c r="E371" t="s">
        <v>68</v>
      </c>
      <c r="F371" t="s">
        <v>52</v>
      </c>
    </row>
    <row r="372" spans="1:6" x14ac:dyDescent="0.35">
      <c r="A372" t="s">
        <v>659</v>
      </c>
      <c r="B372" t="s">
        <v>660</v>
      </c>
      <c r="C372" s="1">
        <v>45608</v>
      </c>
      <c r="D372">
        <v>434</v>
      </c>
      <c r="E372" t="s">
        <v>71</v>
      </c>
      <c r="F372" t="s">
        <v>49</v>
      </c>
    </row>
    <row r="373" spans="1:6" x14ac:dyDescent="0.35">
      <c r="A373" t="s">
        <v>661</v>
      </c>
      <c r="B373" t="s">
        <v>558</v>
      </c>
      <c r="C373" s="1">
        <v>45299</v>
      </c>
      <c r="D373">
        <v>539.75</v>
      </c>
      <c r="E373" t="s">
        <v>68</v>
      </c>
      <c r="F373" t="s">
        <v>40</v>
      </c>
    </row>
    <row r="374" spans="1:6" x14ac:dyDescent="0.35">
      <c r="A374" t="s">
        <v>662</v>
      </c>
      <c r="B374" t="s">
        <v>663</v>
      </c>
      <c r="C374" s="1">
        <v>45341</v>
      </c>
      <c r="D374">
        <v>74.33</v>
      </c>
      <c r="E374" t="s">
        <v>71</v>
      </c>
      <c r="F374" t="s">
        <v>39</v>
      </c>
    </row>
    <row r="375" spans="1:6" x14ac:dyDescent="0.35">
      <c r="A375" t="s">
        <v>664</v>
      </c>
      <c r="B375" t="s">
        <v>429</v>
      </c>
      <c r="C375" s="1">
        <v>45346</v>
      </c>
      <c r="D375">
        <v>526.49</v>
      </c>
      <c r="E375" t="s">
        <v>65</v>
      </c>
      <c r="F375" t="s">
        <v>44</v>
      </c>
    </row>
    <row r="376" spans="1:6" x14ac:dyDescent="0.35">
      <c r="A376" t="s">
        <v>665</v>
      </c>
      <c r="B376" t="s">
        <v>61</v>
      </c>
      <c r="C376" s="1">
        <v>45404</v>
      </c>
      <c r="D376">
        <v>242.47</v>
      </c>
      <c r="E376" t="s">
        <v>71</v>
      </c>
      <c r="F376" t="s">
        <v>29</v>
      </c>
    </row>
    <row r="377" spans="1:6" x14ac:dyDescent="0.35">
      <c r="A377" t="s">
        <v>666</v>
      </c>
      <c r="B377" t="s">
        <v>299</v>
      </c>
      <c r="C377" s="1">
        <v>45639</v>
      </c>
      <c r="D377">
        <v>635.15</v>
      </c>
      <c r="E377" t="s">
        <v>62</v>
      </c>
      <c r="F377" t="s">
        <v>36</v>
      </c>
    </row>
    <row r="378" spans="1:6" x14ac:dyDescent="0.35">
      <c r="A378" t="s">
        <v>667</v>
      </c>
      <c r="B378" t="s">
        <v>422</v>
      </c>
      <c r="C378" s="1">
        <v>45586</v>
      </c>
      <c r="D378">
        <v>549.4</v>
      </c>
      <c r="E378" t="s">
        <v>71</v>
      </c>
      <c r="F378" t="s">
        <v>35</v>
      </c>
    </row>
    <row r="379" spans="1:6" x14ac:dyDescent="0.35">
      <c r="A379" t="s">
        <v>668</v>
      </c>
      <c r="B379" t="s">
        <v>660</v>
      </c>
      <c r="C379" s="1">
        <v>45401</v>
      </c>
      <c r="D379">
        <v>73.88</v>
      </c>
      <c r="E379" t="s">
        <v>71</v>
      </c>
      <c r="F379" t="s">
        <v>35</v>
      </c>
    </row>
    <row r="380" spans="1:6" x14ac:dyDescent="0.35">
      <c r="A380" t="s">
        <v>669</v>
      </c>
      <c r="B380" t="s">
        <v>670</v>
      </c>
      <c r="C380" s="1">
        <v>45432</v>
      </c>
      <c r="D380">
        <v>463.22</v>
      </c>
      <c r="E380" t="s">
        <v>65</v>
      </c>
      <c r="F380" t="s">
        <v>48</v>
      </c>
    </row>
    <row r="381" spans="1:6" x14ac:dyDescent="0.35">
      <c r="A381" t="s">
        <v>671</v>
      </c>
      <c r="B381" t="s">
        <v>672</v>
      </c>
      <c r="C381" s="1">
        <v>45575</v>
      </c>
      <c r="D381">
        <v>604.29</v>
      </c>
      <c r="E381" t="s">
        <v>65</v>
      </c>
      <c r="F381" t="s">
        <v>48</v>
      </c>
    </row>
    <row r="382" spans="1:6" x14ac:dyDescent="0.35">
      <c r="A382" t="s">
        <v>673</v>
      </c>
      <c r="B382" t="s">
        <v>674</v>
      </c>
      <c r="C382" s="1">
        <v>45312</v>
      </c>
      <c r="D382">
        <v>411.65</v>
      </c>
      <c r="E382" t="s">
        <v>68</v>
      </c>
      <c r="F382" t="s">
        <v>33</v>
      </c>
    </row>
    <row r="383" spans="1:6" x14ac:dyDescent="0.35">
      <c r="A383" t="s">
        <v>675</v>
      </c>
      <c r="B383" t="s">
        <v>652</v>
      </c>
      <c r="C383" s="1">
        <v>45372</v>
      </c>
      <c r="D383">
        <v>38.9</v>
      </c>
      <c r="E383" t="s">
        <v>65</v>
      </c>
      <c r="F383" t="s">
        <v>31</v>
      </c>
    </row>
    <row r="384" spans="1:6" x14ac:dyDescent="0.35">
      <c r="A384" t="s">
        <v>676</v>
      </c>
      <c r="B384" t="s">
        <v>368</v>
      </c>
      <c r="C384" s="1">
        <v>45383</v>
      </c>
      <c r="D384">
        <v>461.5</v>
      </c>
      <c r="E384" t="s">
        <v>62</v>
      </c>
      <c r="F384" t="s">
        <v>37</v>
      </c>
    </row>
    <row r="385" spans="1:6" x14ac:dyDescent="0.35">
      <c r="A385" t="s">
        <v>677</v>
      </c>
      <c r="B385" t="s">
        <v>175</v>
      </c>
      <c r="C385" s="1">
        <v>45535</v>
      </c>
      <c r="D385">
        <v>428.49</v>
      </c>
      <c r="E385" t="s">
        <v>71</v>
      </c>
      <c r="F385" t="s">
        <v>34</v>
      </c>
    </row>
    <row r="386" spans="1:6" x14ac:dyDescent="0.35">
      <c r="A386" t="s">
        <v>678</v>
      </c>
      <c r="B386" t="s">
        <v>139</v>
      </c>
      <c r="C386" s="1">
        <v>45559</v>
      </c>
      <c r="D386">
        <v>611.92999999999995</v>
      </c>
      <c r="E386" t="s">
        <v>65</v>
      </c>
      <c r="F386" t="s">
        <v>48</v>
      </c>
    </row>
    <row r="387" spans="1:6" x14ac:dyDescent="0.35">
      <c r="A387" t="s">
        <v>679</v>
      </c>
      <c r="B387" t="s">
        <v>64</v>
      </c>
      <c r="C387" s="1">
        <v>45604</v>
      </c>
      <c r="D387">
        <v>342.43</v>
      </c>
      <c r="E387" t="s">
        <v>71</v>
      </c>
      <c r="F387" t="s">
        <v>49</v>
      </c>
    </row>
    <row r="388" spans="1:6" x14ac:dyDescent="0.35">
      <c r="A388" t="s">
        <v>680</v>
      </c>
      <c r="B388" t="s">
        <v>681</v>
      </c>
      <c r="C388" s="1">
        <v>45337</v>
      </c>
      <c r="D388">
        <v>292.55</v>
      </c>
      <c r="E388" t="s">
        <v>62</v>
      </c>
      <c r="F388" t="s">
        <v>42</v>
      </c>
    </row>
    <row r="389" spans="1:6" x14ac:dyDescent="0.35">
      <c r="A389" t="s">
        <v>682</v>
      </c>
      <c r="B389" t="s">
        <v>683</v>
      </c>
      <c r="C389" s="1">
        <v>45577</v>
      </c>
      <c r="D389">
        <v>641.76</v>
      </c>
      <c r="E389" t="s">
        <v>71</v>
      </c>
      <c r="F389" t="s">
        <v>50</v>
      </c>
    </row>
    <row r="390" spans="1:6" x14ac:dyDescent="0.35">
      <c r="A390" t="s">
        <v>684</v>
      </c>
      <c r="B390" t="s">
        <v>114</v>
      </c>
      <c r="C390" s="1">
        <v>45340</v>
      </c>
      <c r="D390">
        <v>503.09</v>
      </c>
      <c r="E390" t="s">
        <v>62</v>
      </c>
      <c r="F390" t="s">
        <v>38</v>
      </c>
    </row>
    <row r="391" spans="1:6" x14ac:dyDescent="0.35">
      <c r="A391" t="s">
        <v>685</v>
      </c>
      <c r="B391" t="s">
        <v>478</v>
      </c>
      <c r="C391" s="1">
        <v>45568</v>
      </c>
      <c r="D391">
        <v>508.75</v>
      </c>
      <c r="E391" t="s">
        <v>71</v>
      </c>
      <c r="F391" t="s">
        <v>29</v>
      </c>
    </row>
    <row r="392" spans="1:6" x14ac:dyDescent="0.35">
      <c r="A392" t="s">
        <v>686</v>
      </c>
      <c r="B392" t="s">
        <v>687</v>
      </c>
      <c r="C392" s="1">
        <v>45629</v>
      </c>
      <c r="D392">
        <v>154.13999999999999</v>
      </c>
      <c r="E392" t="s">
        <v>62</v>
      </c>
      <c r="F392" t="s">
        <v>36</v>
      </c>
    </row>
    <row r="393" spans="1:6" x14ac:dyDescent="0.35">
      <c r="A393" t="s">
        <v>688</v>
      </c>
      <c r="B393" t="s">
        <v>402</v>
      </c>
      <c r="C393" s="1">
        <v>45368</v>
      </c>
      <c r="D393">
        <v>133.25</v>
      </c>
      <c r="E393" t="s">
        <v>65</v>
      </c>
      <c r="F393" t="s">
        <v>48</v>
      </c>
    </row>
    <row r="394" spans="1:6" x14ac:dyDescent="0.35">
      <c r="A394" t="s">
        <v>689</v>
      </c>
      <c r="B394" t="s">
        <v>124</v>
      </c>
      <c r="C394" s="1">
        <v>45314</v>
      </c>
      <c r="D394">
        <v>163.9</v>
      </c>
      <c r="E394" t="s">
        <v>62</v>
      </c>
      <c r="F394" t="s">
        <v>42</v>
      </c>
    </row>
    <row r="395" spans="1:6" x14ac:dyDescent="0.35">
      <c r="A395" t="s">
        <v>690</v>
      </c>
      <c r="B395" t="s">
        <v>486</v>
      </c>
      <c r="C395" s="1">
        <v>45420</v>
      </c>
      <c r="D395">
        <v>99.22</v>
      </c>
      <c r="E395" t="s">
        <v>65</v>
      </c>
      <c r="F395" t="s">
        <v>31</v>
      </c>
    </row>
    <row r="396" spans="1:6" x14ac:dyDescent="0.35">
      <c r="A396" t="s">
        <v>691</v>
      </c>
      <c r="B396" t="s">
        <v>160</v>
      </c>
      <c r="C396" s="1">
        <v>45318</v>
      </c>
      <c r="D396">
        <v>518.08000000000004</v>
      </c>
      <c r="E396" t="s">
        <v>71</v>
      </c>
      <c r="F396" t="s">
        <v>34</v>
      </c>
    </row>
    <row r="397" spans="1:6" x14ac:dyDescent="0.35">
      <c r="A397" t="s">
        <v>692</v>
      </c>
      <c r="B397" t="s">
        <v>693</v>
      </c>
      <c r="C397" s="1">
        <v>45540</v>
      </c>
      <c r="D397">
        <v>585.47</v>
      </c>
      <c r="E397" t="s">
        <v>68</v>
      </c>
      <c r="F397" t="s">
        <v>46</v>
      </c>
    </row>
    <row r="398" spans="1:6" x14ac:dyDescent="0.35">
      <c r="A398" t="s">
        <v>694</v>
      </c>
      <c r="B398" t="s">
        <v>648</v>
      </c>
      <c r="C398" s="1">
        <v>45519</v>
      </c>
      <c r="D398">
        <v>157.22999999999999</v>
      </c>
      <c r="E398" t="s">
        <v>62</v>
      </c>
      <c r="F398" t="s">
        <v>37</v>
      </c>
    </row>
    <row r="399" spans="1:6" x14ac:dyDescent="0.35">
      <c r="A399" t="s">
        <v>695</v>
      </c>
      <c r="B399" t="s">
        <v>320</v>
      </c>
      <c r="C399" s="1">
        <v>45638</v>
      </c>
      <c r="D399">
        <v>235.57</v>
      </c>
      <c r="E399" t="s">
        <v>71</v>
      </c>
      <c r="F399" t="s">
        <v>50</v>
      </c>
    </row>
    <row r="400" spans="1:6" x14ac:dyDescent="0.35">
      <c r="A400" t="s">
        <v>696</v>
      </c>
      <c r="B400" t="s">
        <v>496</v>
      </c>
      <c r="C400" s="1">
        <v>45342</v>
      </c>
      <c r="D400">
        <v>157.97</v>
      </c>
      <c r="E400" t="s">
        <v>65</v>
      </c>
      <c r="F400" t="s">
        <v>51</v>
      </c>
    </row>
    <row r="401" spans="1:6" x14ac:dyDescent="0.35">
      <c r="A401" t="s">
        <v>697</v>
      </c>
      <c r="B401" t="s">
        <v>698</v>
      </c>
      <c r="C401" s="1">
        <v>45404</v>
      </c>
      <c r="D401">
        <v>332.91</v>
      </c>
      <c r="E401" t="s">
        <v>65</v>
      </c>
      <c r="F401" t="s">
        <v>44</v>
      </c>
    </row>
    <row r="402" spans="1:6" x14ac:dyDescent="0.35">
      <c r="A402" t="s">
        <v>699</v>
      </c>
      <c r="B402" t="s">
        <v>700</v>
      </c>
      <c r="C402" s="1">
        <v>45515</v>
      </c>
      <c r="D402">
        <v>314.82</v>
      </c>
      <c r="E402" t="s">
        <v>71</v>
      </c>
      <c r="F402" t="s">
        <v>39</v>
      </c>
    </row>
    <row r="403" spans="1:6" x14ac:dyDescent="0.35">
      <c r="A403" t="s">
        <v>701</v>
      </c>
      <c r="B403" t="s">
        <v>702</v>
      </c>
      <c r="C403" s="1">
        <v>45490</v>
      </c>
      <c r="D403">
        <v>477.69</v>
      </c>
      <c r="E403" t="s">
        <v>71</v>
      </c>
      <c r="F403" t="s">
        <v>29</v>
      </c>
    </row>
    <row r="404" spans="1:6" x14ac:dyDescent="0.35">
      <c r="A404" t="s">
        <v>703</v>
      </c>
      <c r="B404" t="s">
        <v>704</v>
      </c>
      <c r="C404" s="1">
        <v>45615</v>
      </c>
      <c r="D404">
        <v>241.57</v>
      </c>
      <c r="E404" t="s">
        <v>62</v>
      </c>
      <c r="F404" t="s">
        <v>47</v>
      </c>
    </row>
    <row r="405" spans="1:6" x14ac:dyDescent="0.35">
      <c r="A405" t="s">
        <v>705</v>
      </c>
      <c r="B405" t="s">
        <v>706</v>
      </c>
      <c r="C405" s="1">
        <v>45308</v>
      </c>
      <c r="D405">
        <v>118.95</v>
      </c>
      <c r="E405" t="s">
        <v>68</v>
      </c>
      <c r="F405" t="s">
        <v>40</v>
      </c>
    </row>
    <row r="406" spans="1:6" x14ac:dyDescent="0.35">
      <c r="A406" t="s">
        <v>707</v>
      </c>
      <c r="B406" t="s">
        <v>128</v>
      </c>
      <c r="C406" s="1">
        <v>45530</v>
      </c>
      <c r="D406">
        <v>502.61</v>
      </c>
      <c r="E406" t="s">
        <v>65</v>
      </c>
      <c r="F406" t="s">
        <v>48</v>
      </c>
    </row>
    <row r="407" spans="1:6" x14ac:dyDescent="0.35">
      <c r="A407" t="s">
        <v>708</v>
      </c>
      <c r="B407" t="s">
        <v>265</v>
      </c>
      <c r="C407" s="1">
        <v>45404</v>
      </c>
      <c r="D407">
        <v>620.95000000000005</v>
      </c>
      <c r="E407" t="s">
        <v>71</v>
      </c>
      <c r="F407" t="s">
        <v>49</v>
      </c>
    </row>
    <row r="408" spans="1:6" x14ac:dyDescent="0.35">
      <c r="A408" t="s">
        <v>709</v>
      </c>
      <c r="B408" t="s">
        <v>322</v>
      </c>
      <c r="C408" s="1">
        <v>45379</v>
      </c>
      <c r="D408">
        <v>288.19</v>
      </c>
      <c r="E408" t="s">
        <v>71</v>
      </c>
      <c r="F408" t="s">
        <v>50</v>
      </c>
    </row>
    <row r="409" spans="1:6" x14ac:dyDescent="0.35">
      <c r="A409" t="s">
        <v>710</v>
      </c>
      <c r="B409" t="s">
        <v>658</v>
      </c>
      <c r="C409" s="1">
        <v>45559</v>
      </c>
      <c r="D409">
        <v>326.2</v>
      </c>
      <c r="E409" t="s">
        <v>71</v>
      </c>
      <c r="F409" t="s">
        <v>39</v>
      </c>
    </row>
    <row r="410" spans="1:6" x14ac:dyDescent="0.35">
      <c r="A410" t="s">
        <v>711</v>
      </c>
      <c r="B410" t="s">
        <v>712</v>
      </c>
      <c r="C410" s="1">
        <v>45528</v>
      </c>
      <c r="D410">
        <v>298.29000000000002</v>
      </c>
      <c r="E410" t="s">
        <v>68</v>
      </c>
      <c r="F410" t="s">
        <v>33</v>
      </c>
    </row>
    <row r="411" spans="1:6" x14ac:dyDescent="0.35">
      <c r="A411" t="s">
        <v>713</v>
      </c>
      <c r="B411" t="s">
        <v>409</v>
      </c>
      <c r="C411" s="1">
        <v>45418</v>
      </c>
      <c r="D411">
        <v>391.37</v>
      </c>
      <c r="E411" t="s">
        <v>62</v>
      </c>
      <c r="F411" t="s">
        <v>37</v>
      </c>
    </row>
    <row r="412" spans="1:6" x14ac:dyDescent="0.35">
      <c r="A412" t="s">
        <v>714</v>
      </c>
      <c r="B412" t="s">
        <v>145</v>
      </c>
      <c r="C412" s="1">
        <v>45594</v>
      </c>
      <c r="D412">
        <v>637.80999999999995</v>
      </c>
      <c r="E412" t="s">
        <v>68</v>
      </c>
      <c r="F412" t="s">
        <v>52</v>
      </c>
    </row>
    <row r="413" spans="1:6" x14ac:dyDescent="0.35">
      <c r="A413" t="s">
        <v>715</v>
      </c>
      <c r="B413" t="s">
        <v>400</v>
      </c>
      <c r="C413" s="1">
        <v>45312</v>
      </c>
      <c r="D413">
        <v>361.64</v>
      </c>
      <c r="E413" t="s">
        <v>68</v>
      </c>
      <c r="F413" t="s">
        <v>52</v>
      </c>
    </row>
    <row r="414" spans="1:6" x14ac:dyDescent="0.35">
      <c r="A414" t="s">
        <v>716</v>
      </c>
      <c r="B414" t="s">
        <v>366</v>
      </c>
      <c r="C414" s="1">
        <v>45537</v>
      </c>
      <c r="D414">
        <v>182.91</v>
      </c>
      <c r="E414" t="s">
        <v>65</v>
      </c>
      <c r="F414" t="s">
        <v>30</v>
      </c>
    </row>
    <row r="415" spans="1:6" x14ac:dyDescent="0.35">
      <c r="A415" t="s">
        <v>717</v>
      </c>
      <c r="B415" t="s">
        <v>602</v>
      </c>
      <c r="C415" s="1">
        <v>45577</v>
      </c>
      <c r="D415">
        <v>116.62</v>
      </c>
      <c r="E415" t="s">
        <v>65</v>
      </c>
      <c r="F415" t="s">
        <v>48</v>
      </c>
    </row>
    <row r="416" spans="1:6" x14ac:dyDescent="0.35">
      <c r="A416" t="s">
        <v>718</v>
      </c>
      <c r="B416" t="s">
        <v>719</v>
      </c>
      <c r="C416" s="1">
        <v>45443</v>
      </c>
      <c r="D416">
        <v>330.07</v>
      </c>
      <c r="E416" t="s">
        <v>68</v>
      </c>
      <c r="F416" t="s">
        <v>46</v>
      </c>
    </row>
    <row r="417" spans="1:6" x14ac:dyDescent="0.35">
      <c r="A417" t="s">
        <v>720</v>
      </c>
      <c r="B417" t="s">
        <v>721</v>
      </c>
      <c r="C417" s="1">
        <v>45448</v>
      </c>
      <c r="D417">
        <v>385.78</v>
      </c>
      <c r="E417" t="s">
        <v>65</v>
      </c>
      <c r="F417" t="s">
        <v>51</v>
      </c>
    </row>
    <row r="418" spans="1:6" x14ac:dyDescent="0.35">
      <c r="A418" t="s">
        <v>722</v>
      </c>
      <c r="B418" t="s">
        <v>424</v>
      </c>
      <c r="C418" s="1">
        <v>45590</v>
      </c>
      <c r="D418">
        <v>509.68</v>
      </c>
      <c r="E418" t="s">
        <v>65</v>
      </c>
      <c r="F418" t="s">
        <v>30</v>
      </c>
    </row>
    <row r="419" spans="1:6" x14ac:dyDescent="0.35">
      <c r="A419" t="s">
        <v>723</v>
      </c>
      <c r="B419" t="s">
        <v>168</v>
      </c>
      <c r="C419" s="1">
        <v>45652</v>
      </c>
      <c r="D419">
        <v>420.49</v>
      </c>
      <c r="E419" t="s">
        <v>71</v>
      </c>
      <c r="F419" t="s">
        <v>35</v>
      </c>
    </row>
    <row r="420" spans="1:6" x14ac:dyDescent="0.35">
      <c r="A420" t="s">
        <v>724</v>
      </c>
      <c r="B420" t="s">
        <v>100</v>
      </c>
      <c r="C420" s="1">
        <v>45652</v>
      </c>
      <c r="D420">
        <v>78.48</v>
      </c>
      <c r="E420" t="s">
        <v>68</v>
      </c>
      <c r="F420" t="s">
        <v>33</v>
      </c>
    </row>
    <row r="421" spans="1:6" x14ac:dyDescent="0.35">
      <c r="A421" t="s">
        <v>725</v>
      </c>
      <c r="B421" t="s">
        <v>480</v>
      </c>
      <c r="C421" s="1">
        <v>45645</v>
      </c>
      <c r="D421">
        <v>296.93</v>
      </c>
      <c r="E421" t="s">
        <v>68</v>
      </c>
      <c r="F421" t="s">
        <v>40</v>
      </c>
    </row>
    <row r="422" spans="1:6" x14ac:dyDescent="0.35">
      <c r="A422" t="s">
        <v>726</v>
      </c>
      <c r="B422" t="s">
        <v>463</v>
      </c>
      <c r="C422" s="1">
        <v>45430</v>
      </c>
      <c r="D422">
        <v>84.79</v>
      </c>
      <c r="E422" t="s">
        <v>71</v>
      </c>
      <c r="F422" t="s">
        <v>49</v>
      </c>
    </row>
    <row r="423" spans="1:6" x14ac:dyDescent="0.35">
      <c r="A423" t="s">
        <v>727</v>
      </c>
      <c r="B423" t="s">
        <v>728</v>
      </c>
      <c r="C423" s="1">
        <v>45463</v>
      </c>
      <c r="D423">
        <v>103.24</v>
      </c>
      <c r="E423" t="s">
        <v>62</v>
      </c>
      <c r="F423" t="s">
        <v>36</v>
      </c>
    </row>
    <row r="424" spans="1:6" x14ac:dyDescent="0.35">
      <c r="A424" t="s">
        <v>729</v>
      </c>
      <c r="B424" t="s">
        <v>471</v>
      </c>
      <c r="C424" s="1">
        <v>45479</v>
      </c>
      <c r="D424">
        <v>260.36</v>
      </c>
      <c r="E424" t="s">
        <v>68</v>
      </c>
      <c r="F424" t="s">
        <v>40</v>
      </c>
    </row>
    <row r="425" spans="1:6" x14ac:dyDescent="0.35">
      <c r="A425" t="s">
        <v>730</v>
      </c>
      <c r="B425" t="s">
        <v>90</v>
      </c>
      <c r="C425" s="1">
        <v>45623</v>
      </c>
      <c r="D425">
        <v>471.24</v>
      </c>
      <c r="E425" t="s">
        <v>68</v>
      </c>
      <c r="F425" t="s">
        <v>45</v>
      </c>
    </row>
    <row r="426" spans="1:6" x14ac:dyDescent="0.35">
      <c r="A426" t="s">
        <v>731</v>
      </c>
      <c r="B426" t="s">
        <v>732</v>
      </c>
      <c r="C426" s="1">
        <v>45396</v>
      </c>
      <c r="D426">
        <v>366.87</v>
      </c>
      <c r="E426" t="s">
        <v>62</v>
      </c>
      <c r="F426" t="s">
        <v>47</v>
      </c>
    </row>
    <row r="427" spans="1:6" x14ac:dyDescent="0.35">
      <c r="A427" t="s">
        <v>733</v>
      </c>
      <c r="B427" t="s">
        <v>734</v>
      </c>
      <c r="C427" s="1">
        <v>45624</v>
      </c>
      <c r="D427">
        <v>502.94</v>
      </c>
      <c r="E427" t="s">
        <v>71</v>
      </c>
      <c r="F427" t="s">
        <v>49</v>
      </c>
    </row>
    <row r="428" spans="1:6" x14ac:dyDescent="0.35">
      <c r="A428" t="s">
        <v>735</v>
      </c>
      <c r="B428" t="s">
        <v>736</v>
      </c>
      <c r="C428" s="1">
        <v>45456</v>
      </c>
      <c r="D428">
        <v>453.34</v>
      </c>
      <c r="E428" t="s">
        <v>62</v>
      </c>
      <c r="F428" t="s">
        <v>54</v>
      </c>
    </row>
    <row r="429" spans="1:6" x14ac:dyDescent="0.35">
      <c r="A429" t="s">
        <v>737</v>
      </c>
      <c r="B429" t="s">
        <v>124</v>
      </c>
      <c r="C429" s="1">
        <v>45433</v>
      </c>
      <c r="D429">
        <v>247.31</v>
      </c>
      <c r="E429" t="s">
        <v>68</v>
      </c>
      <c r="F429" t="s">
        <v>40</v>
      </c>
    </row>
    <row r="430" spans="1:6" x14ac:dyDescent="0.35">
      <c r="A430" t="s">
        <v>738</v>
      </c>
      <c r="B430" t="s">
        <v>500</v>
      </c>
      <c r="C430" s="1">
        <v>45540</v>
      </c>
      <c r="D430">
        <v>471.54</v>
      </c>
      <c r="E430" t="s">
        <v>68</v>
      </c>
      <c r="F430" t="s">
        <v>52</v>
      </c>
    </row>
    <row r="431" spans="1:6" x14ac:dyDescent="0.35">
      <c r="A431" t="s">
        <v>739</v>
      </c>
      <c r="B431" t="s">
        <v>740</v>
      </c>
      <c r="C431" s="1">
        <v>45639</v>
      </c>
      <c r="D431">
        <v>416.89</v>
      </c>
      <c r="E431" t="s">
        <v>62</v>
      </c>
      <c r="F431" t="s">
        <v>37</v>
      </c>
    </row>
    <row r="432" spans="1:6" x14ac:dyDescent="0.35">
      <c r="A432" t="s">
        <v>741</v>
      </c>
      <c r="B432" t="s">
        <v>742</v>
      </c>
      <c r="C432" s="1">
        <v>45636</v>
      </c>
      <c r="D432">
        <v>88.69</v>
      </c>
      <c r="E432" t="s">
        <v>71</v>
      </c>
      <c r="F432" t="s">
        <v>29</v>
      </c>
    </row>
    <row r="433" spans="1:6" x14ac:dyDescent="0.35">
      <c r="A433" t="s">
        <v>743</v>
      </c>
      <c r="B433" t="s">
        <v>744</v>
      </c>
      <c r="C433" s="1">
        <v>45492</v>
      </c>
      <c r="D433">
        <v>102.26</v>
      </c>
      <c r="E433" t="s">
        <v>62</v>
      </c>
      <c r="F433" t="s">
        <v>36</v>
      </c>
    </row>
    <row r="434" spans="1:6" x14ac:dyDescent="0.35">
      <c r="A434" t="s">
        <v>745</v>
      </c>
      <c r="B434" t="s">
        <v>243</v>
      </c>
      <c r="C434" s="1">
        <v>45433</v>
      </c>
      <c r="D434">
        <v>127.56</v>
      </c>
      <c r="E434" t="s">
        <v>71</v>
      </c>
      <c r="F434" t="s">
        <v>29</v>
      </c>
    </row>
    <row r="435" spans="1:6" x14ac:dyDescent="0.35">
      <c r="A435" t="s">
        <v>746</v>
      </c>
      <c r="B435" t="s">
        <v>240</v>
      </c>
      <c r="C435" s="1">
        <v>45396</v>
      </c>
      <c r="D435">
        <v>291.17</v>
      </c>
      <c r="E435" t="s">
        <v>68</v>
      </c>
      <c r="F435" t="s">
        <v>40</v>
      </c>
    </row>
    <row r="436" spans="1:6" x14ac:dyDescent="0.35">
      <c r="A436" t="s">
        <v>747</v>
      </c>
      <c r="B436" t="s">
        <v>259</v>
      </c>
      <c r="C436" s="1">
        <v>45641</v>
      </c>
      <c r="D436">
        <v>248.22</v>
      </c>
      <c r="E436" t="s">
        <v>71</v>
      </c>
      <c r="F436" t="s">
        <v>29</v>
      </c>
    </row>
    <row r="437" spans="1:6" x14ac:dyDescent="0.35">
      <c r="A437" t="s">
        <v>748</v>
      </c>
      <c r="B437" t="s">
        <v>749</v>
      </c>
      <c r="C437" s="1">
        <v>45519</v>
      </c>
      <c r="D437">
        <v>151.27000000000001</v>
      </c>
      <c r="E437" t="s">
        <v>68</v>
      </c>
      <c r="F437" t="s">
        <v>40</v>
      </c>
    </row>
    <row r="438" spans="1:6" x14ac:dyDescent="0.35">
      <c r="A438" t="s">
        <v>750</v>
      </c>
      <c r="B438" t="s">
        <v>751</v>
      </c>
      <c r="C438" s="1">
        <v>45303</v>
      </c>
      <c r="D438">
        <v>390.9</v>
      </c>
      <c r="E438" t="s">
        <v>62</v>
      </c>
      <c r="F438" t="s">
        <v>37</v>
      </c>
    </row>
    <row r="439" spans="1:6" x14ac:dyDescent="0.35">
      <c r="A439" t="s">
        <v>752</v>
      </c>
      <c r="B439" t="s">
        <v>749</v>
      </c>
      <c r="C439" s="1">
        <v>45627</v>
      </c>
      <c r="D439">
        <v>399.91</v>
      </c>
      <c r="E439" t="s">
        <v>62</v>
      </c>
      <c r="F439" t="s">
        <v>37</v>
      </c>
    </row>
    <row r="440" spans="1:6" x14ac:dyDescent="0.35">
      <c r="A440" t="s">
        <v>753</v>
      </c>
      <c r="B440" t="s">
        <v>754</v>
      </c>
      <c r="C440" s="1">
        <v>45648</v>
      </c>
      <c r="D440">
        <v>222.01</v>
      </c>
      <c r="E440" t="s">
        <v>65</v>
      </c>
      <c r="F440" t="s">
        <v>30</v>
      </c>
    </row>
    <row r="441" spans="1:6" x14ac:dyDescent="0.35">
      <c r="A441" t="s">
        <v>755</v>
      </c>
      <c r="B441" t="s">
        <v>353</v>
      </c>
      <c r="C441" s="1">
        <v>45359</v>
      </c>
      <c r="D441">
        <v>174.47</v>
      </c>
      <c r="E441" t="s">
        <v>71</v>
      </c>
      <c r="F441" t="s">
        <v>35</v>
      </c>
    </row>
    <row r="442" spans="1:6" x14ac:dyDescent="0.35">
      <c r="A442" t="s">
        <v>756</v>
      </c>
      <c r="B442" t="s">
        <v>351</v>
      </c>
      <c r="C442" s="1">
        <v>45482</v>
      </c>
      <c r="D442">
        <v>252.17</v>
      </c>
      <c r="E442" t="s">
        <v>68</v>
      </c>
      <c r="F442" t="s">
        <v>41</v>
      </c>
    </row>
    <row r="443" spans="1:6" x14ac:dyDescent="0.35">
      <c r="A443" t="s">
        <v>757</v>
      </c>
      <c r="B443" t="s">
        <v>166</v>
      </c>
      <c r="C443" s="1">
        <v>45525</v>
      </c>
      <c r="D443">
        <v>364.22</v>
      </c>
      <c r="E443" t="s">
        <v>71</v>
      </c>
      <c r="F443" t="s">
        <v>49</v>
      </c>
    </row>
    <row r="444" spans="1:6" x14ac:dyDescent="0.35">
      <c r="A444" t="s">
        <v>758</v>
      </c>
      <c r="B444" t="s">
        <v>589</v>
      </c>
      <c r="C444" s="1">
        <v>45385</v>
      </c>
      <c r="D444">
        <v>181.31</v>
      </c>
      <c r="E444" t="s">
        <v>71</v>
      </c>
      <c r="F444" t="s">
        <v>34</v>
      </c>
    </row>
    <row r="445" spans="1:6" x14ac:dyDescent="0.35">
      <c r="A445" t="s">
        <v>759</v>
      </c>
      <c r="B445" t="s">
        <v>760</v>
      </c>
      <c r="C445" s="1">
        <v>45313</v>
      </c>
      <c r="D445">
        <v>195.15</v>
      </c>
      <c r="E445" t="s">
        <v>71</v>
      </c>
      <c r="F445" t="s">
        <v>29</v>
      </c>
    </row>
    <row r="446" spans="1:6" x14ac:dyDescent="0.35">
      <c r="A446" t="s">
        <v>761</v>
      </c>
      <c r="B446" t="s">
        <v>548</v>
      </c>
      <c r="C446" s="1">
        <v>45386</v>
      </c>
      <c r="D446">
        <v>229.92</v>
      </c>
      <c r="E446" t="s">
        <v>68</v>
      </c>
      <c r="F446" t="s">
        <v>33</v>
      </c>
    </row>
    <row r="447" spans="1:6" x14ac:dyDescent="0.35">
      <c r="A447" t="s">
        <v>762</v>
      </c>
      <c r="B447" t="s">
        <v>335</v>
      </c>
      <c r="C447" s="1">
        <v>45468</v>
      </c>
      <c r="D447">
        <v>367.02</v>
      </c>
      <c r="E447" t="s">
        <v>62</v>
      </c>
      <c r="F447" t="s">
        <v>37</v>
      </c>
    </row>
    <row r="448" spans="1:6" x14ac:dyDescent="0.35">
      <c r="A448" t="s">
        <v>763</v>
      </c>
      <c r="B448" t="s">
        <v>578</v>
      </c>
      <c r="C448" s="1">
        <v>45375</v>
      </c>
      <c r="D448">
        <v>601.07000000000005</v>
      </c>
      <c r="E448" t="s">
        <v>62</v>
      </c>
      <c r="F448" t="s">
        <v>36</v>
      </c>
    </row>
    <row r="449" spans="1:6" x14ac:dyDescent="0.35">
      <c r="A449" t="s">
        <v>764</v>
      </c>
      <c r="B449" t="s">
        <v>147</v>
      </c>
      <c r="C449" s="1">
        <v>45499</v>
      </c>
      <c r="D449">
        <v>605.6</v>
      </c>
      <c r="E449" t="s">
        <v>71</v>
      </c>
      <c r="F449" t="s">
        <v>29</v>
      </c>
    </row>
    <row r="450" spans="1:6" x14ac:dyDescent="0.35">
      <c r="A450" t="s">
        <v>765</v>
      </c>
      <c r="B450" t="s">
        <v>88</v>
      </c>
      <c r="C450" s="1">
        <v>45371</v>
      </c>
      <c r="D450">
        <v>468.85</v>
      </c>
      <c r="E450" t="s">
        <v>62</v>
      </c>
      <c r="F450" t="s">
        <v>43</v>
      </c>
    </row>
    <row r="451" spans="1:6" x14ac:dyDescent="0.35">
      <c r="A451" t="s">
        <v>766</v>
      </c>
      <c r="B451" t="s">
        <v>581</v>
      </c>
      <c r="C451" s="1">
        <v>45534</v>
      </c>
      <c r="D451">
        <v>483.05</v>
      </c>
      <c r="E451" t="s">
        <v>71</v>
      </c>
      <c r="F451" t="s">
        <v>39</v>
      </c>
    </row>
    <row r="452" spans="1:6" x14ac:dyDescent="0.35">
      <c r="A452" t="s">
        <v>767</v>
      </c>
      <c r="B452" t="s">
        <v>96</v>
      </c>
      <c r="C452" s="1">
        <v>45518</v>
      </c>
      <c r="D452">
        <v>329.57</v>
      </c>
      <c r="E452" t="s">
        <v>68</v>
      </c>
      <c r="F452" t="s">
        <v>33</v>
      </c>
    </row>
    <row r="453" spans="1:6" x14ac:dyDescent="0.35">
      <c r="A453" t="s">
        <v>768</v>
      </c>
      <c r="B453" t="s">
        <v>769</v>
      </c>
      <c r="C453" s="1">
        <v>45312</v>
      </c>
      <c r="D453">
        <v>50.25</v>
      </c>
      <c r="E453" t="s">
        <v>68</v>
      </c>
      <c r="F453" t="s">
        <v>40</v>
      </c>
    </row>
    <row r="454" spans="1:6" x14ac:dyDescent="0.35">
      <c r="A454" t="s">
        <v>770</v>
      </c>
      <c r="B454" t="s">
        <v>771</v>
      </c>
      <c r="C454" s="1">
        <v>45608</v>
      </c>
      <c r="D454">
        <v>91.88</v>
      </c>
      <c r="E454" t="s">
        <v>65</v>
      </c>
      <c r="F454" t="s">
        <v>53</v>
      </c>
    </row>
    <row r="455" spans="1:6" x14ac:dyDescent="0.35">
      <c r="A455" t="s">
        <v>772</v>
      </c>
      <c r="B455" t="s">
        <v>303</v>
      </c>
      <c r="C455" s="1">
        <v>45320</v>
      </c>
      <c r="D455">
        <v>358.76</v>
      </c>
      <c r="E455" t="s">
        <v>71</v>
      </c>
      <c r="F455" t="s">
        <v>39</v>
      </c>
    </row>
    <row r="456" spans="1:6" x14ac:dyDescent="0.35">
      <c r="A456" t="s">
        <v>773</v>
      </c>
      <c r="B456" t="s">
        <v>774</v>
      </c>
      <c r="C456" s="1">
        <v>45434</v>
      </c>
      <c r="D456">
        <v>366.12</v>
      </c>
      <c r="E456" t="s">
        <v>68</v>
      </c>
      <c r="F456" t="s">
        <v>46</v>
      </c>
    </row>
    <row r="457" spans="1:6" x14ac:dyDescent="0.35">
      <c r="A457" t="s">
        <v>775</v>
      </c>
      <c r="B457" t="s">
        <v>776</v>
      </c>
      <c r="C457" s="1">
        <v>45520</v>
      </c>
      <c r="D457">
        <v>277.57</v>
      </c>
      <c r="E457" t="s">
        <v>68</v>
      </c>
      <c r="F457" t="s">
        <v>45</v>
      </c>
    </row>
    <row r="458" spans="1:6" x14ac:dyDescent="0.35">
      <c r="A458" t="s">
        <v>777</v>
      </c>
      <c r="B458" t="s">
        <v>760</v>
      </c>
      <c r="C458" s="1">
        <v>45543</v>
      </c>
      <c r="D458">
        <v>257.05</v>
      </c>
      <c r="E458" t="s">
        <v>68</v>
      </c>
      <c r="F458" t="s">
        <v>33</v>
      </c>
    </row>
    <row r="459" spans="1:6" x14ac:dyDescent="0.35">
      <c r="A459" t="s">
        <v>778</v>
      </c>
      <c r="B459" t="s">
        <v>297</v>
      </c>
      <c r="C459" s="1">
        <v>45367</v>
      </c>
      <c r="D459">
        <v>264.29000000000002</v>
      </c>
      <c r="E459" t="s">
        <v>62</v>
      </c>
      <c r="F459" t="s">
        <v>37</v>
      </c>
    </row>
    <row r="460" spans="1:6" x14ac:dyDescent="0.35">
      <c r="A460" t="s">
        <v>779</v>
      </c>
      <c r="B460" t="s">
        <v>199</v>
      </c>
      <c r="C460" s="1">
        <v>45437</v>
      </c>
      <c r="D460">
        <v>636.17999999999995</v>
      </c>
      <c r="E460" t="s">
        <v>62</v>
      </c>
      <c r="F460" t="s">
        <v>42</v>
      </c>
    </row>
    <row r="461" spans="1:6" x14ac:dyDescent="0.35">
      <c r="A461" t="s">
        <v>780</v>
      </c>
      <c r="B461" t="s">
        <v>78</v>
      </c>
      <c r="C461" s="1">
        <v>45579</v>
      </c>
      <c r="D461">
        <v>581</v>
      </c>
      <c r="E461" t="s">
        <v>71</v>
      </c>
      <c r="F461" t="s">
        <v>49</v>
      </c>
    </row>
    <row r="462" spans="1:6" x14ac:dyDescent="0.35">
      <c r="A462" t="s">
        <v>781</v>
      </c>
      <c r="B462" t="s">
        <v>183</v>
      </c>
      <c r="C462" s="1">
        <v>45504</v>
      </c>
      <c r="D462">
        <v>530.49</v>
      </c>
      <c r="E462" t="s">
        <v>62</v>
      </c>
      <c r="F462" t="s">
        <v>47</v>
      </c>
    </row>
    <row r="463" spans="1:6" x14ac:dyDescent="0.35">
      <c r="A463" t="s">
        <v>782</v>
      </c>
      <c r="B463" t="s">
        <v>473</v>
      </c>
      <c r="C463" s="1">
        <v>45509</v>
      </c>
      <c r="D463">
        <v>402.73</v>
      </c>
      <c r="E463" t="s">
        <v>71</v>
      </c>
      <c r="F463" t="s">
        <v>39</v>
      </c>
    </row>
    <row r="464" spans="1:6" x14ac:dyDescent="0.35">
      <c r="A464" t="s">
        <v>783</v>
      </c>
      <c r="B464" t="s">
        <v>687</v>
      </c>
      <c r="C464" s="1">
        <v>45365</v>
      </c>
      <c r="D464">
        <v>642.86</v>
      </c>
      <c r="E464" t="s">
        <v>62</v>
      </c>
      <c r="F464" t="s">
        <v>37</v>
      </c>
    </row>
    <row r="465" spans="1:6" x14ac:dyDescent="0.35">
      <c r="A465" t="s">
        <v>784</v>
      </c>
      <c r="B465" t="s">
        <v>486</v>
      </c>
      <c r="C465" s="1">
        <v>45560</v>
      </c>
      <c r="D465">
        <v>500.01</v>
      </c>
      <c r="E465" t="s">
        <v>68</v>
      </c>
      <c r="F465" t="s">
        <v>45</v>
      </c>
    </row>
    <row r="466" spans="1:6" x14ac:dyDescent="0.35">
      <c r="A466" t="s">
        <v>785</v>
      </c>
      <c r="B466" t="s">
        <v>310</v>
      </c>
      <c r="C466" s="1">
        <v>45337</v>
      </c>
      <c r="D466">
        <v>597.36</v>
      </c>
      <c r="E466" t="s">
        <v>65</v>
      </c>
      <c r="F466" t="s">
        <v>32</v>
      </c>
    </row>
    <row r="467" spans="1:6" x14ac:dyDescent="0.35">
      <c r="A467" t="s">
        <v>786</v>
      </c>
      <c r="B467" t="s">
        <v>589</v>
      </c>
      <c r="C467" s="1">
        <v>45504</v>
      </c>
      <c r="D467">
        <v>384.27</v>
      </c>
      <c r="E467" t="s">
        <v>65</v>
      </c>
      <c r="F467" t="s">
        <v>32</v>
      </c>
    </row>
    <row r="468" spans="1:6" x14ac:dyDescent="0.35">
      <c r="A468" t="s">
        <v>787</v>
      </c>
      <c r="B468" t="s">
        <v>361</v>
      </c>
      <c r="C468" s="1">
        <v>45362</v>
      </c>
      <c r="D468">
        <v>213.02</v>
      </c>
      <c r="E468" t="s">
        <v>71</v>
      </c>
      <c r="F468" t="s">
        <v>29</v>
      </c>
    </row>
    <row r="469" spans="1:6" x14ac:dyDescent="0.35">
      <c r="A469" t="s">
        <v>788</v>
      </c>
      <c r="B469" t="s">
        <v>118</v>
      </c>
      <c r="C469" s="1">
        <v>45543</v>
      </c>
      <c r="D469">
        <v>394.9</v>
      </c>
      <c r="E469" t="s">
        <v>62</v>
      </c>
      <c r="F469" t="s">
        <v>38</v>
      </c>
    </row>
    <row r="470" spans="1:6" x14ac:dyDescent="0.35">
      <c r="A470" t="s">
        <v>789</v>
      </c>
      <c r="B470" t="s">
        <v>90</v>
      </c>
      <c r="C470" s="1">
        <v>45544</v>
      </c>
      <c r="D470">
        <v>51.51</v>
      </c>
      <c r="E470" t="s">
        <v>65</v>
      </c>
      <c r="F470" t="s">
        <v>48</v>
      </c>
    </row>
    <row r="471" spans="1:6" x14ac:dyDescent="0.35">
      <c r="A471" t="s">
        <v>790</v>
      </c>
      <c r="B471" t="s">
        <v>331</v>
      </c>
      <c r="C471" s="1">
        <v>45293</v>
      </c>
      <c r="D471">
        <v>622.96</v>
      </c>
      <c r="E471" t="s">
        <v>62</v>
      </c>
      <c r="F471" t="s">
        <v>42</v>
      </c>
    </row>
    <row r="472" spans="1:6" x14ac:dyDescent="0.35">
      <c r="A472" t="s">
        <v>791</v>
      </c>
      <c r="B472" t="s">
        <v>459</v>
      </c>
      <c r="C472" s="1">
        <v>45617</v>
      </c>
      <c r="D472">
        <v>444.54</v>
      </c>
      <c r="E472" t="s">
        <v>68</v>
      </c>
      <c r="F472" t="s">
        <v>33</v>
      </c>
    </row>
    <row r="473" spans="1:6" x14ac:dyDescent="0.35">
      <c r="A473" t="s">
        <v>792</v>
      </c>
      <c r="B473" t="s">
        <v>793</v>
      </c>
      <c r="C473" s="1">
        <v>45439</v>
      </c>
      <c r="D473">
        <v>592.67999999999995</v>
      </c>
      <c r="E473" t="s">
        <v>71</v>
      </c>
      <c r="F473" t="s">
        <v>29</v>
      </c>
    </row>
    <row r="474" spans="1:6" x14ac:dyDescent="0.35">
      <c r="A474" t="s">
        <v>794</v>
      </c>
      <c r="B474" t="s">
        <v>574</v>
      </c>
      <c r="C474" s="1">
        <v>45622</v>
      </c>
      <c r="D474">
        <v>505.3</v>
      </c>
      <c r="E474" t="s">
        <v>68</v>
      </c>
      <c r="F474" t="s">
        <v>46</v>
      </c>
    </row>
    <row r="475" spans="1:6" x14ac:dyDescent="0.35">
      <c r="A475" t="s">
        <v>795</v>
      </c>
      <c r="B475" t="s">
        <v>276</v>
      </c>
      <c r="C475" s="1">
        <v>45544</v>
      </c>
      <c r="D475">
        <v>330.5</v>
      </c>
      <c r="E475" t="s">
        <v>62</v>
      </c>
      <c r="F475" t="s">
        <v>54</v>
      </c>
    </row>
    <row r="476" spans="1:6" x14ac:dyDescent="0.35">
      <c r="A476" t="s">
        <v>796</v>
      </c>
      <c r="B476" t="s">
        <v>626</v>
      </c>
      <c r="C476" s="1">
        <v>45515</v>
      </c>
      <c r="D476">
        <v>538.24</v>
      </c>
      <c r="E476" t="s">
        <v>65</v>
      </c>
      <c r="F476" t="s">
        <v>32</v>
      </c>
    </row>
    <row r="477" spans="1:6" x14ac:dyDescent="0.35">
      <c r="A477" t="s">
        <v>797</v>
      </c>
      <c r="B477" t="s">
        <v>92</v>
      </c>
      <c r="C477" s="1">
        <v>45483</v>
      </c>
      <c r="D477">
        <v>135.15</v>
      </c>
      <c r="E477" t="s">
        <v>68</v>
      </c>
      <c r="F477" t="s">
        <v>40</v>
      </c>
    </row>
    <row r="478" spans="1:6" x14ac:dyDescent="0.35">
      <c r="A478" t="s">
        <v>798</v>
      </c>
      <c r="B478" t="s">
        <v>700</v>
      </c>
      <c r="C478" s="1">
        <v>45321</v>
      </c>
      <c r="D478">
        <v>575.16999999999996</v>
      </c>
      <c r="E478" t="s">
        <v>62</v>
      </c>
      <c r="F478" t="s">
        <v>37</v>
      </c>
    </row>
    <row r="479" spans="1:6" x14ac:dyDescent="0.35">
      <c r="A479" t="s">
        <v>799</v>
      </c>
      <c r="B479" t="s">
        <v>800</v>
      </c>
      <c r="C479" s="1">
        <v>45361</v>
      </c>
      <c r="D479">
        <v>202.69</v>
      </c>
      <c r="E479" t="s">
        <v>71</v>
      </c>
      <c r="F479" t="s">
        <v>50</v>
      </c>
    </row>
    <row r="480" spans="1:6" x14ac:dyDescent="0.35">
      <c r="A480" t="s">
        <v>801</v>
      </c>
      <c r="B480" t="s">
        <v>192</v>
      </c>
      <c r="C480" s="1">
        <v>45506</v>
      </c>
      <c r="D480">
        <v>213.26</v>
      </c>
      <c r="E480" t="s">
        <v>62</v>
      </c>
      <c r="F480" t="s">
        <v>36</v>
      </c>
    </row>
    <row r="481" spans="1:6" x14ac:dyDescent="0.35">
      <c r="A481" t="s">
        <v>802</v>
      </c>
      <c r="B481" t="s">
        <v>509</v>
      </c>
      <c r="C481" s="1">
        <v>45563</v>
      </c>
      <c r="D481">
        <v>154.19999999999999</v>
      </c>
      <c r="E481" t="s">
        <v>68</v>
      </c>
      <c r="F481" t="s">
        <v>45</v>
      </c>
    </row>
    <row r="482" spans="1:6" x14ac:dyDescent="0.35">
      <c r="A482" t="s">
        <v>803</v>
      </c>
      <c r="B482" t="s">
        <v>110</v>
      </c>
      <c r="C482" s="1">
        <v>45613</v>
      </c>
      <c r="D482">
        <v>497.87</v>
      </c>
      <c r="E482" t="s">
        <v>68</v>
      </c>
      <c r="F482" t="s">
        <v>45</v>
      </c>
    </row>
    <row r="483" spans="1:6" x14ac:dyDescent="0.35">
      <c r="A483" t="s">
        <v>804</v>
      </c>
      <c r="B483" t="s">
        <v>238</v>
      </c>
      <c r="C483" s="1">
        <v>45570</v>
      </c>
      <c r="D483">
        <v>554.66999999999996</v>
      </c>
      <c r="E483" t="s">
        <v>62</v>
      </c>
      <c r="F483" t="s">
        <v>38</v>
      </c>
    </row>
    <row r="484" spans="1:6" x14ac:dyDescent="0.35">
      <c r="A484" t="s">
        <v>805</v>
      </c>
      <c r="B484" t="s">
        <v>806</v>
      </c>
      <c r="C484" s="1">
        <v>45446</v>
      </c>
      <c r="D484">
        <v>363.67</v>
      </c>
      <c r="E484" t="s">
        <v>62</v>
      </c>
      <c r="F484" t="s">
        <v>36</v>
      </c>
    </row>
    <row r="485" spans="1:6" x14ac:dyDescent="0.35">
      <c r="A485" t="s">
        <v>807</v>
      </c>
      <c r="B485" t="s">
        <v>562</v>
      </c>
      <c r="C485" s="1">
        <v>45472</v>
      </c>
      <c r="D485">
        <v>353.68</v>
      </c>
      <c r="E485" t="s">
        <v>68</v>
      </c>
      <c r="F485" t="s">
        <v>41</v>
      </c>
    </row>
    <row r="486" spans="1:6" x14ac:dyDescent="0.35">
      <c r="A486" t="s">
        <v>808</v>
      </c>
      <c r="B486" t="s">
        <v>809</v>
      </c>
      <c r="C486" s="1">
        <v>45482</v>
      </c>
      <c r="D486">
        <v>601.36</v>
      </c>
      <c r="E486" t="s">
        <v>65</v>
      </c>
      <c r="F486" t="s">
        <v>53</v>
      </c>
    </row>
    <row r="487" spans="1:6" x14ac:dyDescent="0.35">
      <c r="A487" t="s">
        <v>810</v>
      </c>
      <c r="B487" t="s">
        <v>507</v>
      </c>
      <c r="C487" s="1">
        <v>45375</v>
      </c>
      <c r="D487">
        <v>344.58</v>
      </c>
      <c r="E487" t="s">
        <v>71</v>
      </c>
      <c r="F487" t="s">
        <v>34</v>
      </c>
    </row>
    <row r="488" spans="1:6" x14ac:dyDescent="0.35">
      <c r="A488" t="s">
        <v>811</v>
      </c>
      <c r="B488" t="s">
        <v>90</v>
      </c>
      <c r="C488" s="1">
        <v>45388</v>
      </c>
      <c r="D488">
        <v>318.2</v>
      </c>
      <c r="E488" t="s">
        <v>68</v>
      </c>
      <c r="F488" t="s">
        <v>52</v>
      </c>
    </row>
    <row r="489" spans="1:6" x14ac:dyDescent="0.35">
      <c r="A489" t="s">
        <v>812</v>
      </c>
      <c r="B489" t="s">
        <v>813</v>
      </c>
      <c r="C489" s="1">
        <v>45331</v>
      </c>
      <c r="D489">
        <v>329.9</v>
      </c>
      <c r="E489" t="s">
        <v>71</v>
      </c>
      <c r="F489" t="s">
        <v>50</v>
      </c>
    </row>
    <row r="490" spans="1:6" x14ac:dyDescent="0.35">
      <c r="A490" t="s">
        <v>814</v>
      </c>
      <c r="B490" t="s">
        <v>815</v>
      </c>
      <c r="C490" s="1">
        <v>45451</v>
      </c>
      <c r="D490">
        <v>582.17999999999995</v>
      </c>
      <c r="E490" t="s">
        <v>71</v>
      </c>
      <c r="F490" t="s">
        <v>29</v>
      </c>
    </row>
    <row r="491" spans="1:6" x14ac:dyDescent="0.35">
      <c r="A491" t="s">
        <v>816</v>
      </c>
      <c r="B491" t="s">
        <v>655</v>
      </c>
      <c r="C491" s="1">
        <v>45597</v>
      </c>
      <c r="D491">
        <v>471.59</v>
      </c>
      <c r="E491" t="s">
        <v>62</v>
      </c>
      <c r="F491" t="s">
        <v>47</v>
      </c>
    </row>
    <row r="492" spans="1:6" x14ac:dyDescent="0.35">
      <c r="A492" t="s">
        <v>817</v>
      </c>
      <c r="B492" t="s">
        <v>818</v>
      </c>
      <c r="C492" s="1">
        <v>45306</v>
      </c>
      <c r="D492">
        <v>561.94000000000005</v>
      </c>
      <c r="E492" t="s">
        <v>71</v>
      </c>
      <c r="F492" t="s">
        <v>34</v>
      </c>
    </row>
    <row r="493" spans="1:6" x14ac:dyDescent="0.35">
      <c r="A493" t="s">
        <v>819</v>
      </c>
      <c r="B493" t="s">
        <v>326</v>
      </c>
      <c r="C493" s="1">
        <v>45364</v>
      </c>
      <c r="D493">
        <v>164.05</v>
      </c>
      <c r="E493" t="s">
        <v>62</v>
      </c>
      <c r="F493" t="s">
        <v>47</v>
      </c>
    </row>
    <row r="494" spans="1:6" x14ac:dyDescent="0.35">
      <c r="A494" t="s">
        <v>820</v>
      </c>
      <c r="B494" t="s">
        <v>566</v>
      </c>
      <c r="C494" s="1">
        <v>45332</v>
      </c>
      <c r="D494">
        <v>46.57</v>
      </c>
      <c r="E494" t="s">
        <v>68</v>
      </c>
      <c r="F494" t="s">
        <v>46</v>
      </c>
    </row>
    <row r="495" spans="1:6" x14ac:dyDescent="0.35">
      <c r="A495" t="s">
        <v>821</v>
      </c>
      <c r="B495" t="s">
        <v>822</v>
      </c>
      <c r="C495" s="1">
        <v>45539</v>
      </c>
      <c r="D495">
        <v>101.31</v>
      </c>
      <c r="E495" t="s">
        <v>68</v>
      </c>
      <c r="F495" t="s">
        <v>41</v>
      </c>
    </row>
    <row r="496" spans="1:6" x14ac:dyDescent="0.35">
      <c r="A496" t="s">
        <v>823</v>
      </c>
      <c r="B496" t="s">
        <v>92</v>
      </c>
      <c r="C496" s="1">
        <v>45629</v>
      </c>
      <c r="D496">
        <v>108.14</v>
      </c>
      <c r="E496" t="s">
        <v>68</v>
      </c>
      <c r="F496" t="s">
        <v>52</v>
      </c>
    </row>
    <row r="497" spans="1:6" x14ac:dyDescent="0.35">
      <c r="A497" t="s">
        <v>824</v>
      </c>
      <c r="B497" t="s">
        <v>825</v>
      </c>
      <c r="C497" s="1">
        <v>45421</v>
      </c>
      <c r="D497">
        <v>445.57</v>
      </c>
      <c r="E497" t="s">
        <v>68</v>
      </c>
      <c r="F497" t="s">
        <v>40</v>
      </c>
    </row>
    <row r="498" spans="1:6" x14ac:dyDescent="0.35">
      <c r="A498" t="s">
        <v>826</v>
      </c>
      <c r="B498" t="s">
        <v>827</v>
      </c>
      <c r="C498" s="1">
        <v>45341</v>
      </c>
      <c r="D498">
        <v>589.22</v>
      </c>
      <c r="E498" t="s">
        <v>71</v>
      </c>
      <c r="F498" t="s">
        <v>39</v>
      </c>
    </row>
    <row r="499" spans="1:6" x14ac:dyDescent="0.35">
      <c r="A499" t="s">
        <v>828</v>
      </c>
      <c r="B499" t="s">
        <v>406</v>
      </c>
      <c r="C499" s="1">
        <v>45386</v>
      </c>
      <c r="D499">
        <v>90.83</v>
      </c>
      <c r="E499" t="s">
        <v>62</v>
      </c>
      <c r="F499" t="s">
        <v>36</v>
      </c>
    </row>
    <row r="500" spans="1:6" x14ac:dyDescent="0.35">
      <c r="A500" t="s">
        <v>829</v>
      </c>
      <c r="B500" t="s">
        <v>830</v>
      </c>
      <c r="C500" s="1">
        <v>45434</v>
      </c>
      <c r="D500">
        <v>133.74</v>
      </c>
      <c r="E500" t="s">
        <v>62</v>
      </c>
      <c r="F500" t="s">
        <v>42</v>
      </c>
    </row>
    <row r="501" spans="1:6" x14ac:dyDescent="0.35">
      <c r="A501" t="s">
        <v>831</v>
      </c>
      <c r="B501" t="s">
        <v>463</v>
      </c>
      <c r="C501" s="1">
        <v>45548</v>
      </c>
      <c r="D501">
        <v>385.69</v>
      </c>
      <c r="E501" t="s">
        <v>71</v>
      </c>
      <c r="F501" t="s">
        <v>39</v>
      </c>
    </row>
    <row r="502" spans="1:6" x14ac:dyDescent="0.35">
      <c r="A502" t="s">
        <v>832</v>
      </c>
      <c r="B502" t="s">
        <v>830</v>
      </c>
      <c r="C502" s="1">
        <v>45342</v>
      </c>
      <c r="D502">
        <v>168.45</v>
      </c>
      <c r="E502" t="s">
        <v>68</v>
      </c>
      <c r="F502" t="s">
        <v>45</v>
      </c>
    </row>
    <row r="503" spans="1:6" x14ac:dyDescent="0.35">
      <c r="A503" t="s">
        <v>833</v>
      </c>
      <c r="B503" t="s">
        <v>476</v>
      </c>
      <c r="C503" s="1">
        <v>45390</v>
      </c>
      <c r="D503">
        <v>37.659999999999997</v>
      </c>
      <c r="E503" t="s">
        <v>71</v>
      </c>
      <c r="F503" t="s">
        <v>39</v>
      </c>
    </row>
    <row r="504" spans="1:6" x14ac:dyDescent="0.35">
      <c r="A504" t="s">
        <v>834</v>
      </c>
      <c r="B504" t="s">
        <v>835</v>
      </c>
      <c r="C504" s="1">
        <v>45342</v>
      </c>
      <c r="D504">
        <v>464.35</v>
      </c>
      <c r="E504" t="s">
        <v>65</v>
      </c>
      <c r="F504" t="s">
        <v>53</v>
      </c>
    </row>
    <row r="505" spans="1:6" x14ac:dyDescent="0.35">
      <c r="A505" t="s">
        <v>836</v>
      </c>
      <c r="B505" t="s">
        <v>837</v>
      </c>
      <c r="C505" s="1">
        <v>45386</v>
      </c>
      <c r="D505">
        <v>548.37</v>
      </c>
      <c r="E505" t="s">
        <v>68</v>
      </c>
      <c r="F505" t="s">
        <v>41</v>
      </c>
    </row>
    <row r="506" spans="1:6" x14ac:dyDescent="0.35">
      <c r="A506" t="s">
        <v>838</v>
      </c>
      <c r="B506" t="s">
        <v>566</v>
      </c>
      <c r="C506" s="1">
        <v>45486</v>
      </c>
      <c r="D506">
        <v>174.95</v>
      </c>
      <c r="E506" t="s">
        <v>71</v>
      </c>
      <c r="F506" t="s">
        <v>39</v>
      </c>
    </row>
    <row r="507" spans="1:6" x14ac:dyDescent="0.35">
      <c r="A507" t="s">
        <v>839</v>
      </c>
      <c r="B507" t="s">
        <v>108</v>
      </c>
      <c r="C507" s="1">
        <v>45349</v>
      </c>
      <c r="D507">
        <v>102.84</v>
      </c>
      <c r="E507" t="s">
        <v>68</v>
      </c>
      <c r="F507" t="s">
        <v>52</v>
      </c>
    </row>
    <row r="508" spans="1:6" x14ac:dyDescent="0.35">
      <c r="A508" t="s">
        <v>840</v>
      </c>
      <c r="B508" t="s">
        <v>841</v>
      </c>
      <c r="C508" s="1">
        <v>45361</v>
      </c>
      <c r="D508">
        <v>212.29</v>
      </c>
      <c r="E508" t="s">
        <v>62</v>
      </c>
      <c r="F508" t="s">
        <v>43</v>
      </c>
    </row>
    <row r="509" spans="1:6" x14ac:dyDescent="0.35">
      <c r="A509" t="s">
        <v>842</v>
      </c>
      <c r="B509" t="s">
        <v>843</v>
      </c>
      <c r="C509" s="1">
        <v>45312</v>
      </c>
      <c r="D509">
        <v>106.17</v>
      </c>
      <c r="E509" t="s">
        <v>62</v>
      </c>
      <c r="F509" t="s">
        <v>37</v>
      </c>
    </row>
    <row r="510" spans="1:6" x14ac:dyDescent="0.35">
      <c r="A510" t="s">
        <v>844</v>
      </c>
      <c r="B510" t="s">
        <v>663</v>
      </c>
      <c r="C510" s="1">
        <v>45437</v>
      </c>
      <c r="D510">
        <v>635.35</v>
      </c>
      <c r="E510" t="s">
        <v>62</v>
      </c>
      <c r="F510" t="s">
        <v>43</v>
      </c>
    </row>
    <row r="511" spans="1:6" x14ac:dyDescent="0.35">
      <c r="A511" t="s">
        <v>845</v>
      </c>
      <c r="B511" t="s">
        <v>86</v>
      </c>
      <c r="C511" s="1">
        <v>45519</v>
      </c>
      <c r="D511">
        <v>640.75</v>
      </c>
      <c r="E511" t="s">
        <v>65</v>
      </c>
      <c r="F511" t="s">
        <v>53</v>
      </c>
    </row>
    <row r="512" spans="1:6" x14ac:dyDescent="0.35">
      <c r="A512" t="s">
        <v>846</v>
      </c>
      <c r="B512" t="s">
        <v>847</v>
      </c>
      <c r="C512" s="1">
        <v>45511</v>
      </c>
      <c r="D512">
        <v>612.54</v>
      </c>
      <c r="E512" t="s">
        <v>68</v>
      </c>
      <c r="F512" t="s">
        <v>52</v>
      </c>
    </row>
    <row r="513" spans="1:6" x14ac:dyDescent="0.35">
      <c r="A513" t="s">
        <v>848</v>
      </c>
      <c r="B513" t="s">
        <v>744</v>
      </c>
      <c r="C513" s="1">
        <v>45480</v>
      </c>
      <c r="D513">
        <v>337.36</v>
      </c>
      <c r="E513" t="s">
        <v>68</v>
      </c>
      <c r="F513" t="s">
        <v>33</v>
      </c>
    </row>
    <row r="514" spans="1:6" x14ac:dyDescent="0.35">
      <c r="A514" t="s">
        <v>849</v>
      </c>
      <c r="B514" t="s">
        <v>80</v>
      </c>
      <c r="C514" s="1">
        <v>45345</v>
      </c>
      <c r="D514">
        <v>440.01</v>
      </c>
      <c r="E514" t="s">
        <v>65</v>
      </c>
      <c r="F514" t="s">
        <v>44</v>
      </c>
    </row>
    <row r="515" spans="1:6" x14ac:dyDescent="0.35">
      <c r="A515" t="s">
        <v>850</v>
      </c>
      <c r="B515" t="s">
        <v>616</v>
      </c>
      <c r="C515" s="1">
        <v>45335</v>
      </c>
      <c r="D515">
        <v>281.38</v>
      </c>
      <c r="E515" t="s">
        <v>71</v>
      </c>
      <c r="F515" t="s">
        <v>29</v>
      </c>
    </row>
    <row r="516" spans="1:6" x14ac:dyDescent="0.35">
      <c r="A516" t="s">
        <v>851</v>
      </c>
      <c r="B516" t="s">
        <v>507</v>
      </c>
      <c r="C516" s="1">
        <v>45594</v>
      </c>
      <c r="D516">
        <v>258.68</v>
      </c>
      <c r="E516" t="s">
        <v>71</v>
      </c>
      <c r="F516" t="s">
        <v>50</v>
      </c>
    </row>
    <row r="517" spans="1:6" x14ac:dyDescent="0.35">
      <c r="A517" t="s">
        <v>852</v>
      </c>
      <c r="B517" t="s">
        <v>96</v>
      </c>
      <c r="C517" s="1">
        <v>45393</v>
      </c>
      <c r="D517">
        <v>554.08000000000004</v>
      </c>
      <c r="E517" t="s">
        <v>71</v>
      </c>
      <c r="F517" t="s">
        <v>39</v>
      </c>
    </row>
    <row r="518" spans="1:6" x14ac:dyDescent="0.35">
      <c r="A518" t="s">
        <v>853</v>
      </c>
      <c r="B518" t="s">
        <v>854</v>
      </c>
      <c r="C518" s="1">
        <v>45498</v>
      </c>
      <c r="D518">
        <v>481</v>
      </c>
      <c r="E518" t="s">
        <v>71</v>
      </c>
      <c r="F518" t="s">
        <v>29</v>
      </c>
    </row>
    <row r="519" spans="1:6" x14ac:dyDescent="0.35">
      <c r="A519" t="s">
        <v>855</v>
      </c>
      <c r="B519" t="s">
        <v>856</v>
      </c>
      <c r="C519" s="1">
        <v>45434</v>
      </c>
      <c r="D519">
        <v>520.54</v>
      </c>
      <c r="E519" t="s">
        <v>62</v>
      </c>
      <c r="F519" t="s">
        <v>38</v>
      </c>
    </row>
    <row r="520" spans="1:6" x14ac:dyDescent="0.35">
      <c r="A520" t="s">
        <v>857</v>
      </c>
      <c r="B520" t="s">
        <v>858</v>
      </c>
      <c r="C520" s="1">
        <v>45621</v>
      </c>
      <c r="D520">
        <v>445.01</v>
      </c>
      <c r="E520" t="s">
        <v>62</v>
      </c>
      <c r="F520" t="s">
        <v>37</v>
      </c>
    </row>
    <row r="521" spans="1:6" x14ac:dyDescent="0.35">
      <c r="A521" t="s">
        <v>859</v>
      </c>
      <c r="B521" t="s">
        <v>809</v>
      </c>
      <c r="C521" s="1">
        <v>45499</v>
      </c>
      <c r="D521">
        <v>507.32</v>
      </c>
      <c r="E521" t="s">
        <v>62</v>
      </c>
      <c r="F521" t="s">
        <v>47</v>
      </c>
    </row>
    <row r="522" spans="1:6" x14ac:dyDescent="0.35">
      <c r="A522" t="s">
        <v>860</v>
      </c>
      <c r="B522" t="s">
        <v>854</v>
      </c>
      <c r="C522" s="1">
        <v>45347</v>
      </c>
      <c r="D522">
        <v>340.82</v>
      </c>
      <c r="E522" t="s">
        <v>62</v>
      </c>
      <c r="F522" t="s">
        <v>37</v>
      </c>
    </row>
    <row r="523" spans="1:6" x14ac:dyDescent="0.35">
      <c r="A523" t="s">
        <v>861</v>
      </c>
      <c r="B523" t="s">
        <v>674</v>
      </c>
      <c r="C523" s="1">
        <v>45613</v>
      </c>
      <c r="D523">
        <v>488.75</v>
      </c>
      <c r="E523" t="s">
        <v>68</v>
      </c>
      <c r="F523" t="s">
        <v>46</v>
      </c>
    </row>
    <row r="524" spans="1:6" x14ac:dyDescent="0.35">
      <c r="A524" t="s">
        <v>862</v>
      </c>
      <c r="B524" t="s">
        <v>147</v>
      </c>
      <c r="C524" s="1">
        <v>45326</v>
      </c>
      <c r="D524">
        <v>270.32</v>
      </c>
      <c r="E524" t="s">
        <v>68</v>
      </c>
      <c r="F524" t="s">
        <v>41</v>
      </c>
    </row>
    <row r="525" spans="1:6" x14ac:dyDescent="0.35">
      <c r="A525" t="s">
        <v>863</v>
      </c>
      <c r="B525" t="s">
        <v>542</v>
      </c>
      <c r="C525" s="1">
        <v>45639</v>
      </c>
      <c r="D525">
        <v>417.51</v>
      </c>
      <c r="E525" t="s">
        <v>71</v>
      </c>
      <c r="F525" t="s">
        <v>35</v>
      </c>
    </row>
    <row r="526" spans="1:6" x14ac:dyDescent="0.35">
      <c r="A526" t="s">
        <v>864</v>
      </c>
      <c r="B526" t="s">
        <v>576</v>
      </c>
      <c r="C526" s="1">
        <v>45341</v>
      </c>
      <c r="D526">
        <v>321.60000000000002</v>
      </c>
      <c r="E526" t="s">
        <v>65</v>
      </c>
      <c r="F526" t="s">
        <v>51</v>
      </c>
    </row>
    <row r="527" spans="1:6" x14ac:dyDescent="0.35">
      <c r="A527" t="s">
        <v>865</v>
      </c>
      <c r="B527" t="s">
        <v>643</v>
      </c>
      <c r="C527" s="1">
        <v>45442</v>
      </c>
      <c r="D527">
        <v>345.45</v>
      </c>
      <c r="E527" t="s">
        <v>65</v>
      </c>
      <c r="F527" t="s">
        <v>30</v>
      </c>
    </row>
    <row r="528" spans="1:6" x14ac:dyDescent="0.35">
      <c r="A528" t="s">
        <v>866</v>
      </c>
      <c r="B528" t="s">
        <v>106</v>
      </c>
      <c r="C528" s="1">
        <v>45569</v>
      </c>
      <c r="D528">
        <v>644.29</v>
      </c>
      <c r="E528" t="s">
        <v>68</v>
      </c>
      <c r="F528" t="s">
        <v>46</v>
      </c>
    </row>
    <row r="529" spans="1:6" x14ac:dyDescent="0.35">
      <c r="A529" t="s">
        <v>867</v>
      </c>
      <c r="B529" t="s">
        <v>431</v>
      </c>
      <c r="C529" s="1">
        <v>45352</v>
      </c>
      <c r="D529">
        <v>559.52</v>
      </c>
      <c r="E529" t="s">
        <v>65</v>
      </c>
      <c r="F529" t="s">
        <v>53</v>
      </c>
    </row>
    <row r="530" spans="1:6" x14ac:dyDescent="0.35">
      <c r="A530" t="s">
        <v>868</v>
      </c>
      <c r="B530" t="s">
        <v>869</v>
      </c>
      <c r="C530" s="1">
        <v>45518</v>
      </c>
      <c r="D530">
        <v>143.77000000000001</v>
      </c>
      <c r="E530" t="s">
        <v>68</v>
      </c>
      <c r="F530" t="s">
        <v>46</v>
      </c>
    </row>
    <row r="531" spans="1:6" x14ac:dyDescent="0.35">
      <c r="A531" t="s">
        <v>870</v>
      </c>
      <c r="B531" t="s">
        <v>197</v>
      </c>
      <c r="C531" s="1">
        <v>45629</v>
      </c>
      <c r="D531">
        <v>299.87</v>
      </c>
      <c r="E531" t="s">
        <v>71</v>
      </c>
      <c r="F531" t="s">
        <v>29</v>
      </c>
    </row>
    <row r="532" spans="1:6" x14ac:dyDescent="0.35">
      <c r="A532" t="s">
        <v>871</v>
      </c>
      <c r="B532" t="s">
        <v>207</v>
      </c>
      <c r="C532" s="1">
        <v>45451</v>
      </c>
      <c r="D532">
        <v>102.27</v>
      </c>
      <c r="E532" t="s">
        <v>65</v>
      </c>
      <c r="F532" t="s">
        <v>51</v>
      </c>
    </row>
    <row r="533" spans="1:6" x14ac:dyDescent="0.35">
      <c r="A533" t="s">
        <v>872</v>
      </c>
      <c r="B533" t="s">
        <v>201</v>
      </c>
      <c r="C533" s="1">
        <v>45637</v>
      </c>
      <c r="D533">
        <v>380.79</v>
      </c>
      <c r="E533" t="s">
        <v>65</v>
      </c>
      <c r="F533" t="s">
        <v>30</v>
      </c>
    </row>
    <row r="534" spans="1:6" x14ac:dyDescent="0.35">
      <c r="A534" t="s">
        <v>873</v>
      </c>
      <c r="B534" t="s">
        <v>478</v>
      </c>
      <c r="C534" s="1">
        <v>45372</v>
      </c>
      <c r="D534">
        <v>196.99</v>
      </c>
      <c r="E534" t="s">
        <v>68</v>
      </c>
      <c r="F534" t="s">
        <v>52</v>
      </c>
    </row>
    <row r="535" spans="1:6" x14ac:dyDescent="0.35">
      <c r="A535" t="s">
        <v>874</v>
      </c>
      <c r="B535" t="s">
        <v>875</v>
      </c>
      <c r="C535" s="1">
        <v>45594</v>
      </c>
      <c r="D535">
        <v>636.34</v>
      </c>
      <c r="E535" t="s">
        <v>62</v>
      </c>
      <c r="F535" t="s">
        <v>38</v>
      </c>
    </row>
    <row r="536" spans="1:6" x14ac:dyDescent="0.35">
      <c r="A536" t="s">
        <v>876</v>
      </c>
      <c r="B536" t="s">
        <v>624</v>
      </c>
      <c r="C536" s="1">
        <v>45456</v>
      </c>
      <c r="D536">
        <v>62.75</v>
      </c>
      <c r="E536" t="s">
        <v>68</v>
      </c>
      <c r="F536" t="s">
        <v>45</v>
      </c>
    </row>
    <row r="537" spans="1:6" x14ac:dyDescent="0.35">
      <c r="A537" t="s">
        <v>877</v>
      </c>
      <c r="B537" t="s">
        <v>261</v>
      </c>
      <c r="C537" s="1">
        <v>45479</v>
      </c>
      <c r="D537">
        <v>244.87</v>
      </c>
      <c r="E537" t="s">
        <v>68</v>
      </c>
      <c r="F537" t="s">
        <v>33</v>
      </c>
    </row>
    <row r="538" spans="1:6" x14ac:dyDescent="0.35">
      <c r="A538" t="s">
        <v>878</v>
      </c>
      <c r="B538" t="s">
        <v>879</v>
      </c>
      <c r="C538" s="1">
        <v>45341</v>
      </c>
      <c r="D538">
        <v>288.33999999999997</v>
      </c>
      <c r="E538" t="s">
        <v>62</v>
      </c>
      <c r="F538" t="s">
        <v>42</v>
      </c>
    </row>
    <row r="539" spans="1:6" x14ac:dyDescent="0.35">
      <c r="A539" t="s">
        <v>880</v>
      </c>
      <c r="B539" t="s">
        <v>643</v>
      </c>
      <c r="C539" s="1">
        <v>45320</v>
      </c>
      <c r="D539">
        <v>179.29</v>
      </c>
      <c r="E539" t="s">
        <v>71</v>
      </c>
      <c r="F539" t="s">
        <v>34</v>
      </c>
    </row>
    <row r="540" spans="1:6" x14ac:dyDescent="0.35">
      <c r="A540" t="s">
        <v>881</v>
      </c>
      <c r="B540" t="s">
        <v>648</v>
      </c>
      <c r="C540" s="1">
        <v>45451</v>
      </c>
      <c r="D540">
        <v>75.28</v>
      </c>
      <c r="E540" t="s">
        <v>68</v>
      </c>
      <c r="F540" t="s">
        <v>33</v>
      </c>
    </row>
    <row r="541" spans="1:6" x14ac:dyDescent="0.35">
      <c r="A541" t="s">
        <v>882</v>
      </c>
      <c r="B541" t="s">
        <v>429</v>
      </c>
      <c r="C541" s="1">
        <v>45448</v>
      </c>
      <c r="D541">
        <v>47.12</v>
      </c>
      <c r="E541" t="s">
        <v>62</v>
      </c>
      <c r="F541" t="s">
        <v>47</v>
      </c>
    </row>
    <row r="542" spans="1:6" x14ac:dyDescent="0.35">
      <c r="A542" t="s">
        <v>883</v>
      </c>
      <c r="B542" t="s">
        <v>64</v>
      </c>
      <c r="C542" s="1">
        <v>45458</v>
      </c>
      <c r="D542">
        <v>565.97</v>
      </c>
      <c r="E542" t="s">
        <v>65</v>
      </c>
      <c r="F542" t="s">
        <v>32</v>
      </c>
    </row>
    <row r="543" spans="1:6" x14ac:dyDescent="0.35">
      <c r="A543" t="s">
        <v>884</v>
      </c>
      <c r="B543" t="s">
        <v>693</v>
      </c>
      <c r="C543" s="1">
        <v>45582</v>
      </c>
      <c r="D543">
        <v>47.55</v>
      </c>
      <c r="E543" t="s">
        <v>65</v>
      </c>
      <c r="F543" t="s">
        <v>53</v>
      </c>
    </row>
    <row r="544" spans="1:6" x14ac:dyDescent="0.35">
      <c r="A544" t="s">
        <v>885</v>
      </c>
      <c r="B544" t="s">
        <v>886</v>
      </c>
      <c r="C544" s="1">
        <v>45532</v>
      </c>
      <c r="D544">
        <v>267.31</v>
      </c>
      <c r="E544" t="s">
        <v>68</v>
      </c>
      <c r="F544" t="s">
        <v>40</v>
      </c>
    </row>
    <row r="545" spans="1:6" x14ac:dyDescent="0.35">
      <c r="A545" t="s">
        <v>887</v>
      </c>
      <c r="B545" t="s">
        <v>238</v>
      </c>
      <c r="C545" s="1">
        <v>45491</v>
      </c>
      <c r="D545">
        <v>96.53</v>
      </c>
      <c r="E545" t="s">
        <v>68</v>
      </c>
      <c r="F545" t="s">
        <v>52</v>
      </c>
    </row>
    <row r="546" spans="1:6" x14ac:dyDescent="0.35">
      <c r="A546" t="s">
        <v>888</v>
      </c>
      <c r="B546" t="s">
        <v>548</v>
      </c>
      <c r="C546" s="1">
        <v>45637</v>
      </c>
      <c r="D546">
        <v>344.2</v>
      </c>
      <c r="E546" t="s">
        <v>62</v>
      </c>
      <c r="F546" t="s">
        <v>37</v>
      </c>
    </row>
    <row r="547" spans="1:6" x14ac:dyDescent="0.35">
      <c r="A547" t="s">
        <v>889</v>
      </c>
      <c r="B547" t="s">
        <v>96</v>
      </c>
      <c r="C547" s="1">
        <v>45633</v>
      </c>
      <c r="D547">
        <v>219.21</v>
      </c>
      <c r="E547" t="s">
        <v>71</v>
      </c>
      <c r="F547" t="s">
        <v>39</v>
      </c>
    </row>
    <row r="548" spans="1:6" x14ac:dyDescent="0.35">
      <c r="A548" t="s">
        <v>890</v>
      </c>
      <c r="B548" t="s">
        <v>278</v>
      </c>
      <c r="C548" s="1">
        <v>45515</v>
      </c>
      <c r="D548">
        <v>556.11</v>
      </c>
      <c r="E548" t="s">
        <v>65</v>
      </c>
      <c r="F548" t="s">
        <v>32</v>
      </c>
    </row>
    <row r="549" spans="1:6" x14ac:dyDescent="0.35">
      <c r="A549" t="s">
        <v>891</v>
      </c>
      <c r="B549" t="s">
        <v>252</v>
      </c>
      <c r="C549" s="1">
        <v>45330</v>
      </c>
      <c r="D549">
        <v>198.07</v>
      </c>
      <c r="E549" t="s">
        <v>71</v>
      </c>
      <c r="F549" t="s">
        <v>35</v>
      </c>
    </row>
    <row r="550" spans="1:6" x14ac:dyDescent="0.35">
      <c r="A550" t="s">
        <v>892</v>
      </c>
      <c r="B550" t="s">
        <v>516</v>
      </c>
      <c r="C550" s="1">
        <v>45444</v>
      </c>
      <c r="D550">
        <v>173.92</v>
      </c>
      <c r="E550" t="s">
        <v>65</v>
      </c>
      <c r="F550" t="s">
        <v>51</v>
      </c>
    </row>
    <row r="551" spans="1:6" x14ac:dyDescent="0.35">
      <c r="A551" t="s">
        <v>893</v>
      </c>
      <c r="B551" t="s">
        <v>830</v>
      </c>
      <c r="C551" s="1">
        <v>45339</v>
      </c>
      <c r="D551">
        <v>242.16</v>
      </c>
      <c r="E551" t="s">
        <v>68</v>
      </c>
      <c r="F551" t="s">
        <v>45</v>
      </c>
    </row>
    <row r="552" spans="1:6" x14ac:dyDescent="0.35">
      <c r="A552" t="s">
        <v>894</v>
      </c>
      <c r="B552" t="s">
        <v>895</v>
      </c>
      <c r="C552" s="1">
        <v>45326</v>
      </c>
      <c r="D552">
        <v>163.99</v>
      </c>
      <c r="E552" t="s">
        <v>65</v>
      </c>
      <c r="F552" t="s">
        <v>30</v>
      </c>
    </row>
    <row r="553" spans="1:6" x14ac:dyDescent="0.35">
      <c r="A553" t="s">
        <v>896</v>
      </c>
      <c r="B553" t="s">
        <v>897</v>
      </c>
      <c r="C553" s="1">
        <v>45331</v>
      </c>
      <c r="D553">
        <v>529.54</v>
      </c>
      <c r="E553" t="s">
        <v>62</v>
      </c>
      <c r="F553" t="s">
        <v>54</v>
      </c>
    </row>
    <row r="554" spans="1:6" x14ac:dyDescent="0.35">
      <c r="A554" t="s">
        <v>898</v>
      </c>
      <c r="B554" t="s">
        <v>899</v>
      </c>
      <c r="C554" s="1">
        <v>45513</v>
      </c>
      <c r="D554">
        <v>289.8</v>
      </c>
      <c r="E554" t="s">
        <v>62</v>
      </c>
      <c r="F554" t="s">
        <v>47</v>
      </c>
    </row>
    <row r="555" spans="1:6" x14ac:dyDescent="0.35">
      <c r="A555" t="s">
        <v>900</v>
      </c>
      <c r="B555" t="s">
        <v>901</v>
      </c>
      <c r="C555" s="1">
        <v>45420</v>
      </c>
      <c r="D555">
        <v>504.52</v>
      </c>
      <c r="E555" t="s">
        <v>65</v>
      </c>
      <c r="F555" t="s">
        <v>32</v>
      </c>
    </row>
    <row r="556" spans="1:6" x14ac:dyDescent="0.35">
      <c r="A556" t="s">
        <v>902</v>
      </c>
      <c r="B556" t="s">
        <v>373</v>
      </c>
      <c r="C556" s="1">
        <v>45384</v>
      </c>
      <c r="D556">
        <v>342.01</v>
      </c>
      <c r="E556" t="s">
        <v>71</v>
      </c>
      <c r="F556" t="s">
        <v>39</v>
      </c>
    </row>
    <row r="557" spans="1:6" x14ac:dyDescent="0.35">
      <c r="A557" t="s">
        <v>903</v>
      </c>
      <c r="B557" t="s">
        <v>285</v>
      </c>
      <c r="C557" s="1">
        <v>45630</v>
      </c>
      <c r="D557">
        <v>362.62</v>
      </c>
      <c r="E557" t="s">
        <v>62</v>
      </c>
      <c r="F557" t="s">
        <v>43</v>
      </c>
    </row>
    <row r="558" spans="1:6" x14ac:dyDescent="0.35">
      <c r="A558" t="s">
        <v>904</v>
      </c>
      <c r="B558" t="s">
        <v>338</v>
      </c>
      <c r="C558" s="1">
        <v>45606</v>
      </c>
      <c r="D558">
        <v>158.4</v>
      </c>
      <c r="E558" t="s">
        <v>68</v>
      </c>
      <c r="F558" t="s">
        <v>45</v>
      </c>
    </row>
    <row r="559" spans="1:6" x14ac:dyDescent="0.35">
      <c r="A559" t="s">
        <v>905</v>
      </c>
      <c r="B559" t="s">
        <v>335</v>
      </c>
      <c r="C559" s="1">
        <v>45528</v>
      </c>
      <c r="D559">
        <v>494.06</v>
      </c>
      <c r="E559" t="s">
        <v>71</v>
      </c>
      <c r="F559" t="s">
        <v>34</v>
      </c>
    </row>
    <row r="560" spans="1:6" x14ac:dyDescent="0.35">
      <c r="A560" t="s">
        <v>906</v>
      </c>
      <c r="B560" t="s">
        <v>338</v>
      </c>
      <c r="C560" s="1">
        <v>45445</v>
      </c>
      <c r="D560">
        <v>564.01</v>
      </c>
      <c r="E560" t="s">
        <v>65</v>
      </c>
      <c r="F560" t="s">
        <v>53</v>
      </c>
    </row>
    <row r="561" spans="1:6" x14ac:dyDescent="0.35">
      <c r="A561" t="s">
        <v>907</v>
      </c>
      <c r="B561" t="s">
        <v>100</v>
      </c>
      <c r="C561" s="1">
        <v>45324</v>
      </c>
      <c r="D561">
        <v>199.16</v>
      </c>
      <c r="E561" t="s">
        <v>71</v>
      </c>
      <c r="F561" t="s">
        <v>29</v>
      </c>
    </row>
    <row r="562" spans="1:6" x14ac:dyDescent="0.35">
      <c r="A562" t="s">
        <v>908</v>
      </c>
      <c r="B562" t="s">
        <v>749</v>
      </c>
      <c r="C562" s="1">
        <v>45438</v>
      </c>
      <c r="D562">
        <v>457.42</v>
      </c>
      <c r="E562" t="s">
        <v>71</v>
      </c>
      <c r="F562" t="s">
        <v>35</v>
      </c>
    </row>
    <row r="563" spans="1:6" x14ac:dyDescent="0.35">
      <c r="A563" t="s">
        <v>909</v>
      </c>
      <c r="B563" t="s">
        <v>168</v>
      </c>
      <c r="C563" s="1">
        <v>45412</v>
      </c>
      <c r="D563">
        <v>127.23</v>
      </c>
      <c r="E563" t="s">
        <v>71</v>
      </c>
      <c r="F563" t="s">
        <v>50</v>
      </c>
    </row>
    <row r="564" spans="1:6" x14ac:dyDescent="0.35">
      <c r="A564" t="s">
        <v>910</v>
      </c>
      <c r="B564" t="s">
        <v>574</v>
      </c>
      <c r="C564" s="1">
        <v>45306</v>
      </c>
      <c r="D564">
        <v>333.51</v>
      </c>
      <c r="E564" t="s">
        <v>62</v>
      </c>
      <c r="F564" t="s">
        <v>37</v>
      </c>
    </row>
    <row r="565" spans="1:6" x14ac:dyDescent="0.35">
      <c r="A565" t="s">
        <v>911</v>
      </c>
      <c r="B565" t="s">
        <v>912</v>
      </c>
      <c r="C565" s="1">
        <v>45515</v>
      </c>
      <c r="D565">
        <v>133.01</v>
      </c>
      <c r="E565" t="s">
        <v>68</v>
      </c>
      <c r="F565" t="s">
        <v>41</v>
      </c>
    </row>
    <row r="566" spans="1:6" x14ac:dyDescent="0.35">
      <c r="A566" t="s">
        <v>913</v>
      </c>
      <c r="B566" t="s">
        <v>98</v>
      </c>
      <c r="C566" s="1">
        <v>45361</v>
      </c>
      <c r="D566">
        <v>529.17999999999995</v>
      </c>
      <c r="E566" t="s">
        <v>62</v>
      </c>
      <c r="F566" t="s">
        <v>38</v>
      </c>
    </row>
    <row r="567" spans="1:6" x14ac:dyDescent="0.35">
      <c r="A567" t="s">
        <v>914</v>
      </c>
      <c r="B567" t="s">
        <v>305</v>
      </c>
      <c r="C567" s="1">
        <v>45629</v>
      </c>
      <c r="D567">
        <v>559.29999999999995</v>
      </c>
      <c r="E567" t="s">
        <v>71</v>
      </c>
      <c r="F567" t="s">
        <v>49</v>
      </c>
    </row>
    <row r="568" spans="1:6" x14ac:dyDescent="0.35">
      <c r="A568" t="s">
        <v>915</v>
      </c>
      <c r="B568" t="s">
        <v>255</v>
      </c>
      <c r="C568" s="1">
        <v>45540</v>
      </c>
      <c r="D568">
        <v>228.05</v>
      </c>
      <c r="E568" t="s">
        <v>68</v>
      </c>
      <c r="F568" t="s">
        <v>46</v>
      </c>
    </row>
    <row r="569" spans="1:6" x14ac:dyDescent="0.35">
      <c r="A569" t="s">
        <v>916</v>
      </c>
      <c r="B569" t="s">
        <v>61</v>
      </c>
      <c r="C569" s="1">
        <v>45444</v>
      </c>
      <c r="D569">
        <v>448.08</v>
      </c>
      <c r="E569" t="s">
        <v>65</v>
      </c>
      <c r="F569" t="s">
        <v>53</v>
      </c>
    </row>
    <row r="570" spans="1:6" x14ac:dyDescent="0.35">
      <c r="A570" t="s">
        <v>917</v>
      </c>
      <c r="B570" t="s">
        <v>307</v>
      </c>
      <c r="C570" s="1">
        <v>45338</v>
      </c>
      <c r="D570">
        <v>103.84</v>
      </c>
      <c r="E570" t="s">
        <v>71</v>
      </c>
      <c r="F570" t="s">
        <v>34</v>
      </c>
    </row>
    <row r="571" spans="1:6" x14ac:dyDescent="0.35">
      <c r="A571" t="s">
        <v>918</v>
      </c>
      <c r="B571" t="s">
        <v>616</v>
      </c>
      <c r="C571" s="1">
        <v>45548</v>
      </c>
      <c r="D571">
        <v>579.01</v>
      </c>
      <c r="E571" t="s">
        <v>62</v>
      </c>
      <c r="F571" t="s">
        <v>37</v>
      </c>
    </row>
    <row r="572" spans="1:6" x14ac:dyDescent="0.35">
      <c r="A572" t="s">
        <v>919</v>
      </c>
      <c r="B572" t="s">
        <v>445</v>
      </c>
      <c r="C572" s="1">
        <v>45413</v>
      </c>
      <c r="D572">
        <v>237.51</v>
      </c>
      <c r="E572" t="s">
        <v>68</v>
      </c>
      <c r="F572" t="s">
        <v>40</v>
      </c>
    </row>
    <row r="573" spans="1:6" x14ac:dyDescent="0.35">
      <c r="A573" t="s">
        <v>920</v>
      </c>
      <c r="B573" t="s">
        <v>207</v>
      </c>
      <c r="C573" s="1">
        <v>45591</v>
      </c>
      <c r="D573">
        <v>169.08</v>
      </c>
      <c r="E573" t="s">
        <v>71</v>
      </c>
      <c r="F573" t="s">
        <v>29</v>
      </c>
    </row>
    <row r="574" spans="1:6" x14ac:dyDescent="0.35">
      <c r="A574" t="s">
        <v>921</v>
      </c>
      <c r="B574" t="s">
        <v>589</v>
      </c>
      <c r="C574" s="1">
        <v>45346</v>
      </c>
      <c r="D574">
        <v>305.27999999999997</v>
      </c>
      <c r="E574" t="s">
        <v>71</v>
      </c>
      <c r="F574" t="s">
        <v>35</v>
      </c>
    </row>
    <row r="575" spans="1:6" x14ac:dyDescent="0.35">
      <c r="A575" t="s">
        <v>922</v>
      </c>
      <c r="B575" t="s">
        <v>886</v>
      </c>
      <c r="C575" s="1">
        <v>45422</v>
      </c>
      <c r="D575">
        <v>363.08</v>
      </c>
      <c r="E575" t="s">
        <v>68</v>
      </c>
      <c r="F575" t="s">
        <v>52</v>
      </c>
    </row>
    <row r="576" spans="1:6" x14ac:dyDescent="0.35">
      <c r="A576" t="s">
        <v>923</v>
      </c>
      <c r="B576" t="s">
        <v>243</v>
      </c>
      <c r="C576" s="1">
        <v>45650</v>
      </c>
      <c r="D576">
        <v>295.63</v>
      </c>
      <c r="E576" t="s">
        <v>62</v>
      </c>
      <c r="F576" t="s">
        <v>54</v>
      </c>
    </row>
    <row r="577" spans="1:6" x14ac:dyDescent="0.35">
      <c r="A577" t="s">
        <v>924</v>
      </c>
      <c r="B577" t="s">
        <v>409</v>
      </c>
      <c r="C577" s="1">
        <v>45641</v>
      </c>
      <c r="D577">
        <v>611.24</v>
      </c>
      <c r="E577" t="s">
        <v>62</v>
      </c>
      <c r="F577" t="s">
        <v>38</v>
      </c>
    </row>
    <row r="578" spans="1:6" x14ac:dyDescent="0.35">
      <c r="A578" t="s">
        <v>925</v>
      </c>
      <c r="B578" t="s">
        <v>186</v>
      </c>
      <c r="C578" s="1">
        <v>45477</v>
      </c>
      <c r="D578">
        <v>224.53</v>
      </c>
      <c r="E578" t="s">
        <v>62</v>
      </c>
      <c r="F578" t="s">
        <v>38</v>
      </c>
    </row>
    <row r="579" spans="1:6" x14ac:dyDescent="0.35">
      <c r="A579" t="s">
        <v>926</v>
      </c>
      <c r="B579" t="s">
        <v>927</v>
      </c>
      <c r="C579" s="1">
        <v>45622</v>
      </c>
      <c r="D579">
        <v>442.27</v>
      </c>
      <c r="E579" t="s">
        <v>68</v>
      </c>
      <c r="F579" t="s">
        <v>33</v>
      </c>
    </row>
    <row r="580" spans="1:6" x14ac:dyDescent="0.35">
      <c r="A580" t="s">
        <v>928</v>
      </c>
      <c r="B580" t="s">
        <v>406</v>
      </c>
      <c r="C580" s="1">
        <v>45319</v>
      </c>
      <c r="D580">
        <v>374.93</v>
      </c>
      <c r="E580" t="s">
        <v>71</v>
      </c>
      <c r="F580" t="s">
        <v>35</v>
      </c>
    </row>
    <row r="581" spans="1:6" x14ac:dyDescent="0.35">
      <c r="A581" t="s">
        <v>929</v>
      </c>
      <c r="B581" t="s">
        <v>509</v>
      </c>
      <c r="C581" s="1">
        <v>45450</v>
      </c>
      <c r="D581">
        <v>456.43</v>
      </c>
      <c r="E581" t="s">
        <v>62</v>
      </c>
      <c r="F581" t="s">
        <v>38</v>
      </c>
    </row>
    <row r="582" spans="1:6" x14ac:dyDescent="0.35">
      <c r="A582" t="s">
        <v>930</v>
      </c>
      <c r="B582" t="s">
        <v>496</v>
      </c>
      <c r="C582" s="1">
        <v>45565</v>
      </c>
      <c r="D582">
        <v>39.840000000000003</v>
      </c>
      <c r="E582" t="s">
        <v>65</v>
      </c>
      <c r="F582" t="s">
        <v>30</v>
      </c>
    </row>
    <row r="583" spans="1:6" x14ac:dyDescent="0.35">
      <c r="A583" t="s">
        <v>931</v>
      </c>
      <c r="B583" t="s">
        <v>932</v>
      </c>
      <c r="C583" s="1">
        <v>45493</v>
      </c>
      <c r="D583">
        <v>610.84</v>
      </c>
      <c r="E583" t="s">
        <v>62</v>
      </c>
      <c r="F583" t="s">
        <v>36</v>
      </c>
    </row>
    <row r="584" spans="1:6" x14ac:dyDescent="0.35">
      <c r="A584" t="s">
        <v>933</v>
      </c>
      <c r="B584" t="s">
        <v>934</v>
      </c>
      <c r="C584" s="1">
        <v>45412</v>
      </c>
      <c r="D584">
        <v>598.27</v>
      </c>
      <c r="E584" t="s">
        <v>71</v>
      </c>
      <c r="F584" t="s">
        <v>34</v>
      </c>
    </row>
    <row r="585" spans="1:6" x14ac:dyDescent="0.35">
      <c r="A585" t="s">
        <v>935</v>
      </c>
      <c r="B585" t="s">
        <v>760</v>
      </c>
      <c r="C585" s="1">
        <v>45615</v>
      </c>
      <c r="D585">
        <v>55.84</v>
      </c>
      <c r="E585" t="s">
        <v>65</v>
      </c>
      <c r="F585" t="s">
        <v>51</v>
      </c>
    </row>
    <row r="586" spans="1:6" x14ac:dyDescent="0.35">
      <c r="A586" t="s">
        <v>936</v>
      </c>
      <c r="B586" t="s">
        <v>201</v>
      </c>
      <c r="C586" s="1">
        <v>45333</v>
      </c>
      <c r="D586">
        <v>288.97000000000003</v>
      </c>
      <c r="E586" t="s">
        <v>65</v>
      </c>
      <c r="F586" t="s">
        <v>32</v>
      </c>
    </row>
    <row r="587" spans="1:6" x14ac:dyDescent="0.35">
      <c r="A587" t="s">
        <v>937</v>
      </c>
      <c r="B587" t="s">
        <v>912</v>
      </c>
      <c r="C587" s="1">
        <v>45462</v>
      </c>
      <c r="D587">
        <v>464.57</v>
      </c>
      <c r="E587" t="s">
        <v>68</v>
      </c>
      <c r="F587" t="s">
        <v>41</v>
      </c>
    </row>
    <row r="588" spans="1:6" x14ac:dyDescent="0.35">
      <c r="A588" t="s">
        <v>938</v>
      </c>
      <c r="B588" t="s">
        <v>742</v>
      </c>
      <c r="C588" s="1">
        <v>45551</v>
      </c>
      <c r="D588">
        <v>405.3</v>
      </c>
      <c r="E588" t="s">
        <v>62</v>
      </c>
      <c r="F588" t="s">
        <v>37</v>
      </c>
    </row>
    <row r="589" spans="1:6" x14ac:dyDescent="0.35">
      <c r="A589" t="s">
        <v>939</v>
      </c>
      <c r="B589" t="s">
        <v>542</v>
      </c>
      <c r="C589" s="1">
        <v>45572</v>
      </c>
      <c r="D589">
        <v>51.82</v>
      </c>
      <c r="E589" t="s">
        <v>65</v>
      </c>
      <c r="F589" t="s">
        <v>32</v>
      </c>
    </row>
    <row r="590" spans="1:6" x14ac:dyDescent="0.35">
      <c r="A590" t="s">
        <v>940</v>
      </c>
      <c r="B590" t="s">
        <v>274</v>
      </c>
      <c r="C590" s="1">
        <v>45318</v>
      </c>
      <c r="D590">
        <v>307.69</v>
      </c>
      <c r="E590" t="s">
        <v>71</v>
      </c>
      <c r="F590" t="s">
        <v>49</v>
      </c>
    </row>
    <row r="591" spans="1:6" x14ac:dyDescent="0.35">
      <c r="A591" t="s">
        <v>941</v>
      </c>
      <c r="B591" t="s">
        <v>387</v>
      </c>
      <c r="C591" s="1">
        <v>45620</v>
      </c>
      <c r="D591">
        <v>158.05000000000001</v>
      </c>
      <c r="E591" t="s">
        <v>68</v>
      </c>
      <c r="F591" t="s">
        <v>52</v>
      </c>
    </row>
    <row r="592" spans="1:6" x14ac:dyDescent="0.35">
      <c r="A592" t="s">
        <v>942</v>
      </c>
      <c r="B592" t="s">
        <v>108</v>
      </c>
      <c r="C592" s="1">
        <v>45448</v>
      </c>
      <c r="D592">
        <v>132.06</v>
      </c>
      <c r="E592" t="s">
        <v>68</v>
      </c>
      <c r="F592" t="s">
        <v>46</v>
      </c>
    </row>
    <row r="593" spans="1:6" x14ac:dyDescent="0.35">
      <c r="A593" t="s">
        <v>943</v>
      </c>
      <c r="B593" t="s">
        <v>427</v>
      </c>
      <c r="C593" s="1">
        <v>45556</v>
      </c>
      <c r="D593">
        <v>456.74</v>
      </c>
      <c r="E593" t="s">
        <v>71</v>
      </c>
      <c r="F593" t="s">
        <v>39</v>
      </c>
    </row>
    <row r="594" spans="1:6" x14ac:dyDescent="0.35">
      <c r="A594" t="s">
        <v>944</v>
      </c>
      <c r="B594" t="s">
        <v>945</v>
      </c>
      <c r="C594" s="1">
        <v>45455</v>
      </c>
      <c r="D594">
        <v>487.13</v>
      </c>
      <c r="E594" t="s">
        <v>65</v>
      </c>
      <c r="F594" t="s">
        <v>51</v>
      </c>
    </row>
    <row r="595" spans="1:6" x14ac:dyDescent="0.35">
      <c r="A595" t="s">
        <v>946</v>
      </c>
      <c r="B595" t="s">
        <v>558</v>
      </c>
      <c r="C595" s="1">
        <v>45425</v>
      </c>
      <c r="D595">
        <v>208.31</v>
      </c>
      <c r="E595" t="s">
        <v>62</v>
      </c>
      <c r="F595" t="s">
        <v>38</v>
      </c>
    </row>
    <row r="596" spans="1:6" x14ac:dyDescent="0.35">
      <c r="A596" t="s">
        <v>947</v>
      </c>
      <c r="B596" t="s">
        <v>473</v>
      </c>
      <c r="C596" s="1">
        <v>45335</v>
      </c>
      <c r="D596">
        <v>277</v>
      </c>
      <c r="E596" t="s">
        <v>62</v>
      </c>
      <c r="F596" t="s">
        <v>47</v>
      </c>
    </row>
    <row r="597" spans="1:6" x14ac:dyDescent="0.35">
      <c r="A597" t="s">
        <v>948</v>
      </c>
      <c r="B597" t="s">
        <v>280</v>
      </c>
      <c r="C597" s="1">
        <v>45485</v>
      </c>
      <c r="D597">
        <v>618.09</v>
      </c>
      <c r="E597" t="s">
        <v>71</v>
      </c>
      <c r="F597" t="s">
        <v>50</v>
      </c>
    </row>
    <row r="598" spans="1:6" x14ac:dyDescent="0.35">
      <c r="A598" t="s">
        <v>949</v>
      </c>
      <c r="B598" t="s">
        <v>618</v>
      </c>
      <c r="C598" s="1">
        <v>45577</v>
      </c>
      <c r="D598">
        <v>634.09</v>
      </c>
      <c r="E598" t="s">
        <v>71</v>
      </c>
      <c r="F598" t="s">
        <v>50</v>
      </c>
    </row>
    <row r="599" spans="1:6" x14ac:dyDescent="0.35">
      <c r="A599" t="s">
        <v>950</v>
      </c>
      <c r="B599" t="s">
        <v>104</v>
      </c>
      <c r="C599" s="1">
        <v>45393</v>
      </c>
      <c r="D599">
        <v>281.64</v>
      </c>
      <c r="E599" t="s">
        <v>71</v>
      </c>
      <c r="F599" t="s">
        <v>50</v>
      </c>
    </row>
    <row r="600" spans="1:6" x14ac:dyDescent="0.35">
      <c r="A600" t="s">
        <v>951</v>
      </c>
      <c r="B600" t="s">
        <v>445</v>
      </c>
      <c r="C600" s="1">
        <v>45511</v>
      </c>
      <c r="D600">
        <v>89.77</v>
      </c>
      <c r="E600" t="s">
        <v>62</v>
      </c>
      <c r="F600" t="s">
        <v>47</v>
      </c>
    </row>
    <row r="601" spans="1:6" x14ac:dyDescent="0.35">
      <c r="A601" t="s">
        <v>952</v>
      </c>
      <c r="B601" t="s">
        <v>433</v>
      </c>
      <c r="C601" s="1">
        <v>45480</v>
      </c>
      <c r="D601">
        <v>476.93</v>
      </c>
      <c r="E601" t="s">
        <v>68</v>
      </c>
      <c r="F601" t="s">
        <v>46</v>
      </c>
    </row>
    <row r="602" spans="1:6" x14ac:dyDescent="0.35">
      <c r="A602" t="s">
        <v>953</v>
      </c>
      <c r="B602" t="s">
        <v>529</v>
      </c>
      <c r="C602" s="1">
        <v>45514</v>
      </c>
      <c r="D602">
        <v>173.06</v>
      </c>
      <c r="E602" t="s">
        <v>65</v>
      </c>
      <c r="F602" t="s">
        <v>31</v>
      </c>
    </row>
    <row r="603" spans="1:6" x14ac:dyDescent="0.35">
      <c r="A603" t="s">
        <v>954</v>
      </c>
      <c r="B603" t="s">
        <v>292</v>
      </c>
      <c r="C603" s="1">
        <v>45396</v>
      </c>
      <c r="D603">
        <v>494.06</v>
      </c>
      <c r="E603" t="s">
        <v>62</v>
      </c>
      <c r="F603" t="s">
        <v>42</v>
      </c>
    </row>
    <row r="604" spans="1:6" x14ac:dyDescent="0.35">
      <c r="A604" t="s">
        <v>955</v>
      </c>
      <c r="B604" t="s">
        <v>956</v>
      </c>
      <c r="C604" s="1">
        <v>45487</v>
      </c>
      <c r="D604">
        <v>162.06</v>
      </c>
      <c r="E604" t="s">
        <v>65</v>
      </c>
      <c r="F604" t="s">
        <v>51</v>
      </c>
    </row>
    <row r="605" spans="1:6" x14ac:dyDescent="0.35">
      <c r="A605" t="s">
        <v>957</v>
      </c>
      <c r="B605" t="s">
        <v>476</v>
      </c>
      <c r="C605" s="1">
        <v>45402</v>
      </c>
      <c r="D605">
        <v>145.93</v>
      </c>
      <c r="E605" t="s">
        <v>71</v>
      </c>
      <c r="F605" t="s">
        <v>29</v>
      </c>
    </row>
    <row r="606" spans="1:6" x14ac:dyDescent="0.35">
      <c r="A606" t="s">
        <v>958</v>
      </c>
      <c r="B606" t="s">
        <v>98</v>
      </c>
      <c r="C606" s="1">
        <v>45366</v>
      </c>
      <c r="D606">
        <v>179.82</v>
      </c>
      <c r="E606" t="s">
        <v>62</v>
      </c>
      <c r="F606" t="s">
        <v>42</v>
      </c>
    </row>
    <row r="607" spans="1:6" x14ac:dyDescent="0.35">
      <c r="A607" t="s">
        <v>959</v>
      </c>
      <c r="B607" t="s">
        <v>317</v>
      </c>
      <c r="C607" s="1">
        <v>45522</v>
      </c>
      <c r="D607">
        <v>455.82</v>
      </c>
      <c r="E607" t="s">
        <v>62</v>
      </c>
      <c r="F607" t="s">
        <v>54</v>
      </c>
    </row>
    <row r="608" spans="1:6" x14ac:dyDescent="0.35">
      <c r="A608" t="s">
        <v>960</v>
      </c>
      <c r="B608" t="s">
        <v>181</v>
      </c>
      <c r="C608" s="1">
        <v>45526</v>
      </c>
      <c r="D608">
        <v>116.92</v>
      </c>
      <c r="E608" t="s">
        <v>68</v>
      </c>
      <c r="F608" t="s">
        <v>52</v>
      </c>
    </row>
    <row r="609" spans="1:6" x14ac:dyDescent="0.35">
      <c r="A609" t="s">
        <v>961</v>
      </c>
      <c r="B609" t="s">
        <v>307</v>
      </c>
      <c r="C609" s="1">
        <v>45457</v>
      </c>
      <c r="D609">
        <v>270.85000000000002</v>
      </c>
      <c r="E609" t="s">
        <v>71</v>
      </c>
      <c r="F609" t="s">
        <v>49</v>
      </c>
    </row>
    <row r="610" spans="1:6" x14ac:dyDescent="0.35">
      <c r="A610" t="s">
        <v>962</v>
      </c>
      <c r="B610" t="s">
        <v>247</v>
      </c>
      <c r="C610" s="1">
        <v>45508</v>
      </c>
      <c r="D610">
        <v>93.6</v>
      </c>
      <c r="E610" t="s">
        <v>62</v>
      </c>
      <c r="F610" t="s">
        <v>36</v>
      </c>
    </row>
    <row r="611" spans="1:6" x14ac:dyDescent="0.35">
      <c r="A611" t="s">
        <v>963</v>
      </c>
      <c r="B611" t="s">
        <v>598</v>
      </c>
      <c r="C611" s="1">
        <v>45322</v>
      </c>
      <c r="D611">
        <v>324.62</v>
      </c>
      <c r="E611" t="s">
        <v>62</v>
      </c>
      <c r="F611" t="s">
        <v>47</v>
      </c>
    </row>
    <row r="612" spans="1:6" x14ac:dyDescent="0.35">
      <c r="A612" t="s">
        <v>964</v>
      </c>
      <c r="B612" t="s">
        <v>927</v>
      </c>
      <c r="C612" s="1">
        <v>45473</v>
      </c>
      <c r="D612">
        <v>191</v>
      </c>
      <c r="E612" t="s">
        <v>68</v>
      </c>
      <c r="F612" t="s">
        <v>46</v>
      </c>
    </row>
    <row r="613" spans="1:6" x14ac:dyDescent="0.35">
      <c r="A613" t="s">
        <v>965</v>
      </c>
      <c r="B613" t="s">
        <v>164</v>
      </c>
      <c r="C613" s="1">
        <v>45609</v>
      </c>
      <c r="D613">
        <v>447.83</v>
      </c>
      <c r="E613" t="s">
        <v>62</v>
      </c>
      <c r="F613" t="s">
        <v>37</v>
      </c>
    </row>
    <row r="614" spans="1:6" x14ac:dyDescent="0.35">
      <c r="A614" t="s">
        <v>966</v>
      </c>
      <c r="B614" t="s">
        <v>90</v>
      </c>
      <c r="C614" s="1">
        <v>45359</v>
      </c>
      <c r="D614">
        <v>145.31</v>
      </c>
      <c r="E614" t="s">
        <v>68</v>
      </c>
      <c r="F614" t="s">
        <v>45</v>
      </c>
    </row>
    <row r="615" spans="1:6" x14ac:dyDescent="0.35">
      <c r="A615" t="s">
        <v>967</v>
      </c>
      <c r="B615" t="s">
        <v>126</v>
      </c>
      <c r="C615" s="1">
        <v>45378</v>
      </c>
      <c r="D615">
        <v>574.91</v>
      </c>
      <c r="E615" t="s">
        <v>65</v>
      </c>
      <c r="F615" t="s">
        <v>53</v>
      </c>
    </row>
    <row r="616" spans="1:6" x14ac:dyDescent="0.35">
      <c r="A616" t="s">
        <v>968</v>
      </c>
      <c r="B616" t="s">
        <v>368</v>
      </c>
      <c r="C616" s="1">
        <v>45359</v>
      </c>
      <c r="D616">
        <v>361.21</v>
      </c>
      <c r="E616" t="s">
        <v>62</v>
      </c>
      <c r="F616" t="s">
        <v>43</v>
      </c>
    </row>
    <row r="617" spans="1:6" x14ac:dyDescent="0.35">
      <c r="A617" t="s">
        <v>969</v>
      </c>
      <c r="B617" t="s">
        <v>591</v>
      </c>
      <c r="C617" s="1">
        <v>45364</v>
      </c>
      <c r="D617">
        <v>62.16</v>
      </c>
      <c r="E617" t="s">
        <v>68</v>
      </c>
      <c r="F617" t="s">
        <v>40</v>
      </c>
    </row>
    <row r="618" spans="1:6" x14ac:dyDescent="0.35">
      <c r="A618" t="s">
        <v>970</v>
      </c>
      <c r="B618" t="s">
        <v>147</v>
      </c>
      <c r="C618" s="1">
        <v>45357</v>
      </c>
      <c r="D618">
        <v>256.76</v>
      </c>
      <c r="E618" t="s">
        <v>62</v>
      </c>
      <c r="F618" t="s">
        <v>43</v>
      </c>
    </row>
    <row r="619" spans="1:6" x14ac:dyDescent="0.35">
      <c r="A619" t="s">
        <v>971</v>
      </c>
      <c r="B619" t="s">
        <v>476</v>
      </c>
      <c r="C619" s="1">
        <v>45512</v>
      </c>
      <c r="D619">
        <v>545.20000000000005</v>
      </c>
      <c r="E619" t="s">
        <v>62</v>
      </c>
      <c r="F619" t="s">
        <v>54</v>
      </c>
    </row>
    <row r="620" spans="1:6" x14ac:dyDescent="0.35">
      <c r="A620" t="s">
        <v>972</v>
      </c>
      <c r="B620" t="s">
        <v>74</v>
      </c>
      <c r="C620" s="1">
        <v>45427</v>
      </c>
      <c r="D620">
        <v>583.99</v>
      </c>
      <c r="E620" t="s">
        <v>62</v>
      </c>
      <c r="F620" t="s">
        <v>37</v>
      </c>
    </row>
    <row r="621" spans="1:6" x14ac:dyDescent="0.35">
      <c r="A621" t="s">
        <v>973</v>
      </c>
      <c r="B621" t="s">
        <v>201</v>
      </c>
      <c r="C621" s="1">
        <v>45453</v>
      </c>
      <c r="D621">
        <v>559.62</v>
      </c>
      <c r="E621" t="s">
        <v>71</v>
      </c>
      <c r="F621" t="s">
        <v>39</v>
      </c>
    </row>
    <row r="622" spans="1:6" x14ac:dyDescent="0.35">
      <c r="A622" t="s">
        <v>974</v>
      </c>
      <c r="B622" t="s">
        <v>192</v>
      </c>
      <c r="C622" s="1">
        <v>45628</v>
      </c>
      <c r="D622">
        <v>151.19</v>
      </c>
      <c r="E622" t="s">
        <v>65</v>
      </c>
      <c r="F622" t="s">
        <v>31</v>
      </c>
    </row>
    <row r="623" spans="1:6" x14ac:dyDescent="0.35">
      <c r="A623" t="s">
        <v>975</v>
      </c>
      <c r="B623" t="s">
        <v>141</v>
      </c>
      <c r="C623" s="1">
        <v>45319</v>
      </c>
      <c r="D623">
        <v>324.2</v>
      </c>
      <c r="E623" t="s">
        <v>71</v>
      </c>
      <c r="F623" t="s">
        <v>50</v>
      </c>
    </row>
    <row r="624" spans="1:6" x14ac:dyDescent="0.35">
      <c r="A624" t="s">
        <v>976</v>
      </c>
      <c r="B624" t="s">
        <v>285</v>
      </c>
      <c r="C624" s="1">
        <v>45375</v>
      </c>
      <c r="D624">
        <v>647.04999999999995</v>
      </c>
      <c r="E624" t="s">
        <v>65</v>
      </c>
      <c r="F624" t="s">
        <v>31</v>
      </c>
    </row>
    <row r="625" spans="1:6" x14ac:dyDescent="0.35">
      <c r="A625" t="s">
        <v>977</v>
      </c>
      <c r="B625" t="s">
        <v>257</v>
      </c>
      <c r="C625" s="1">
        <v>45545</v>
      </c>
      <c r="D625">
        <v>643.12</v>
      </c>
      <c r="E625" t="s">
        <v>65</v>
      </c>
      <c r="F625" t="s">
        <v>53</v>
      </c>
    </row>
    <row r="626" spans="1:6" x14ac:dyDescent="0.35">
      <c r="A626" t="s">
        <v>978</v>
      </c>
      <c r="B626" t="s">
        <v>809</v>
      </c>
      <c r="C626" s="1">
        <v>45579</v>
      </c>
      <c r="D626">
        <v>104.18</v>
      </c>
      <c r="E626" t="s">
        <v>65</v>
      </c>
      <c r="F626" t="s">
        <v>30</v>
      </c>
    </row>
    <row r="627" spans="1:6" x14ac:dyDescent="0.35">
      <c r="A627" t="s">
        <v>979</v>
      </c>
      <c r="B627" t="s">
        <v>827</v>
      </c>
      <c r="C627" s="1">
        <v>45367</v>
      </c>
      <c r="D627">
        <v>160.30000000000001</v>
      </c>
      <c r="E627" t="s">
        <v>62</v>
      </c>
      <c r="F627" t="s">
        <v>36</v>
      </c>
    </row>
    <row r="628" spans="1:6" x14ac:dyDescent="0.35">
      <c r="A628" t="s">
        <v>980</v>
      </c>
      <c r="B628" t="s">
        <v>609</v>
      </c>
      <c r="C628" s="1">
        <v>45437</v>
      </c>
      <c r="D628">
        <v>347.87</v>
      </c>
      <c r="E628" t="s">
        <v>71</v>
      </c>
      <c r="F628" t="s">
        <v>49</v>
      </c>
    </row>
    <row r="629" spans="1:6" x14ac:dyDescent="0.35">
      <c r="A629" t="s">
        <v>981</v>
      </c>
      <c r="B629" t="s">
        <v>982</v>
      </c>
      <c r="C629" s="1">
        <v>45431</v>
      </c>
      <c r="D629">
        <v>648.77</v>
      </c>
      <c r="E629" t="s">
        <v>71</v>
      </c>
      <c r="F629" t="s">
        <v>39</v>
      </c>
    </row>
    <row r="630" spans="1:6" x14ac:dyDescent="0.35">
      <c r="A630" t="s">
        <v>983</v>
      </c>
      <c r="B630" t="s">
        <v>359</v>
      </c>
      <c r="C630" s="1">
        <v>45294</v>
      </c>
      <c r="D630">
        <v>601.04999999999995</v>
      </c>
      <c r="E630" t="s">
        <v>71</v>
      </c>
      <c r="F630" t="s">
        <v>29</v>
      </c>
    </row>
    <row r="631" spans="1:6" x14ac:dyDescent="0.35">
      <c r="A631" t="s">
        <v>984</v>
      </c>
      <c r="B631" t="s">
        <v>147</v>
      </c>
      <c r="C631" s="1">
        <v>45418</v>
      </c>
      <c r="D631">
        <v>50.97</v>
      </c>
      <c r="E631" t="s">
        <v>68</v>
      </c>
      <c r="F631" t="s">
        <v>40</v>
      </c>
    </row>
    <row r="632" spans="1:6" x14ac:dyDescent="0.35">
      <c r="A632" t="s">
        <v>985</v>
      </c>
      <c r="B632" t="s">
        <v>986</v>
      </c>
      <c r="C632" s="1">
        <v>45640</v>
      </c>
      <c r="D632">
        <v>264.74</v>
      </c>
      <c r="E632" t="s">
        <v>68</v>
      </c>
      <c r="F632" t="s">
        <v>52</v>
      </c>
    </row>
    <row r="633" spans="1:6" x14ac:dyDescent="0.35">
      <c r="A633" t="s">
        <v>987</v>
      </c>
      <c r="B633" t="s">
        <v>238</v>
      </c>
      <c r="C633" s="1">
        <v>45346</v>
      </c>
      <c r="D633">
        <v>84.85</v>
      </c>
      <c r="E633" t="s">
        <v>71</v>
      </c>
      <c r="F633" t="s">
        <v>50</v>
      </c>
    </row>
    <row r="634" spans="1:6" x14ac:dyDescent="0.35">
      <c r="A634" t="s">
        <v>988</v>
      </c>
      <c r="B634" t="s">
        <v>989</v>
      </c>
      <c r="C634" s="1">
        <v>45654</v>
      </c>
      <c r="D634">
        <v>421.44</v>
      </c>
      <c r="E634" t="s">
        <v>65</v>
      </c>
      <c r="F634" t="s">
        <v>30</v>
      </c>
    </row>
    <row r="635" spans="1:6" x14ac:dyDescent="0.35">
      <c r="A635" t="s">
        <v>990</v>
      </c>
      <c r="B635" t="s">
        <v>413</v>
      </c>
      <c r="C635" s="1">
        <v>45429</v>
      </c>
      <c r="D635">
        <v>631.41</v>
      </c>
      <c r="E635" t="s">
        <v>68</v>
      </c>
      <c r="F635" t="s">
        <v>40</v>
      </c>
    </row>
    <row r="636" spans="1:6" x14ac:dyDescent="0.35">
      <c r="A636" t="s">
        <v>991</v>
      </c>
      <c r="B636" t="s">
        <v>216</v>
      </c>
      <c r="C636" s="1">
        <v>45627</v>
      </c>
      <c r="D636">
        <v>617.66</v>
      </c>
      <c r="E636" t="s">
        <v>65</v>
      </c>
      <c r="F636" t="s">
        <v>53</v>
      </c>
    </row>
    <row r="637" spans="1:6" x14ac:dyDescent="0.35">
      <c r="A637" t="s">
        <v>992</v>
      </c>
      <c r="B637" t="s">
        <v>956</v>
      </c>
      <c r="C637" s="1">
        <v>45583</v>
      </c>
      <c r="D637">
        <v>527.96</v>
      </c>
      <c r="E637" t="s">
        <v>71</v>
      </c>
      <c r="F637" t="s">
        <v>50</v>
      </c>
    </row>
    <row r="638" spans="1:6" x14ac:dyDescent="0.35">
      <c r="A638" t="s">
        <v>993</v>
      </c>
      <c r="B638" t="s">
        <v>238</v>
      </c>
      <c r="C638" s="1">
        <v>45436</v>
      </c>
      <c r="D638">
        <v>78.5</v>
      </c>
      <c r="E638" t="s">
        <v>68</v>
      </c>
      <c r="F638" t="s">
        <v>33</v>
      </c>
    </row>
    <row r="639" spans="1:6" x14ac:dyDescent="0.35">
      <c r="A639" t="s">
        <v>994</v>
      </c>
      <c r="B639" t="s">
        <v>164</v>
      </c>
      <c r="C639" s="1">
        <v>45600</v>
      </c>
      <c r="D639">
        <v>191.93</v>
      </c>
      <c r="E639" t="s">
        <v>68</v>
      </c>
      <c r="F639" t="s">
        <v>52</v>
      </c>
    </row>
    <row r="640" spans="1:6" x14ac:dyDescent="0.35">
      <c r="A640" t="s">
        <v>995</v>
      </c>
      <c r="B640" t="s">
        <v>858</v>
      </c>
      <c r="C640" s="1">
        <v>45414</v>
      </c>
      <c r="D640">
        <v>559.19000000000005</v>
      </c>
      <c r="E640" t="s">
        <v>68</v>
      </c>
      <c r="F640" t="s">
        <v>46</v>
      </c>
    </row>
    <row r="641" spans="1:6" x14ac:dyDescent="0.35">
      <c r="A641" t="s">
        <v>996</v>
      </c>
      <c r="B641" t="s">
        <v>504</v>
      </c>
      <c r="C641" s="1">
        <v>45375</v>
      </c>
      <c r="D641">
        <v>433.01</v>
      </c>
      <c r="E641" t="s">
        <v>65</v>
      </c>
      <c r="F641" t="s">
        <v>53</v>
      </c>
    </row>
    <row r="642" spans="1:6" x14ac:dyDescent="0.35">
      <c r="A642" t="s">
        <v>997</v>
      </c>
      <c r="B642" t="s">
        <v>331</v>
      </c>
      <c r="C642" s="1">
        <v>45626</v>
      </c>
      <c r="D642">
        <v>336.87</v>
      </c>
      <c r="E642" t="s">
        <v>68</v>
      </c>
      <c r="F642" t="s">
        <v>40</v>
      </c>
    </row>
    <row r="643" spans="1:6" x14ac:dyDescent="0.35">
      <c r="A643" t="s">
        <v>998</v>
      </c>
      <c r="B643" t="s">
        <v>194</v>
      </c>
      <c r="C643" s="1">
        <v>45513</v>
      </c>
      <c r="D643">
        <v>444.29</v>
      </c>
      <c r="E643" t="s">
        <v>71</v>
      </c>
      <c r="F643" t="s">
        <v>35</v>
      </c>
    </row>
    <row r="644" spans="1:6" x14ac:dyDescent="0.35">
      <c r="A644" t="s">
        <v>999</v>
      </c>
      <c r="B644" t="s">
        <v>92</v>
      </c>
      <c r="C644" s="1">
        <v>45480</v>
      </c>
      <c r="D644">
        <v>308.95</v>
      </c>
      <c r="E644" t="s">
        <v>71</v>
      </c>
      <c r="F644" t="s">
        <v>29</v>
      </c>
    </row>
    <row r="645" spans="1:6" x14ac:dyDescent="0.35">
      <c r="A645" t="s">
        <v>1000</v>
      </c>
      <c r="B645" t="s">
        <v>186</v>
      </c>
      <c r="C645" s="1">
        <v>45490</v>
      </c>
      <c r="D645">
        <v>404.21</v>
      </c>
      <c r="E645" t="s">
        <v>62</v>
      </c>
      <c r="F645" t="s">
        <v>54</v>
      </c>
    </row>
    <row r="646" spans="1:6" x14ac:dyDescent="0.35">
      <c r="A646" t="s">
        <v>1001</v>
      </c>
      <c r="B646" t="s">
        <v>912</v>
      </c>
      <c r="C646" s="1">
        <v>45338</v>
      </c>
      <c r="D646">
        <v>149.61000000000001</v>
      </c>
      <c r="E646" t="s">
        <v>62</v>
      </c>
      <c r="F646" t="s">
        <v>54</v>
      </c>
    </row>
    <row r="647" spans="1:6" x14ac:dyDescent="0.35">
      <c r="A647" t="s">
        <v>1002</v>
      </c>
      <c r="B647" t="s">
        <v>297</v>
      </c>
      <c r="C647" s="1">
        <v>45614</v>
      </c>
      <c r="D647">
        <v>350.7</v>
      </c>
      <c r="E647" t="s">
        <v>68</v>
      </c>
      <c r="F647" t="s">
        <v>46</v>
      </c>
    </row>
    <row r="648" spans="1:6" x14ac:dyDescent="0.35">
      <c r="A648" t="s">
        <v>1003</v>
      </c>
      <c r="B648" t="s">
        <v>776</v>
      </c>
      <c r="C648" s="1">
        <v>45529</v>
      </c>
      <c r="D648">
        <v>457.04</v>
      </c>
      <c r="E648" t="s">
        <v>71</v>
      </c>
      <c r="F648" t="s">
        <v>49</v>
      </c>
    </row>
    <row r="649" spans="1:6" x14ac:dyDescent="0.35">
      <c r="A649" t="s">
        <v>1004</v>
      </c>
      <c r="B649" t="s">
        <v>841</v>
      </c>
      <c r="C649" s="1">
        <v>45371</v>
      </c>
      <c r="D649">
        <v>322.95</v>
      </c>
      <c r="E649" t="s">
        <v>68</v>
      </c>
      <c r="F649" t="s">
        <v>40</v>
      </c>
    </row>
    <row r="650" spans="1:6" x14ac:dyDescent="0.35">
      <c r="A650" t="s">
        <v>1005</v>
      </c>
      <c r="B650" t="s">
        <v>734</v>
      </c>
      <c r="C650" s="1">
        <v>45332</v>
      </c>
      <c r="D650">
        <v>640.27</v>
      </c>
      <c r="E650" t="s">
        <v>62</v>
      </c>
      <c r="F650" t="s">
        <v>47</v>
      </c>
    </row>
    <row r="651" spans="1:6" x14ac:dyDescent="0.35">
      <c r="A651" t="s">
        <v>1006</v>
      </c>
      <c r="B651" t="s">
        <v>1007</v>
      </c>
      <c r="C651" s="1">
        <v>45642</v>
      </c>
      <c r="D651">
        <v>298.06</v>
      </c>
      <c r="E651" t="s">
        <v>71</v>
      </c>
      <c r="F651" t="s">
        <v>39</v>
      </c>
    </row>
    <row r="652" spans="1:6" x14ac:dyDescent="0.35">
      <c r="A652" t="s">
        <v>1008</v>
      </c>
      <c r="B652" t="s">
        <v>151</v>
      </c>
      <c r="C652" s="1">
        <v>45583</v>
      </c>
      <c r="D652">
        <v>350.75</v>
      </c>
      <c r="E652" t="s">
        <v>68</v>
      </c>
      <c r="F652" t="s">
        <v>46</v>
      </c>
    </row>
    <row r="653" spans="1:6" x14ac:dyDescent="0.35">
      <c r="A653" t="s">
        <v>1009</v>
      </c>
      <c r="B653" t="s">
        <v>566</v>
      </c>
      <c r="C653" s="1">
        <v>45553</v>
      </c>
      <c r="D653">
        <v>320.76</v>
      </c>
      <c r="E653" t="s">
        <v>65</v>
      </c>
      <c r="F653" t="s">
        <v>31</v>
      </c>
    </row>
    <row r="654" spans="1:6" x14ac:dyDescent="0.35">
      <c r="A654" t="s">
        <v>1010</v>
      </c>
      <c r="B654" t="s">
        <v>1011</v>
      </c>
      <c r="C654" s="1">
        <v>45583</v>
      </c>
      <c r="D654">
        <v>395.12</v>
      </c>
      <c r="E654" t="s">
        <v>62</v>
      </c>
      <c r="F654" t="s">
        <v>42</v>
      </c>
    </row>
    <row r="655" spans="1:6" x14ac:dyDescent="0.35">
      <c r="A655" t="s">
        <v>1012</v>
      </c>
      <c r="B655" t="s">
        <v>652</v>
      </c>
      <c r="C655" s="1">
        <v>45549</v>
      </c>
      <c r="D655">
        <v>441.87</v>
      </c>
      <c r="E655" t="s">
        <v>68</v>
      </c>
      <c r="F655" t="s">
        <v>33</v>
      </c>
    </row>
    <row r="656" spans="1:6" x14ac:dyDescent="0.35">
      <c r="A656" t="s">
        <v>1013</v>
      </c>
      <c r="B656" t="s">
        <v>110</v>
      </c>
      <c r="C656" s="1">
        <v>45383</v>
      </c>
      <c r="D656">
        <v>86.22</v>
      </c>
      <c r="E656" t="s">
        <v>65</v>
      </c>
      <c r="F656" t="s">
        <v>31</v>
      </c>
    </row>
    <row r="657" spans="1:6" x14ac:dyDescent="0.35">
      <c r="A657" t="s">
        <v>1014</v>
      </c>
      <c r="B657" t="s">
        <v>934</v>
      </c>
      <c r="C657" s="1">
        <v>45652</v>
      </c>
      <c r="D657">
        <v>480.32</v>
      </c>
      <c r="E657" t="s">
        <v>62</v>
      </c>
      <c r="F657" t="s">
        <v>54</v>
      </c>
    </row>
    <row r="658" spans="1:6" x14ac:dyDescent="0.35">
      <c r="A658" t="s">
        <v>1015</v>
      </c>
      <c r="B658" t="s">
        <v>139</v>
      </c>
      <c r="C658" s="1">
        <v>45635</v>
      </c>
      <c r="D658">
        <v>629.53</v>
      </c>
      <c r="E658" t="s">
        <v>62</v>
      </c>
      <c r="F658" t="s">
        <v>42</v>
      </c>
    </row>
    <row r="659" spans="1:6" x14ac:dyDescent="0.35">
      <c r="A659" t="s">
        <v>1016</v>
      </c>
      <c r="B659" t="s">
        <v>1017</v>
      </c>
      <c r="C659" s="1">
        <v>45387</v>
      </c>
      <c r="D659">
        <v>494.42</v>
      </c>
      <c r="E659" t="s">
        <v>71</v>
      </c>
      <c r="F659" t="s">
        <v>50</v>
      </c>
    </row>
    <row r="660" spans="1:6" x14ac:dyDescent="0.35">
      <c r="A660" t="s">
        <v>1018</v>
      </c>
      <c r="B660" t="s">
        <v>626</v>
      </c>
      <c r="C660" s="1">
        <v>45601</v>
      </c>
      <c r="D660">
        <v>363.64</v>
      </c>
      <c r="E660" t="s">
        <v>68</v>
      </c>
      <c r="F660" t="s">
        <v>52</v>
      </c>
    </row>
    <row r="661" spans="1:6" x14ac:dyDescent="0.35">
      <c r="A661" t="s">
        <v>1019</v>
      </c>
      <c r="B661" t="s">
        <v>80</v>
      </c>
      <c r="C661" s="1">
        <v>45294</v>
      </c>
      <c r="D661">
        <v>140.62</v>
      </c>
      <c r="E661" t="s">
        <v>68</v>
      </c>
      <c r="F661" t="s">
        <v>46</v>
      </c>
    </row>
    <row r="662" spans="1:6" x14ac:dyDescent="0.35">
      <c r="A662" t="s">
        <v>1020</v>
      </c>
      <c r="B662" t="s">
        <v>869</v>
      </c>
      <c r="C662" s="1">
        <v>45536</v>
      </c>
      <c r="D662">
        <v>439.5</v>
      </c>
      <c r="E662" t="s">
        <v>65</v>
      </c>
      <c r="F662" t="s">
        <v>51</v>
      </c>
    </row>
    <row r="663" spans="1:6" x14ac:dyDescent="0.35">
      <c r="A663" t="s">
        <v>1021</v>
      </c>
      <c r="B663" t="s">
        <v>149</v>
      </c>
      <c r="C663" s="1">
        <v>45600</v>
      </c>
      <c r="D663">
        <v>535.08000000000004</v>
      </c>
      <c r="E663" t="s">
        <v>62</v>
      </c>
      <c r="F663" t="s">
        <v>54</v>
      </c>
    </row>
    <row r="664" spans="1:6" x14ac:dyDescent="0.35">
      <c r="A664" t="s">
        <v>1022</v>
      </c>
      <c r="B664" t="s">
        <v>76</v>
      </c>
      <c r="C664" s="1">
        <v>45607</v>
      </c>
      <c r="D664">
        <v>221.13</v>
      </c>
      <c r="E664" t="s">
        <v>65</v>
      </c>
      <c r="F664" t="s">
        <v>51</v>
      </c>
    </row>
    <row r="665" spans="1:6" x14ac:dyDescent="0.35">
      <c r="A665" t="s">
        <v>1023</v>
      </c>
      <c r="B665" t="s">
        <v>387</v>
      </c>
      <c r="C665" s="1">
        <v>45356</v>
      </c>
      <c r="D665">
        <v>103.83</v>
      </c>
      <c r="E665" t="s">
        <v>68</v>
      </c>
      <c r="F665" t="s">
        <v>41</v>
      </c>
    </row>
    <row r="666" spans="1:6" x14ac:dyDescent="0.35">
      <c r="A666" t="s">
        <v>1024</v>
      </c>
      <c r="B666" t="s">
        <v>847</v>
      </c>
      <c r="C666" s="1">
        <v>45300</v>
      </c>
      <c r="D666">
        <v>330.89</v>
      </c>
      <c r="E666" t="s">
        <v>68</v>
      </c>
      <c r="F666" t="s">
        <v>41</v>
      </c>
    </row>
    <row r="667" spans="1:6" x14ac:dyDescent="0.35">
      <c r="A667" t="s">
        <v>1025</v>
      </c>
      <c r="B667" t="s">
        <v>427</v>
      </c>
      <c r="C667" s="1">
        <v>45366</v>
      </c>
      <c r="D667">
        <v>552.89</v>
      </c>
      <c r="E667" t="s">
        <v>71</v>
      </c>
      <c r="F667" t="s">
        <v>29</v>
      </c>
    </row>
    <row r="668" spans="1:6" x14ac:dyDescent="0.35">
      <c r="A668" t="s">
        <v>1026</v>
      </c>
      <c r="B668" t="s">
        <v>292</v>
      </c>
      <c r="C668" s="1">
        <v>45567</v>
      </c>
      <c r="D668">
        <v>508.38</v>
      </c>
      <c r="E668" t="s">
        <v>68</v>
      </c>
      <c r="F668" t="s">
        <v>40</v>
      </c>
    </row>
    <row r="669" spans="1:6" x14ac:dyDescent="0.35">
      <c r="A669" t="s">
        <v>1027</v>
      </c>
      <c r="B669" t="s">
        <v>402</v>
      </c>
      <c r="C669" s="1">
        <v>45367</v>
      </c>
      <c r="D669">
        <v>106.62</v>
      </c>
      <c r="E669" t="s">
        <v>65</v>
      </c>
      <c r="F669" t="s">
        <v>31</v>
      </c>
    </row>
    <row r="670" spans="1:6" x14ac:dyDescent="0.35">
      <c r="A670" t="s">
        <v>1028</v>
      </c>
      <c r="B670" t="s">
        <v>1029</v>
      </c>
      <c r="C670" s="1">
        <v>45370</v>
      </c>
      <c r="D670">
        <v>47.07</v>
      </c>
      <c r="E670" t="s">
        <v>65</v>
      </c>
      <c r="F670" t="s">
        <v>30</v>
      </c>
    </row>
    <row r="671" spans="1:6" x14ac:dyDescent="0.35">
      <c r="A671" t="s">
        <v>1030</v>
      </c>
      <c r="B671" t="s">
        <v>1031</v>
      </c>
      <c r="C671" s="1">
        <v>45522</v>
      </c>
      <c r="D671">
        <v>216.32</v>
      </c>
      <c r="E671" t="s">
        <v>71</v>
      </c>
      <c r="F671" t="s">
        <v>34</v>
      </c>
    </row>
    <row r="672" spans="1:6" x14ac:dyDescent="0.35">
      <c r="A672" t="s">
        <v>1032</v>
      </c>
      <c r="B672" t="s">
        <v>598</v>
      </c>
      <c r="C672" s="1">
        <v>45492</v>
      </c>
      <c r="D672">
        <v>98.14</v>
      </c>
      <c r="E672" t="s">
        <v>62</v>
      </c>
      <c r="F672" t="s">
        <v>36</v>
      </c>
    </row>
    <row r="673" spans="1:6" x14ac:dyDescent="0.35">
      <c r="A673" t="s">
        <v>1033</v>
      </c>
      <c r="B673" t="s">
        <v>473</v>
      </c>
      <c r="C673" s="1">
        <v>45513</v>
      </c>
      <c r="D673">
        <v>390.88</v>
      </c>
      <c r="E673" t="s">
        <v>65</v>
      </c>
      <c r="F673" t="s">
        <v>32</v>
      </c>
    </row>
    <row r="674" spans="1:6" x14ac:dyDescent="0.35">
      <c r="A674" t="s">
        <v>1034</v>
      </c>
      <c r="B674" t="s">
        <v>581</v>
      </c>
      <c r="C674" s="1">
        <v>45575</v>
      </c>
      <c r="D674">
        <v>280.8</v>
      </c>
      <c r="E674" t="s">
        <v>68</v>
      </c>
      <c r="F674" t="s">
        <v>52</v>
      </c>
    </row>
    <row r="675" spans="1:6" x14ac:dyDescent="0.35">
      <c r="A675" t="s">
        <v>1035</v>
      </c>
      <c r="B675" t="s">
        <v>282</v>
      </c>
      <c r="C675" s="1">
        <v>45554</v>
      </c>
      <c r="D675">
        <v>474.29</v>
      </c>
      <c r="E675" t="s">
        <v>65</v>
      </c>
      <c r="F675" t="s">
        <v>48</v>
      </c>
    </row>
    <row r="676" spans="1:6" x14ac:dyDescent="0.35">
      <c r="A676" t="s">
        <v>1036</v>
      </c>
      <c r="B676" t="s">
        <v>373</v>
      </c>
      <c r="C676" s="1">
        <v>45562</v>
      </c>
      <c r="D676">
        <v>229.25</v>
      </c>
      <c r="E676" t="s">
        <v>65</v>
      </c>
      <c r="F676" t="s">
        <v>44</v>
      </c>
    </row>
    <row r="677" spans="1:6" x14ac:dyDescent="0.35">
      <c r="A677" t="s">
        <v>1037</v>
      </c>
      <c r="B677" t="s">
        <v>220</v>
      </c>
      <c r="C677" s="1">
        <v>45324</v>
      </c>
      <c r="D677">
        <v>106.92</v>
      </c>
      <c r="E677" t="s">
        <v>65</v>
      </c>
      <c r="F677" t="s">
        <v>30</v>
      </c>
    </row>
    <row r="678" spans="1:6" x14ac:dyDescent="0.35">
      <c r="A678" t="s">
        <v>1038</v>
      </c>
      <c r="B678" t="s">
        <v>749</v>
      </c>
      <c r="C678" s="1">
        <v>45610</v>
      </c>
      <c r="D678">
        <v>463.97</v>
      </c>
      <c r="E678" t="s">
        <v>62</v>
      </c>
      <c r="F678" t="s">
        <v>37</v>
      </c>
    </row>
    <row r="679" spans="1:6" x14ac:dyDescent="0.35">
      <c r="A679" t="s">
        <v>1039</v>
      </c>
      <c r="B679" t="s">
        <v>721</v>
      </c>
      <c r="C679" s="1">
        <v>45302</v>
      </c>
      <c r="D679">
        <v>153.19999999999999</v>
      </c>
      <c r="E679" t="s">
        <v>62</v>
      </c>
      <c r="F679" t="s">
        <v>43</v>
      </c>
    </row>
    <row r="680" spans="1:6" x14ac:dyDescent="0.35">
      <c r="A680" t="s">
        <v>1040</v>
      </c>
      <c r="B680" t="s">
        <v>646</v>
      </c>
      <c r="C680" s="1">
        <v>45468</v>
      </c>
      <c r="D680">
        <v>170.12</v>
      </c>
      <c r="E680" t="s">
        <v>71</v>
      </c>
      <c r="F680" t="s">
        <v>39</v>
      </c>
    </row>
    <row r="681" spans="1:6" x14ac:dyDescent="0.35">
      <c r="A681" t="s">
        <v>1041</v>
      </c>
      <c r="B681" t="s">
        <v>96</v>
      </c>
      <c r="C681" s="1">
        <v>45642</v>
      </c>
      <c r="D681">
        <v>578.15</v>
      </c>
      <c r="E681" t="s">
        <v>65</v>
      </c>
      <c r="F681" t="s">
        <v>48</v>
      </c>
    </row>
    <row r="682" spans="1:6" x14ac:dyDescent="0.35">
      <c r="A682" t="s">
        <v>1042</v>
      </c>
      <c r="B682" t="s">
        <v>207</v>
      </c>
      <c r="C682" s="1">
        <v>45656</v>
      </c>
      <c r="D682">
        <v>613.84</v>
      </c>
      <c r="E682" t="s">
        <v>65</v>
      </c>
      <c r="F682" t="s">
        <v>51</v>
      </c>
    </row>
    <row r="683" spans="1:6" x14ac:dyDescent="0.35">
      <c r="A683" t="s">
        <v>1043</v>
      </c>
      <c r="B683" t="s">
        <v>76</v>
      </c>
      <c r="C683" s="1">
        <v>45626</v>
      </c>
      <c r="D683">
        <v>632.13</v>
      </c>
      <c r="E683" t="s">
        <v>65</v>
      </c>
      <c r="F683" t="s">
        <v>51</v>
      </c>
    </row>
    <row r="684" spans="1:6" x14ac:dyDescent="0.35">
      <c r="A684" t="s">
        <v>1044</v>
      </c>
      <c r="B684" t="s">
        <v>216</v>
      </c>
      <c r="C684" s="1">
        <v>45374</v>
      </c>
      <c r="D684">
        <v>459.78</v>
      </c>
      <c r="E684" t="s">
        <v>71</v>
      </c>
      <c r="F684" t="s">
        <v>35</v>
      </c>
    </row>
    <row r="685" spans="1:6" x14ac:dyDescent="0.35">
      <c r="A685" t="s">
        <v>1045</v>
      </c>
      <c r="B685" t="s">
        <v>450</v>
      </c>
      <c r="C685" s="1">
        <v>45336</v>
      </c>
      <c r="D685">
        <v>141.57</v>
      </c>
      <c r="E685" t="s">
        <v>65</v>
      </c>
      <c r="F685" t="s">
        <v>48</v>
      </c>
    </row>
    <row r="686" spans="1:6" x14ac:dyDescent="0.35">
      <c r="A686" t="s">
        <v>1046</v>
      </c>
      <c r="B686" t="s">
        <v>927</v>
      </c>
      <c r="C686" s="1">
        <v>45372</v>
      </c>
      <c r="D686">
        <v>522.99</v>
      </c>
      <c r="E686" t="s">
        <v>65</v>
      </c>
      <c r="F686" t="s">
        <v>31</v>
      </c>
    </row>
    <row r="687" spans="1:6" x14ac:dyDescent="0.35">
      <c r="A687" t="s">
        <v>1047</v>
      </c>
      <c r="B687" t="s">
        <v>197</v>
      </c>
      <c r="C687" s="1">
        <v>45544</v>
      </c>
      <c r="D687">
        <v>377.45</v>
      </c>
      <c r="E687" t="s">
        <v>71</v>
      </c>
      <c r="F687" t="s">
        <v>34</v>
      </c>
    </row>
    <row r="688" spans="1:6" x14ac:dyDescent="0.35">
      <c r="A688" t="s">
        <v>1048</v>
      </c>
      <c r="B688" t="s">
        <v>704</v>
      </c>
      <c r="C688" s="1">
        <v>45301</v>
      </c>
      <c r="D688">
        <v>451.31</v>
      </c>
      <c r="E688" t="s">
        <v>62</v>
      </c>
      <c r="F688" t="s">
        <v>42</v>
      </c>
    </row>
    <row r="689" spans="1:6" x14ac:dyDescent="0.35">
      <c r="A689" t="s">
        <v>1049</v>
      </c>
      <c r="B689" t="s">
        <v>126</v>
      </c>
      <c r="C689" s="1">
        <v>45381</v>
      </c>
      <c r="D689">
        <v>242.71</v>
      </c>
      <c r="E689" t="s">
        <v>68</v>
      </c>
      <c r="F689" t="s">
        <v>46</v>
      </c>
    </row>
    <row r="690" spans="1:6" x14ac:dyDescent="0.35">
      <c r="A690" t="s">
        <v>1050</v>
      </c>
      <c r="B690" t="s">
        <v>114</v>
      </c>
      <c r="C690" s="1">
        <v>45350</v>
      </c>
      <c r="D690">
        <v>380.62</v>
      </c>
      <c r="E690" t="s">
        <v>71</v>
      </c>
      <c r="F690" t="s">
        <v>50</v>
      </c>
    </row>
    <row r="691" spans="1:6" x14ac:dyDescent="0.35">
      <c r="A691" t="s">
        <v>1051</v>
      </c>
      <c r="B691" t="s">
        <v>626</v>
      </c>
      <c r="C691" s="1">
        <v>45541</v>
      </c>
      <c r="D691">
        <v>253.47</v>
      </c>
      <c r="E691" t="s">
        <v>62</v>
      </c>
      <c r="F691" t="s">
        <v>38</v>
      </c>
    </row>
    <row r="692" spans="1:6" x14ac:dyDescent="0.35">
      <c r="A692" t="s">
        <v>1052</v>
      </c>
      <c r="B692" t="s">
        <v>156</v>
      </c>
      <c r="C692" s="1">
        <v>45315</v>
      </c>
      <c r="D692">
        <v>559.85</v>
      </c>
      <c r="E692" t="s">
        <v>62</v>
      </c>
      <c r="F692" t="s">
        <v>47</v>
      </c>
    </row>
    <row r="693" spans="1:6" x14ac:dyDescent="0.35">
      <c r="A693" t="s">
        <v>1053</v>
      </c>
      <c r="B693" t="s">
        <v>171</v>
      </c>
      <c r="C693" s="1">
        <v>45555</v>
      </c>
      <c r="D693">
        <v>66.010000000000005</v>
      </c>
      <c r="E693" t="s">
        <v>68</v>
      </c>
      <c r="F693" t="s">
        <v>33</v>
      </c>
    </row>
    <row r="694" spans="1:6" x14ac:dyDescent="0.35">
      <c r="A694" t="s">
        <v>1054</v>
      </c>
      <c r="B694" t="s">
        <v>128</v>
      </c>
      <c r="C694" s="1">
        <v>45516</v>
      </c>
      <c r="D694">
        <v>515.72</v>
      </c>
      <c r="E694" t="s">
        <v>68</v>
      </c>
      <c r="F694" t="s">
        <v>46</v>
      </c>
    </row>
    <row r="695" spans="1:6" x14ac:dyDescent="0.35">
      <c r="A695" t="s">
        <v>1055</v>
      </c>
      <c r="B695" t="s">
        <v>507</v>
      </c>
      <c r="C695" s="1">
        <v>45604</v>
      </c>
      <c r="D695">
        <v>99.83</v>
      </c>
      <c r="E695" t="s">
        <v>68</v>
      </c>
      <c r="F695" t="s">
        <v>45</v>
      </c>
    </row>
    <row r="696" spans="1:6" x14ac:dyDescent="0.35">
      <c r="A696" t="s">
        <v>1056</v>
      </c>
      <c r="B696" t="s">
        <v>818</v>
      </c>
      <c r="C696" s="1">
        <v>45614</v>
      </c>
      <c r="D696">
        <v>131.58000000000001</v>
      </c>
      <c r="E696" t="s">
        <v>71</v>
      </c>
      <c r="F696" t="s">
        <v>35</v>
      </c>
    </row>
    <row r="697" spans="1:6" x14ac:dyDescent="0.35">
      <c r="A697" t="s">
        <v>1057</v>
      </c>
      <c r="B697" t="s">
        <v>183</v>
      </c>
      <c r="C697" s="1">
        <v>45441</v>
      </c>
      <c r="D697">
        <v>570.35</v>
      </c>
      <c r="E697" t="s">
        <v>65</v>
      </c>
      <c r="F697" t="s">
        <v>32</v>
      </c>
    </row>
    <row r="698" spans="1:6" x14ac:dyDescent="0.35">
      <c r="A698" t="s">
        <v>1058</v>
      </c>
      <c r="B698" t="s">
        <v>618</v>
      </c>
      <c r="C698" s="1">
        <v>45370</v>
      </c>
      <c r="D698">
        <v>538.78</v>
      </c>
      <c r="E698" t="s">
        <v>62</v>
      </c>
      <c r="F698" t="s">
        <v>42</v>
      </c>
    </row>
    <row r="699" spans="1:6" x14ac:dyDescent="0.35">
      <c r="A699" t="s">
        <v>1059</v>
      </c>
      <c r="B699" t="s">
        <v>278</v>
      </c>
      <c r="C699" s="1">
        <v>45354</v>
      </c>
      <c r="D699">
        <v>508.07</v>
      </c>
      <c r="E699" t="s">
        <v>65</v>
      </c>
      <c r="F699" t="s">
        <v>30</v>
      </c>
    </row>
    <row r="700" spans="1:6" x14ac:dyDescent="0.35">
      <c r="A700" t="s">
        <v>1060</v>
      </c>
      <c r="B700" t="s">
        <v>574</v>
      </c>
      <c r="C700" s="1">
        <v>45295</v>
      </c>
      <c r="D700">
        <v>211.36</v>
      </c>
      <c r="E700" t="s">
        <v>65</v>
      </c>
      <c r="F700" t="s">
        <v>53</v>
      </c>
    </row>
    <row r="701" spans="1:6" x14ac:dyDescent="0.35">
      <c r="A701" t="s">
        <v>1061</v>
      </c>
      <c r="B701" t="s">
        <v>181</v>
      </c>
      <c r="C701" s="1">
        <v>45379</v>
      </c>
      <c r="D701">
        <v>474.85</v>
      </c>
      <c r="E701" t="s">
        <v>62</v>
      </c>
      <c r="F701" t="s">
        <v>42</v>
      </c>
    </row>
    <row r="702" spans="1:6" x14ac:dyDescent="0.35">
      <c r="A702" t="s">
        <v>1062</v>
      </c>
      <c r="B702" t="s">
        <v>76</v>
      </c>
      <c r="C702" s="1">
        <v>45504</v>
      </c>
      <c r="D702">
        <v>498.22</v>
      </c>
      <c r="E702" t="s">
        <v>71</v>
      </c>
      <c r="F702" t="s">
        <v>34</v>
      </c>
    </row>
    <row r="703" spans="1:6" x14ac:dyDescent="0.35">
      <c r="A703" t="s">
        <v>1063</v>
      </c>
      <c r="B703" t="s">
        <v>1064</v>
      </c>
      <c r="C703" s="1">
        <v>45563</v>
      </c>
      <c r="D703">
        <v>528.09</v>
      </c>
      <c r="E703" t="s">
        <v>71</v>
      </c>
      <c r="F703" t="s">
        <v>34</v>
      </c>
    </row>
    <row r="704" spans="1:6" x14ac:dyDescent="0.35">
      <c r="A704" t="s">
        <v>1065</v>
      </c>
      <c r="B704" t="s">
        <v>404</v>
      </c>
      <c r="C704" s="1">
        <v>45503</v>
      </c>
      <c r="D704">
        <v>352.44</v>
      </c>
      <c r="E704" t="s">
        <v>65</v>
      </c>
      <c r="F704" t="s">
        <v>51</v>
      </c>
    </row>
    <row r="705" spans="1:6" x14ac:dyDescent="0.35">
      <c r="A705" t="s">
        <v>1066</v>
      </c>
      <c r="B705" t="s">
        <v>815</v>
      </c>
      <c r="C705" s="1">
        <v>45641</v>
      </c>
      <c r="D705">
        <v>124.53</v>
      </c>
      <c r="E705" t="s">
        <v>68</v>
      </c>
      <c r="F705" t="s">
        <v>52</v>
      </c>
    </row>
    <row r="706" spans="1:6" x14ac:dyDescent="0.35">
      <c r="A706" t="s">
        <v>1067</v>
      </c>
      <c r="B706" t="s">
        <v>74</v>
      </c>
      <c r="C706" s="1">
        <v>45297</v>
      </c>
      <c r="D706">
        <v>243.06</v>
      </c>
      <c r="E706" t="s">
        <v>68</v>
      </c>
      <c r="F706" t="s">
        <v>46</v>
      </c>
    </row>
    <row r="707" spans="1:6" x14ac:dyDescent="0.35">
      <c r="A707" t="s">
        <v>1068</v>
      </c>
      <c r="B707" t="s">
        <v>672</v>
      </c>
      <c r="C707" s="1">
        <v>45497</v>
      </c>
      <c r="D707">
        <v>276.86</v>
      </c>
      <c r="E707" t="s">
        <v>65</v>
      </c>
      <c r="F707" t="s">
        <v>31</v>
      </c>
    </row>
    <row r="708" spans="1:6" x14ac:dyDescent="0.35">
      <c r="A708" t="s">
        <v>1069</v>
      </c>
      <c r="B708" t="s">
        <v>643</v>
      </c>
      <c r="C708" s="1">
        <v>45310</v>
      </c>
      <c r="D708">
        <v>70.55</v>
      </c>
      <c r="E708" t="s">
        <v>71</v>
      </c>
      <c r="F708" t="s">
        <v>39</v>
      </c>
    </row>
    <row r="709" spans="1:6" x14ac:dyDescent="0.35">
      <c r="A709" t="s">
        <v>1070</v>
      </c>
      <c r="B709" t="s">
        <v>643</v>
      </c>
      <c r="C709" s="1">
        <v>45615</v>
      </c>
      <c r="D709">
        <v>282.23</v>
      </c>
      <c r="E709" t="s">
        <v>62</v>
      </c>
      <c r="F709" t="s">
        <v>37</v>
      </c>
    </row>
    <row r="710" spans="1:6" x14ac:dyDescent="0.35">
      <c r="A710" t="s">
        <v>1071</v>
      </c>
      <c r="B710" t="s">
        <v>263</v>
      </c>
      <c r="C710" s="1">
        <v>45640</v>
      </c>
      <c r="D710">
        <v>491.76</v>
      </c>
      <c r="E710" t="s">
        <v>62</v>
      </c>
      <c r="F710" t="s">
        <v>43</v>
      </c>
    </row>
    <row r="711" spans="1:6" x14ac:dyDescent="0.35">
      <c r="A711" t="s">
        <v>1072</v>
      </c>
      <c r="B711" t="s">
        <v>130</v>
      </c>
      <c r="C711" s="1">
        <v>45468</v>
      </c>
      <c r="D711">
        <v>410.4</v>
      </c>
      <c r="E711" t="s">
        <v>62</v>
      </c>
      <c r="F711" t="s">
        <v>54</v>
      </c>
    </row>
    <row r="712" spans="1:6" x14ac:dyDescent="0.35">
      <c r="A712" t="s">
        <v>1073</v>
      </c>
      <c r="B712" t="s">
        <v>1074</v>
      </c>
      <c r="C712" s="1">
        <v>45367</v>
      </c>
      <c r="D712">
        <v>161.16</v>
      </c>
      <c r="E712" t="s">
        <v>65</v>
      </c>
      <c r="F712" t="s">
        <v>32</v>
      </c>
    </row>
    <row r="713" spans="1:6" x14ac:dyDescent="0.35">
      <c r="A713" t="s">
        <v>1075</v>
      </c>
      <c r="B713" t="s">
        <v>901</v>
      </c>
      <c r="C713" s="1">
        <v>45570</v>
      </c>
      <c r="D713">
        <v>247.33</v>
      </c>
      <c r="E713" t="s">
        <v>65</v>
      </c>
      <c r="F713" t="s">
        <v>32</v>
      </c>
    </row>
    <row r="714" spans="1:6" x14ac:dyDescent="0.35">
      <c r="A714" t="s">
        <v>1076</v>
      </c>
      <c r="B714" t="s">
        <v>168</v>
      </c>
      <c r="C714" s="1">
        <v>45624</v>
      </c>
      <c r="D714">
        <v>86.83</v>
      </c>
      <c r="E714" t="s">
        <v>71</v>
      </c>
      <c r="F714" t="s">
        <v>35</v>
      </c>
    </row>
    <row r="715" spans="1:6" x14ac:dyDescent="0.35">
      <c r="A715" t="s">
        <v>1077</v>
      </c>
      <c r="B715" t="s">
        <v>486</v>
      </c>
      <c r="C715" s="1">
        <v>45567</v>
      </c>
      <c r="D715">
        <v>477.11</v>
      </c>
      <c r="E715" t="s">
        <v>65</v>
      </c>
      <c r="F715" t="s">
        <v>32</v>
      </c>
    </row>
    <row r="716" spans="1:6" x14ac:dyDescent="0.35">
      <c r="A716" t="s">
        <v>1078</v>
      </c>
      <c r="B716" t="s">
        <v>240</v>
      </c>
      <c r="C716" s="1">
        <v>45356</v>
      </c>
      <c r="D716">
        <v>92.08</v>
      </c>
      <c r="E716" t="s">
        <v>62</v>
      </c>
      <c r="F716" t="s">
        <v>47</v>
      </c>
    </row>
    <row r="717" spans="1:6" x14ac:dyDescent="0.35">
      <c r="A717" t="s">
        <v>1079</v>
      </c>
      <c r="B717" t="s">
        <v>1080</v>
      </c>
      <c r="C717" s="1">
        <v>45574</v>
      </c>
      <c r="D717">
        <v>425.95</v>
      </c>
      <c r="E717" t="s">
        <v>62</v>
      </c>
      <c r="F717" t="s">
        <v>38</v>
      </c>
    </row>
    <row r="718" spans="1:6" x14ac:dyDescent="0.35">
      <c r="A718" t="s">
        <v>1081</v>
      </c>
      <c r="B718" t="s">
        <v>98</v>
      </c>
      <c r="C718" s="1">
        <v>45303</v>
      </c>
      <c r="D718">
        <v>546.82000000000005</v>
      </c>
      <c r="E718" t="s">
        <v>62</v>
      </c>
      <c r="F718" t="s">
        <v>47</v>
      </c>
    </row>
    <row r="719" spans="1:6" x14ac:dyDescent="0.35">
      <c r="A719" t="s">
        <v>1082</v>
      </c>
      <c r="B719" t="s">
        <v>912</v>
      </c>
      <c r="C719" s="1">
        <v>45447</v>
      </c>
      <c r="D719">
        <v>71.87</v>
      </c>
      <c r="E719" t="s">
        <v>68</v>
      </c>
      <c r="F719" t="s">
        <v>33</v>
      </c>
    </row>
    <row r="720" spans="1:6" x14ac:dyDescent="0.35">
      <c r="A720" t="s">
        <v>1083</v>
      </c>
      <c r="B720" t="s">
        <v>626</v>
      </c>
      <c r="C720" s="1">
        <v>45482</v>
      </c>
      <c r="D720">
        <v>64.36</v>
      </c>
      <c r="E720" t="s">
        <v>62</v>
      </c>
      <c r="F720" t="s">
        <v>36</v>
      </c>
    </row>
    <row r="721" spans="1:6" x14ac:dyDescent="0.35">
      <c r="A721" t="s">
        <v>1084</v>
      </c>
      <c r="B721" t="s">
        <v>827</v>
      </c>
      <c r="C721" s="1">
        <v>45625</v>
      </c>
      <c r="D721">
        <v>387.05</v>
      </c>
      <c r="E721" t="s">
        <v>65</v>
      </c>
      <c r="F721" t="s">
        <v>53</v>
      </c>
    </row>
    <row r="722" spans="1:6" x14ac:dyDescent="0.35">
      <c r="A722" t="s">
        <v>1085</v>
      </c>
      <c r="B722" t="s">
        <v>529</v>
      </c>
      <c r="C722" s="1">
        <v>45294</v>
      </c>
      <c r="D722">
        <v>530.30999999999995</v>
      </c>
      <c r="E722" t="s">
        <v>62</v>
      </c>
      <c r="F722" t="s">
        <v>47</v>
      </c>
    </row>
    <row r="723" spans="1:6" x14ac:dyDescent="0.35">
      <c r="A723" t="s">
        <v>1086</v>
      </c>
      <c r="B723" t="s">
        <v>329</v>
      </c>
      <c r="C723" s="1">
        <v>45589</v>
      </c>
      <c r="D723">
        <v>219.01</v>
      </c>
      <c r="E723" t="s">
        <v>71</v>
      </c>
      <c r="F723" t="s">
        <v>35</v>
      </c>
    </row>
    <row r="724" spans="1:6" x14ac:dyDescent="0.35">
      <c r="A724" t="s">
        <v>1087</v>
      </c>
      <c r="B724" t="s">
        <v>516</v>
      </c>
      <c r="C724" s="1">
        <v>45633</v>
      </c>
      <c r="D724">
        <v>267.26</v>
      </c>
      <c r="E724" t="s">
        <v>71</v>
      </c>
      <c r="F724" t="s">
        <v>49</v>
      </c>
    </row>
    <row r="725" spans="1:6" x14ac:dyDescent="0.35">
      <c r="A725" t="s">
        <v>1088</v>
      </c>
      <c r="B725" t="s">
        <v>1089</v>
      </c>
      <c r="C725" s="1">
        <v>45418</v>
      </c>
      <c r="D725">
        <v>393.16</v>
      </c>
      <c r="E725" t="s">
        <v>62</v>
      </c>
      <c r="F725" t="s">
        <v>54</v>
      </c>
    </row>
    <row r="726" spans="1:6" x14ac:dyDescent="0.35">
      <c r="A726" t="s">
        <v>1090</v>
      </c>
      <c r="B726" t="s">
        <v>529</v>
      </c>
      <c r="C726" s="1">
        <v>45476</v>
      </c>
      <c r="D726">
        <v>472.66</v>
      </c>
      <c r="E726" t="s">
        <v>68</v>
      </c>
      <c r="F726" t="s">
        <v>41</v>
      </c>
    </row>
    <row r="727" spans="1:6" x14ac:dyDescent="0.35">
      <c r="A727" t="s">
        <v>1091</v>
      </c>
      <c r="B727" t="s">
        <v>227</v>
      </c>
      <c r="C727" s="1">
        <v>45502</v>
      </c>
      <c r="D727">
        <v>296.31</v>
      </c>
      <c r="E727" t="s">
        <v>68</v>
      </c>
      <c r="F727" t="s">
        <v>46</v>
      </c>
    </row>
    <row r="728" spans="1:6" x14ac:dyDescent="0.35">
      <c r="A728" t="s">
        <v>1092</v>
      </c>
      <c r="B728" t="s">
        <v>186</v>
      </c>
      <c r="C728" s="1">
        <v>45358</v>
      </c>
      <c r="D728">
        <v>83.01</v>
      </c>
      <c r="E728" t="s">
        <v>71</v>
      </c>
      <c r="F728" t="s">
        <v>29</v>
      </c>
    </row>
    <row r="729" spans="1:6" x14ac:dyDescent="0.35">
      <c r="A729" t="s">
        <v>1093</v>
      </c>
      <c r="B729" t="s">
        <v>359</v>
      </c>
      <c r="C729" s="1">
        <v>45638</v>
      </c>
      <c r="D729">
        <v>378.77</v>
      </c>
      <c r="E729" t="s">
        <v>65</v>
      </c>
      <c r="F729" t="s">
        <v>44</v>
      </c>
    </row>
    <row r="730" spans="1:6" x14ac:dyDescent="0.35">
      <c r="A730" t="s">
        <v>1094</v>
      </c>
      <c r="B730" t="s">
        <v>1095</v>
      </c>
      <c r="C730" s="1">
        <v>45494</v>
      </c>
      <c r="D730">
        <v>295.39999999999998</v>
      </c>
      <c r="E730" t="s">
        <v>65</v>
      </c>
      <c r="F730" t="s">
        <v>32</v>
      </c>
    </row>
    <row r="731" spans="1:6" x14ac:dyDescent="0.35">
      <c r="A731" t="s">
        <v>1096</v>
      </c>
      <c r="B731" t="s">
        <v>658</v>
      </c>
      <c r="C731" s="1">
        <v>45517</v>
      </c>
      <c r="D731">
        <v>135.15</v>
      </c>
      <c r="E731" t="s">
        <v>65</v>
      </c>
      <c r="F731" t="s">
        <v>51</v>
      </c>
    </row>
    <row r="732" spans="1:6" x14ac:dyDescent="0.35">
      <c r="A732" t="s">
        <v>1097</v>
      </c>
      <c r="B732" t="s">
        <v>552</v>
      </c>
      <c r="C732" s="1">
        <v>45550</v>
      </c>
      <c r="D732">
        <v>316.49</v>
      </c>
      <c r="E732" t="s">
        <v>65</v>
      </c>
      <c r="F732" t="s">
        <v>32</v>
      </c>
    </row>
    <row r="733" spans="1:6" x14ac:dyDescent="0.35">
      <c r="A733" t="s">
        <v>1098</v>
      </c>
      <c r="B733" t="s">
        <v>92</v>
      </c>
      <c r="C733" s="1">
        <v>45652</v>
      </c>
      <c r="D733">
        <v>165.78</v>
      </c>
      <c r="E733" t="s">
        <v>68</v>
      </c>
      <c r="F733" t="s">
        <v>33</v>
      </c>
    </row>
    <row r="734" spans="1:6" x14ac:dyDescent="0.35">
      <c r="A734" t="s">
        <v>1099</v>
      </c>
      <c r="B734" t="s">
        <v>593</v>
      </c>
      <c r="C734" s="1">
        <v>45534</v>
      </c>
      <c r="D734">
        <v>262.14</v>
      </c>
      <c r="E734" t="s">
        <v>71</v>
      </c>
      <c r="F734" t="s">
        <v>39</v>
      </c>
    </row>
    <row r="735" spans="1:6" x14ac:dyDescent="0.35">
      <c r="A735" t="s">
        <v>1100</v>
      </c>
      <c r="B735" t="s">
        <v>1101</v>
      </c>
      <c r="C735" s="1">
        <v>45352</v>
      </c>
      <c r="D735">
        <v>109.33</v>
      </c>
      <c r="E735" t="s">
        <v>65</v>
      </c>
      <c r="F735" t="s">
        <v>31</v>
      </c>
    </row>
    <row r="736" spans="1:6" x14ac:dyDescent="0.35">
      <c r="A736" t="s">
        <v>1102</v>
      </c>
      <c r="B736" t="s">
        <v>581</v>
      </c>
      <c r="C736" s="1">
        <v>45584</v>
      </c>
      <c r="D736">
        <v>129.28</v>
      </c>
      <c r="E736" t="s">
        <v>68</v>
      </c>
      <c r="F736" t="s">
        <v>45</v>
      </c>
    </row>
    <row r="737" spans="1:6" x14ac:dyDescent="0.35">
      <c r="A737" t="s">
        <v>1103</v>
      </c>
      <c r="B737" t="s">
        <v>353</v>
      </c>
      <c r="C737" s="1">
        <v>45482</v>
      </c>
      <c r="D737">
        <v>215.8</v>
      </c>
      <c r="E737" t="s">
        <v>62</v>
      </c>
      <c r="F737" t="s">
        <v>42</v>
      </c>
    </row>
    <row r="738" spans="1:6" x14ac:dyDescent="0.35">
      <c r="A738" t="s">
        <v>1104</v>
      </c>
      <c r="B738" t="s">
        <v>562</v>
      </c>
      <c r="C738" s="1">
        <v>45306</v>
      </c>
      <c r="D738">
        <v>294.38</v>
      </c>
      <c r="E738" t="s">
        <v>71</v>
      </c>
      <c r="F738" t="s">
        <v>39</v>
      </c>
    </row>
    <row r="739" spans="1:6" x14ac:dyDescent="0.35">
      <c r="A739" t="s">
        <v>1105</v>
      </c>
      <c r="B739" t="s">
        <v>1106</v>
      </c>
      <c r="C739" s="1">
        <v>45448</v>
      </c>
      <c r="D739">
        <v>538.76</v>
      </c>
      <c r="E739" t="s">
        <v>71</v>
      </c>
      <c r="F739" t="s">
        <v>34</v>
      </c>
    </row>
    <row r="740" spans="1:6" x14ac:dyDescent="0.35">
      <c r="A740" t="s">
        <v>1107</v>
      </c>
      <c r="B740" t="s">
        <v>439</v>
      </c>
      <c r="C740" s="1">
        <v>45542</v>
      </c>
      <c r="D740">
        <v>249.42</v>
      </c>
      <c r="E740" t="s">
        <v>68</v>
      </c>
      <c r="F740" t="s">
        <v>45</v>
      </c>
    </row>
    <row r="741" spans="1:6" x14ac:dyDescent="0.35">
      <c r="A741" t="s">
        <v>1108</v>
      </c>
      <c r="B741" t="s">
        <v>793</v>
      </c>
      <c r="C741" s="1">
        <v>45314</v>
      </c>
      <c r="D741">
        <v>225.47</v>
      </c>
      <c r="E741" t="s">
        <v>65</v>
      </c>
      <c r="F741" t="s">
        <v>44</v>
      </c>
    </row>
    <row r="742" spans="1:6" x14ac:dyDescent="0.35">
      <c r="A742" t="s">
        <v>1109</v>
      </c>
      <c r="B742" t="s">
        <v>1110</v>
      </c>
      <c r="C742" s="1">
        <v>45523</v>
      </c>
      <c r="D742">
        <v>548.19000000000005</v>
      </c>
      <c r="E742" t="s">
        <v>65</v>
      </c>
      <c r="F742" t="s">
        <v>30</v>
      </c>
    </row>
    <row r="743" spans="1:6" x14ac:dyDescent="0.35">
      <c r="A743" t="s">
        <v>1111</v>
      </c>
      <c r="B743" t="s">
        <v>384</v>
      </c>
      <c r="C743" s="1">
        <v>45602</v>
      </c>
      <c r="D743">
        <v>426.42</v>
      </c>
      <c r="E743" t="s">
        <v>71</v>
      </c>
      <c r="F743" t="s">
        <v>39</v>
      </c>
    </row>
    <row r="744" spans="1:6" x14ac:dyDescent="0.35">
      <c r="A744" t="s">
        <v>1112</v>
      </c>
      <c r="B744" t="s">
        <v>450</v>
      </c>
      <c r="C744" s="1">
        <v>45522</v>
      </c>
      <c r="D744">
        <v>567.79999999999995</v>
      </c>
      <c r="E744" t="s">
        <v>65</v>
      </c>
      <c r="F744" t="s">
        <v>48</v>
      </c>
    </row>
    <row r="745" spans="1:6" x14ac:dyDescent="0.35">
      <c r="A745" t="s">
        <v>1113</v>
      </c>
      <c r="B745" t="s">
        <v>368</v>
      </c>
      <c r="C745" s="1">
        <v>45458</v>
      </c>
      <c r="D745">
        <v>178.19</v>
      </c>
      <c r="E745" t="s">
        <v>65</v>
      </c>
      <c r="F745" t="s">
        <v>30</v>
      </c>
    </row>
    <row r="746" spans="1:6" x14ac:dyDescent="0.35">
      <c r="A746" t="s">
        <v>1114</v>
      </c>
      <c r="B746" t="s">
        <v>96</v>
      </c>
      <c r="C746" s="1">
        <v>45494</v>
      </c>
      <c r="D746">
        <v>582.38</v>
      </c>
      <c r="E746" t="s">
        <v>68</v>
      </c>
      <c r="F746" t="s">
        <v>33</v>
      </c>
    </row>
    <row r="747" spans="1:6" x14ac:dyDescent="0.35">
      <c r="A747" t="s">
        <v>1115</v>
      </c>
      <c r="B747" t="s">
        <v>749</v>
      </c>
      <c r="C747" s="1">
        <v>45434</v>
      </c>
      <c r="D747">
        <v>469.93</v>
      </c>
      <c r="E747" t="s">
        <v>68</v>
      </c>
      <c r="F747" t="s">
        <v>41</v>
      </c>
    </row>
    <row r="748" spans="1:6" x14ac:dyDescent="0.35">
      <c r="A748" t="s">
        <v>1116</v>
      </c>
      <c r="B748" t="s">
        <v>522</v>
      </c>
      <c r="C748" s="1">
        <v>45584</v>
      </c>
      <c r="D748">
        <v>431.77</v>
      </c>
      <c r="E748" t="s">
        <v>62</v>
      </c>
      <c r="F748" t="s">
        <v>54</v>
      </c>
    </row>
    <row r="749" spans="1:6" x14ac:dyDescent="0.35">
      <c r="A749" t="s">
        <v>1117</v>
      </c>
      <c r="B749" t="s">
        <v>90</v>
      </c>
      <c r="C749" s="1">
        <v>45621</v>
      </c>
      <c r="D749">
        <v>622.42999999999995</v>
      </c>
      <c r="E749" t="s">
        <v>68</v>
      </c>
      <c r="F749" t="s">
        <v>41</v>
      </c>
    </row>
    <row r="750" spans="1:6" x14ac:dyDescent="0.35">
      <c r="A750" t="s">
        <v>1118</v>
      </c>
      <c r="B750" t="s">
        <v>322</v>
      </c>
      <c r="C750" s="1">
        <v>45569</v>
      </c>
      <c r="D750">
        <v>355.88</v>
      </c>
      <c r="E750" t="s">
        <v>68</v>
      </c>
      <c r="F750" t="s">
        <v>45</v>
      </c>
    </row>
    <row r="751" spans="1:6" x14ac:dyDescent="0.35">
      <c r="A751" t="s">
        <v>1119</v>
      </c>
      <c r="B751" t="s">
        <v>126</v>
      </c>
      <c r="C751" s="1">
        <v>45535</v>
      </c>
      <c r="D751">
        <v>439.83</v>
      </c>
      <c r="E751" t="s">
        <v>68</v>
      </c>
      <c r="F751" t="s">
        <v>46</v>
      </c>
    </row>
    <row r="752" spans="1:6" x14ac:dyDescent="0.35">
      <c r="A752" t="s">
        <v>1120</v>
      </c>
      <c r="B752" t="s">
        <v>609</v>
      </c>
      <c r="C752" s="1">
        <v>45564</v>
      </c>
      <c r="D752">
        <v>518.86</v>
      </c>
      <c r="E752" t="s">
        <v>68</v>
      </c>
      <c r="F752" t="s">
        <v>40</v>
      </c>
    </row>
    <row r="753" spans="1:6" x14ac:dyDescent="0.35">
      <c r="A753" t="s">
        <v>1121</v>
      </c>
      <c r="B753" t="s">
        <v>830</v>
      </c>
      <c r="C753" s="1">
        <v>45417</v>
      </c>
      <c r="D753">
        <v>531.26</v>
      </c>
      <c r="E753" t="s">
        <v>65</v>
      </c>
      <c r="F753" t="s">
        <v>31</v>
      </c>
    </row>
    <row r="754" spans="1:6" x14ac:dyDescent="0.35">
      <c r="A754" t="s">
        <v>1122</v>
      </c>
      <c r="B754" t="s">
        <v>1123</v>
      </c>
      <c r="C754" s="1">
        <v>45602</v>
      </c>
      <c r="D754">
        <v>62.66</v>
      </c>
      <c r="E754" t="s">
        <v>65</v>
      </c>
      <c r="F754" t="s">
        <v>44</v>
      </c>
    </row>
    <row r="755" spans="1:6" x14ac:dyDescent="0.35">
      <c r="A755" t="s">
        <v>1124</v>
      </c>
      <c r="B755" t="s">
        <v>1125</v>
      </c>
      <c r="C755" s="1">
        <v>45303</v>
      </c>
      <c r="D755">
        <v>290.19</v>
      </c>
      <c r="E755" t="s">
        <v>65</v>
      </c>
      <c r="F755" t="s">
        <v>48</v>
      </c>
    </row>
    <row r="756" spans="1:6" x14ac:dyDescent="0.35">
      <c r="A756" t="s">
        <v>1126</v>
      </c>
      <c r="B756" t="s">
        <v>760</v>
      </c>
      <c r="C756" s="1">
        <v>45562</v>
      </c>
      <c r="D756">
        <v>90.98</v>
      </c>
      <c r="E756" t="s">
        <v>65</v>
      </c>
      <c r="F756" t="s">
        <v>53</v>
      </c>
    </row>
    <row r="757" spans="1:6" x14ac:dyDescent="0.35">
      <c r="A757" t="s">
        <v>1127</v>
      </c>
      <c r="B757" t="s">
        <v>259</v>
      </c>
      <c r="C757" s="1">
        <v>45342</v>
      </c>
      <c r="D757">
        <v>123.58</v>
      </c>
      <c r="E757" t="s">
        <v>71</v>
      </c>
      <c r="F757" t="s">
        <v>35</v>
      </c>
    </row>
    <row r="758" spans="1:6" x14ac:dyDescent="0.35">
      <c r="A758" t="s">
        <v>1128</v>
      </c>
      <c r="B758" t="s">
        <v>368</v>
      </c>
      <c r="C758" s="1">
        <v>45422</v>
      </c>
      <c r="D758">
        <v>620.58000000000004</v>
      </c>
      <c r="E758" t="s">
        <v>71</v>
      </c>
      <c r="F758" t="s">
        <v>35</v>
      </c>
    </row>
    <row r="759" spans="1:6" x14ac:dyDescent="0.35">
      <c r="A759" t="s">
        <v>1129</v>
      </c>
      <c r="B759" t="s">
        <v>584</v>
      </c>
      <c r="C759" s="1">
        <v>45639</v>
      </c>
      <c r="D759">
        <v>626.09</v>
      </c>
      <c r="E759" t="s">
        <v>68</v>
      </c>
      <c r="F759" t="s">
        <v>45</v>
      </c>
    </row>
    <row r="760" spans="1:6" x14ac:dyDescent="0.35">
      <c r="A760" t="s">
        <v>1130</v>
      </c>
      <c r="B760" t="s">
        <v>396</v>
      </c>
      <c r="C760" s="1">
        <v>45384</v>
      </c>
      <c r="D760">
        <v>274.81</v>
      </c>
      <c r="E760" t="s">
        <v>68</v>
      </c>
      <c r="F760" t="s">
        <v>40</v>
      </c>
    </row>
    <row r="761" spans="1:6" x14ac:dyDescent="0.35">
      <c r="A761" t="s">
        <v>1131</v>
      </c>
      <c r="B761" t="s">
        <v>670</v>
      </c>
      <c r="C761" s="1">
        <v>45455</v>
      </c>
      <c r="D761">
        <v>193.63</v>
      </c>
      <c r="E761" t="s">
        <v>65</v>
      </c>
      <c r="F761" t="s">
        <v>53</v>
      </c>
    </row>
    <row r="762" spans="1:6" x14ac:dyDescent="0.35">
      <c r="A762" t="s">
        <v>1132</v>
      </c>
      <c r="B762" t="s">
        <v>598</v>
      </c>
      <c r="C762" s="1">
        <v>45353</v>
      </c>
      <c r="D762">
        <v>497.56</v>
      </c>
      <c r="E762" t="s">
        <v>71</v>
      </c>
      <c r="F762" t="s">
        <v>34</v>
      </c>
    </row>
    <row r="763" spans="1:6" x14ac:dyDescent="0.35">
      <c r="A763" t="s">
        <v>1133</v>
      </c>
      <c r="B763" t="s">
        <v>496</v>
      </c>
      <c r="C763" s="1">
        <v>45592</v>
      </c>
      <c r="D763">
        <v>497.72</v>
      </c>
      <c r="E763" t="s">
        <v>65</v>
      </c>
      <c r="F763" t="s">
        <v>44</v>
      </c>
    </row>
    <row r="764" spans="1:6" x14ac:dyDescent="0.35">
      <c r="A764" t="s">
        <v>1134</v>
      </c>
      <c r="B764" t="s">
        <v>429</v>
      </c>
      <c r="C764" s="1">
        <v>45489</v>
      </c>
      <c r="D764">
        <v>230.78</v>
      </c>
      <c r="E764" t="s">
        <v>62</v>
      </c>
      <c r="F764" t="s">
        <v>36</v>
      </c>
    </row>
    <row r="765" spans="1:6" x14ac:dyDescent="0.35">
      <c r="A765" t="s">
        <v>1135</v>
      </c>
      <c r="B765" t="s">
        <v>1136</v>
      </c>
      <c r="C765" s="1">
        <v>45575</v>
      </c>
      <c r="D765">
        <v>52.78</v>
      </c>
      <c r="E765" t="s">
        <v>68</v>
      </c>
      <c r="F765" t="s">
        <v>52</v>
      </c>
    </row>
    <row r="766" spans="1:6" x14ac:dyDescent="0.35">
      <c r="A766" t="s">
        <v>1137</v>
      </c>
      <c r="B766" t="s">
        <v>222</v>
      </c>
      <c r="C766" s="1">
        <v>45616</v>
      </c>
      <c r="D766">
        <v>375.76</v>
      </c>
      <c r="E766" t="s">
        <v>68</v>
      </c>
      <c r="F766" t="s">
        <v>40</v>
      </c>
    </row>
    <row r="767" spans="1:6" x14ac:dyDescent="0.35">
      <c r="A767" t="s">
        <v>1138</v>
      </c>
      <c r="B767" t="s">
        <v>519</v>
      </c>
      <c r="C767" s="1">
        <v>45592</v>
      </c>
      <c r="D767">
        <v>504.23</v>
      </c>
      <c r="E767" t="s">
        <v>68</v>
      </c>
      <c r="F767" t="s">
        <v>41</v>
      </c>
    </row>
    <row r="768" spans="1:6" x14ac:dyDescent="0.35">
      <c r="A768" t="s">
        <v>1139</v>
      </c>
      <c r="B768" t="s">
        <v>175</v>
      </c>
      <c r="C768" s="1">
        <v>45625</v>
      </c>
      <c r="D768">
        <v>285.14999999999998</v>
      </c>
      <c r="E768" t="s">
        <v>62</v>
      </c>
      <c r="F768" t="s">
        <v>54</v>
      </c>
    </row>
    <row r="769" spans="1:6" x14ac:dyDescent="0.35">
      <c r="A769" t="s">
        <v>1140</v>
      </c>
      <c r="B769" t="s">
        <v>192</v>
      </c>
      <c r="C769" s="1">
        <v>45334</v>
      </c>
      <c r="D769">
        <v>264.58</v>
      </c>
      <c r="E769" t="s">
        <v>71</v>
      </c>
      <c r="F769" t="s">
        <v>34</v>
      </c>
    </row>
    <row r="770" spans="1:6" x14ac:dyDescent="0.35">
      <c r="A770" t="s">
        <v>1141</v>
      </c>
      <c r="B770" t="s">
        <v>574</v>
      </c>
      <c r="C770" s="1">
        <v>45378</v>
      </c>
      <c r="D770">
        <v>312.82</v>
      </c>
      <c r="E770" t="s">
        <v>65</v>
      </c>
      <c r="F770" t="s">
        <v>44</v>
      </c>
    </row>
    <row r="771" spans="1:6" x14ac:dyDescent="0.35">
      <c r="A771" t="s">
        <v>1142</v>
      </c>
      <c r="B771" t="s">
        <v>1143</v>
      </c>
      <c r="C771" s="1">
        <v>45292</v>
      </c>
      <c r="D771">
        <v>632.83000000000004</v>
      </c>
      <c r="E771" t="s">
        <v>62</v>
      </c>
      <c r="F771" t="s">
        <v>43</v>
      </c>
    </row>
    <row r="772" spans="1:6" x14ac:dyDescent="0.35">
      <c r="A772" t="s">
        <v>1144</v>
      </c>
      <c r="B772" t="s">
        <v>1145</v>
      </c>
      <c r="C772" s="1">
        <v>45292</v>
      </c>
      <c r="D772">
        <v>402.69</v>
      </c>
      <c r="E772" t="s">
        <v>65</v>
      </c>
      <c r="F772" t="s">
        <v>53</v>
      </c>
    </row>
    <row r="773" spans="1:6" x14ac:dyDescent="0.35">
      <c r="A773" t="s">
        <v>1146</v>
      </c>
      <c r="B773" t="s">
        <v>411</v>
      </c>
      <c r="C773" s="1">
        <v>45640</v>
      </c>
      <c r="D773">
        <v>423.81</v>
      </c>
      <c r="E773" t="s">
        <v>62</v>
      </c>
      <c r="F773" t="s">
        <v>38</v>
      </c>
    </row>
    <row r="774" spans="1:6" x14ac:dyDescent="0.35">
      <c r="A774" t="s">
        <v>1147</v>
      </c>
      <c r="B774" t="s">
        <v>162</v>
      </c>
      <c r="C774" s="1">
        <v>45591</v>
      </c>
      <c r="D774">
        <v>134.27000000000001</v>
      </c>
      <c r="E774" t="s">
        <v>62</v>
      </c>
      <c r="F774" t="s">
        <v>36</v>
      </c>
    </row>
    <row r="775" spans="1:6" x14ac:dyDescent="0.35">
      <c r="A775" t="s">
        <v>1148</v>
      </c>
      <c r="B775" t="s">
        <v>982</v>
      </c>
      <c r="C775" s="1">
        <v>45565</v>
      </c>
      <c r="D775">
        <v>90.17</v>
      </c>
      <c r="E775" t="s">
        <v>68</v>
      </c>
      <c r="F775" t="s">
        <v>40</v>
      </c>
    </row>
    <row r="776" spans="1:6" x14ac:dyDescent="0.35">
      <c r="A776" t="s">
        <v>1149</v>
      </c>
      <c r="B776" t="s">
        <v>854</v>
      </c>
      <c r="C776" s="1">
        <v>45649</v>
      </c>
      <c r="D776">
        <v>377.23</v>
      </c>
      <c r="E776" t="s">
        <v>71</v>
      </c>
      <c r="F776" t="s">
        <v>49</v>
      </c>
    </row>
    <row r="777" spans="1:6" x14ac:dyDescent="0.35">
      <c r="A777" t="s">
        <v>1150</v>
      </c>
      <c r="B777" t="s">
        <v>1151</v>
      </c>
      <c r="C777" s="1">
        <v>45435</v>
      </c>
      <c r="D777">
        <v>345.46</v>
      </c>
      <c r="E777" t="s">
        <v>71</v>
      </c>
      <c r="F777" t="s">
        <v>39</v>
      </c>
    </row>
    <row r="778" spans="1:6" x14ac:dyDescent="0.35">
      <c r="A778" t="s">
        <v>1152</v>
      </c>
      <c r="B778" t="s">
        <v>1153</v>
      </c>
      <c r="C778" s="1">
        <v>45454</v>
      </c>
      <c r="D778">
        <v>195.74</v>
      </c>
      <c r="E778" t="s">
        <v>62</v>
      </c>
      <c r="F778" t="s">
        <v>43</v>
      </c>
    </row>
    <row r="779" spans="1:6" x14ac:dyDescent="0.35">
      <c r="A779" t="s">
        <v>1154</v>
      </c>
      <c r="B779" t="s">
        <v>945</v>
      </c>
      <c r="C779" s="1">
        <v>45654</v>
      </c>
      <c r="D779">
        <v>442.3</v>
      </c>
      <c r="E779" t="s">
        <v>62</v>
      </c>
      <c r="F779" t="s">
        <v>47</v>
      </c>
    </row>
    <row r="780" spans="1:6" x14ac:dyDescent="0.35">
      <c r="A780" t="s">
        <v>1155</v>
      </c>
      <c r="B780" t="s">
        <v>1125</v>
      </c>
      <c r="C780" s="1">
        <v>45456</v>
      </c>
      <c r="D780">
        <v>624.78</v>
      </c>
      <c r="E780" t="s">
        <v>71</v>
      </c>
      <c r="F780" t="s">
        <v>29</v>
      </c>
    </row>
    <row r="781" spans="1:6" x14ac:dyDescent="0.35">
      <c r="A781" t="s">
        <v>1156</v>
      </c>
      <c r="B781" t="s">
        <v>652</v>
      </c>
      <c r="C781" s="1">
        <v>45460</v>
      </c>
      <c r="D781">
        <v>602.19000000000005</v>
      </c>
      <c r="E781" t="s">
        <v>71</v>
      </c>
      <c r="F781" t="s">
        <v>49</v>
      </c>
    </row>
    <row r="782" spans="1:6" x14ac:dyDescent="0.35">
      <c r="A782" t="s">
        <v>1157</v>
      </c>
      <c r="B782" t="s">
        <v>186</v>
      </c>
      <c r="C782" s="1">
        <v>45603</v>
      </c>
      <c r="D782">
        <v>448.71</v>
      </c>
      <c r="E782" t="s">
        <v>68</v>
      </c>
      <c r="F782" t="s">
        <v>46</v>
      </c>
    </row>
    <row r="783" spans="1:6" x14ac:dyDescent="0.35">
      <c r="A783" t="s">
        <v>1158</v>
      </c>
      <c r="B783" t="s">
        <v>143</v>
      </c>
      <c r="C783" s="1">
        <v>45503</v>
      </c>
      <c r="D783">
        <v>276.57</v>
      </c>
      <c r="E783" t="s">
        <v>65</v>
      </c>
      <c r="F783" t="s">
        <v>51</v>
      </c>
    </row>
    <row r="784" spans="1:6" x14ac:dyDescent="0.35">
      <c r="A784" t="s">
        <v>1159</v>
      </c>
      <c r="B784" t="s">
        <v>427</v>
      </c>
      <c r="C784" s="1">
        <v>45333</v>
      </c>
      <c r="D784">
        <v>54.03</v>
      </c>
      <c r="E784" t="s">
        <v>68</v>
      </c>
      <c r="F784" t="s">
        <v>45</v>
      </c>
    </row>
    <row r="785" spans="1:6" x14ac:dyDescent="0.35">
      <c r="A785" t="s">
        <v>1160</v>
      </c>
      <c r="B785" t="s">
        <v>1029</v>
      </c>
      <c r="C785" s="1">
        <v>45635</v>
      </c>
      <c r="D785">
        <v>632.79999999999995</v>
      </c>
      <c r="E785" t="s">
        <v>68</v>
      </c>
      <c r="F785" t="s">
        <v>40</v>
      </c>
    </row>
    <row r="786" spans="1:6" x14ac:dyDescent="0.35">
      <c r="A786" t="s">
        <v>1161</v>
      </c>
      <c r="B786" t="s">
        <v>445</v>
      </c>
      <c r="C786" s="1">
        <v>45484</v>
      </c>
      <c r="D786">
        <v>143.97</v>
      </c>
      <c r="E786" t="s">
        <v>62</v>
      </c>
      <c r="F786" t="s">
        <v>37</v>
      </c>
    </row>
    <row r="787" spans="1:6" x14ac:dyDescent="0.35">
      <c r="A787" t="s">
        <v>1162</v>
      </c>
      <c r="B787" t="s">
        <v>130</v>
      </c>
      <c r="C787" s="1">
        <v>45648</v>
      </c>
      <c r="D787">
        <v>262.85000000000002</v>
      </c>
      <c r="E787" t="s">
        <v>68</v>
      </c>
      <c r="F787" t="s">
        <v>52</v>
      </c>
    </row>
    <row r="788" spans="1:6" x14ac:dyDescent="0.35">
      <c r="A788" t="s">
        <v>1163</v>
      </c>
      <c r="B788" t="s">
        <v>1029</v>
      </c>
      <c r="C788" s="1">
        <v>45390</v>
      </c>
      <c r="D788">
        <v>492.03</v>
      </c>
      <c r="E788" t="s">
        <v>68</v>
      </c>
      <c r="F788" t="s">
        <v>41</v>
      </c>
    </row>
    <row r="789" spans="1:6" x14ac:dyDescent="0.35">
      <c r="A789" t="s">
        <v>1164</v>
      </c>
      <c r="B789" t="s">
        <v>986</v>
      </c>
      <c r="C789" s="1">
        <v>45435</v>
      </c>
      <c r="D789">
        <v>90.33</v>
      </c>
      <c r="E789" t="s">
        <v>62</v>
      </c>
      <c r="F789" t="s">
        <v>47</v>
      </c>
    </row>
    <row r="790" spans="1:6" x14ac:dyDescent="0.35">
      <c r="A790" t="s">
        <v>1165</v>
      </c>
      <c r="B790" t="s">
        <v>209</v>
      </c>
      <c r="C790" s="1">
        <v>45606</v>
      </c>
      <c r="D790">
        <v>476.45</v>
      </c>
      <c r="E790" t="s">
        <v>62</v>
      </c>
      <c r="F790" t="s">
        <v>38</v>
      </c>
    </row>
    <row r="791" spans="1:6" x14ac:dyDescent="0.35">
      <c r="A791" t="s">
        <v>1166</v>
      </c>
      <c r="B791" t="s">
        <v>1167</v>
      </c>
      <c r="C791" s="1">
        <v>45411</v>
      </c>
      <c r="D791">
        <v>207.67</v>
      </c>
      <c r="E791" t="s">
        <v>62</v>
      </c>
      <c r="F791" t="s">
        <v>36</v>
      </c>
    </row>
    <row r="792" spans="1:6" x14ac:dyDescent="0.35">
      <c r="A792" t="s">
        <v>1168</v>
      </c>
      <c r="B792" t="s">
        <v>927</v>
      </c>
      <c r="C792" s="1">
        <v>45652</v>
      </c>
      <c r="D792">
        <v>155.59</v>
      </c>
      <c r="E792" t="s">
        <v>71</v>
      </c>
      <c r="F792" t="s">
        <v>50</v>
      </c>
    </row>
    <row r="793" spans="1:6" x14ac:dyDescent="0.35">
      <c r="A793" t="s">
        <v>1169</v>
      </c>
      <c r="B793" t="s">
        <v>80</v>
      </c>
      <c r="C793" s="1">
        <v>45618</v>
      </c>
      <c r="D793">
        <v>385</v>
      </c>
      <c r="E793" t="s">
        <v>68</v>
      </c>
      <c r="F793" t="s">
        <v>40</v>
      </c>
    </row>
    <row r="794" spans="1:6" x14ac:dyDescent="0.35">
      <c r="A794" t="s">
        <v>1170</v>
      </c>
      <c r="B794" t="s">
        <v>433</v>
      </c>
      <c r="C794" s="1">
        <v>45544</v>
      </c>
      <c r="D794">
        <v>489.37</v>
      </c>
      <c r="E794" t="s">
        <v>71</v>
      </c>
      <c r="F794" t="s">
        <v>49</v>
      </c>
    </row>
    <row r="795" spans="1:6" x14ac:dyDescent="0.35">
      <c r="A795" t="s">
        <v>1171</v>
      </c>
      <c r="B795" t="s">
        <v>1153</v>
      </c>
      <c r="C795" s="1">
        <v>45636</v>
      </c>
      <c r="D795">
        <v>396.72</v>
      </c>
      <c r="E795" t="s">
        <v>71</v>
      </c>
      <c r="F795" t="s">
        <v>50</v>
      </c>
    </row>
    <row r="796" spans="1:6" x14ac:dyDescent="0.35">
      <c r="A796" t="s">
        <v>1172</v>
      </c>
      <c r="B796" t="s">
        <v>552</v>
      </c>
      <c r="C796" s="1">
        <v>45325</v>
      </c>
      <c r="D796">
        <v>561.12</v>
      </c>
      <c r="E796" t="s">
        <v>62</v>
      </c>
      <c r="F796" t="s">
        <v>54</v>
      </c>
    </row>
    <row r="797" spans="1:6" x14ac:dyDescent="0.35">
      <c r="A797" t="s">
        <v>1173</v>
      </c>
      <c r="B797" t="s">
        <v>394</v>
      </c>
      <c r="C797" s="1">
        <v>45559</v>
      </c>
      <c r="D797">
        <v>49.22</v>
      </c>
      <c r="E797" t="s">
        <v>71</v>
      </c>
      <c r="F797" t="s">
        <v>49</v>
      </c>
    </row>
    <row r="798" spans="1:6" x14ac:dyDescent="0.35">
      <c r="A798" t="s">
        <v>1174</v>
      </c>
      <c r="B798" t="s">
        <v>381</v>
      </c>
      <c r="C798" s="1">
        <v>45646</v>
      </c>
      <c r="D798">
        <v>379.47</v>
      </c>
      <c r="E798" t="s">
        <v>62</v>
      </c>
      <c r="F798" t="s">
        <v>43</v>
      </c>
    </row>
    <row r="799" spans="1:6" x14ac:dyDescent="0.35">
      <c r="A799" t="s">
        <v>1175</v>
      </c>
      <c r="B799" t="s">
        <v>439</v>
      </c>
      <c r="C799" s="1">
        <v>45524</v>
      </c>
      <c r="D799">
        <v>448.96</v>
      </c>
      <c r="E799" t="s">
        <v>65</v>
      </c>
      <c r="F799" t="s">
        <v>32</v>
      </c>
    </row>
    <row r="800" spans="1:6" x14ac:dyDescent="0.35">
      <c r="A800" t="s">
        <v>1176</v>
      </c>
      <c r="B800" t="s">
        <v>598</v>
      </c>
      <c r="C800" s="1">
        <v>45624</v>
      </c>
      <c r="D800">
        <v>554.27</v>
      </c>
      <c r="E800" t="s">
        <v>62</v>
      </c>
      <c r="F800" t="s">
        <v>37</v>
      </c>
    </row>
    <row r="801" spans="1:6" x14ac:dyDescent="0.35">
      <c r="A801" t="s">
        <v>1177</v>
      </c>
      <c r="B801" t="s">
        <v>394</v>
      </c>
      <c r="C801" s="1">
        <v>45500</v>
      </c>
      <c r="D801">
        <v>353.75</v>
      </c>
      <c r="E801" t="s">
        <v>68</v>
      </c>
      <c r="F801" t="s">
        <v>33</v>
      </c>
    </row>
    <row r="802" spans="1:6" x14ac:dyDescent="0.35">
      <c r="A802" t="s">
        <v>1178</v>
      </c>
      <c r="B802" t="s">
        <v>815</v>
      </c>
      <c r="C802" s="1">
        <v>45545</v>
      </c>
      <c r="D802">
        <v>173.1</v>
      </c>
      <c r="E802" t="s">
        <v>68</v>
      </c>
      <c r="F802" t="s">
        <v>33</v>
      </c>
    </row>
    <row r="803" spans="1:6" x14ac:dyDescent="0.35">
      <c r="A803" t="s">
        <v>1179</v>
      </c>
      <c r="B803" t="s">
        <v>1064</v>
      </c>
      <c r="C803" s="1">
        <v>45434</v>
      </c>
      <c r="D803">
        <v>38.17</v>
      </c>
      <c r="E803" t="s">
        <v>65</v>
      </c>
      <c r="F803" t="s">
        <v>53</v>
      </c>
    </row>
    <row r="804" spans="1:6" x14ac:dyDescent="0.35">
      <c r="A804" t="s">
        <v>1180</v>
      </c>
      <c r="B804" t="s">
        <v>486</v>
      </c>
      <c r="C804" s="1">
        <v>45391</v>
      </c>
      <c r="D804">
        <v>531.72</v>
      </c>
      <c r="E804" t="s">
        <v>68</v>
      </c>
      <c r="F804" t="s">
        <v>45</v>
      </c>
    </row>
    <row r="805" spans="1:6" x14ac:dyDescent="0.35">
      <c r="A805" t="s">
        <v>1181</v>
      </c>
      <c r="B805" t="s">
        <v>912</v>
      </c>
      <c r="C805" s="1">
        <v>45407</v>
      </c>
      <c r="D805">
        <v>156.08000000000001</v>
      </c>
      <c r="E805" t="s">
        <v>68</v>
      </c>
      <c r="F805" t="s">
        <v>41</v>
      </c>
    </row>
    <row r="806" spans="1:6" x14ac:dyDescent="0.35">
      <c r="A806" t="s">
        <v>1182</v>
      </c>
      <c r="B806" t="s">
        <v>1080</v>
      </c>
      <c r="C806" s="1">
        <v>45460</v>
      </c>
      <c r="D806">
        <v>419.56</v>
      </c>
      <c r="E806" t="s">
        <v>68</v>
      </c>
      <c r="F806" t="s">
        <v>33</v>
      </c>
    </row>
    <row r="807" spans="1:6" x14ac:dyDescent="0.35">
      <c r="A807" t="s">
        <v>1183</v>
      </c>
      <c r="B807" t="s">
        <v>1184</v>
      </c>
      <c r="C807" s="1">
        <v>45306</v>
      </c>
      <c r="D807">
        <v>49.77</v>
      </c>
      <c r="E807" t="s">
        <v>65</v>
      </c>
      <c r="F807" t="s">
        <v>51</v>
      </c>
    </row>
    <row r="808" spans="1:6" x14ac:dyDescent="0.35">
      <c r="A808" t="s">
        <v>1185</v>
      </c>
      <c r="B808" t="s">
        <v>486</v>
      </c>
      <c r="C808" s="1">
        <v>45612</v>
      </c>
      <c r="D808">
        <v>101.32</v>
      </c>
      <c r="E808" t="s">
        <v>62</v>
      </c>
      <c r="F808" t="s">
        <v>47</v>
      </c>
    </row>
    <row r="809" spans="1:6" x14ac:dyDescent="0.35">
      <c r="A809" t="s">
        <v>1186</v>
      </c>
      <c r="B809" t="s">
        <v>1125</v>
      </c>
      <c r="C809" s="1">
        <v>45414</v>
      </c>
      <c r="D809">
        <v>354.6</v>
      </c>
      <c r="E809" t="s">
        <v>68</v>
      </c>
      <c r="F809" t="s">
        <v>40</v>
      </c>
    </row>
    <row r="810" spans="1:6" x14ac:dyDescent="0.35">
      <c r="A810" t="s">
        <v>1187</v>
      </c>
      <c r="B810" t="s">
        <v>698</v>
      </c>
      <c r="C810" s="1">
        <v>45413</v>
      </c>
      <c r="D810">
        <v>93.84</v>
      </c>
      <c r="E810" t="s">
        <v>65</v>
      </c>
      <c r="F810" t="s">
        <v>51</v>
      </c>
    </row>
    <row r="811" spans="1:6" x14ac:dyDescent="0.35">
      <c r="A811" t="s">
        <v>1188</v>
      </c>
      <c r="B811" t="s">
        <v>830</v>
      </c>
      <c r="C811" s="1">
        <v>45520</v>
      </c>
      <c r="D811">
        <v>634.33000000000004</v>
      </c>
      <c r="E811" t="s">
        <v>68</v>
      </c>
      <c r="F811" t="s">
        <v>46</v>
      </c>
    </row>
    <row r="812" spans="1:6" x14ac:dyDescent="0.35">
      <c r="A812" t="s">
        <v>1189</v>
      </c>
      <c r="B812" t="s">
        <v>875</v>
      </c>
      <c r="C812" s="1">
        <v>45309</v>
      </c>
      <c r="D812">
        <v>461.42</v>
      </c>
      <c r="E812" t="s">
        <v>62</v>
      </c>
      <c r="F812" t="s">
        <v>38</v>
      </c>
    </row>
    <row r="813" spans="1:6" x14ac:dyDescent="0.35">
      <c r="A813" t="s">
        <v>1190</v>
      </c>
      <c r="B813" t="s">
        <v>624</v>
      </c>
      <c r="C813" s="1">
        <v>45357</v>
      </c>
      <c r="D813">
        <v>220.4</v>
      </c>
      <c r="E813" t="s">
        <v>65</v>
      </c>
      <c r="F813" t="s">
        <v>31</v>
      </c>
    </row>
    <row r="814" spans="1:6" x14ac:dyDescent="0.35">
      <c r="A814" t="s">
        <v>1191</v>
      </c>
      <c r="B814" t="s">
        <v>1151</v>
      </c>
      <c r="C814" s="1">
        <v>45612</v>
      </c>
      <c r="D814">
        <v>451.7</v>
      </c>
      <c r="E814" t="s">
        <v>68</v>
      </c>
      <c r="F814" t="s">
        <v>46</v>
      </c>
    </row>
    <row r="815" spans="1:6" x14ac:dyDescent="0.35">
      <c r="A815" t="s">
        <v>1192</v>
      </c>
      <c r="B815" t="s">
        <v>598</v>
      </c>
      <c r="C815" s="1">
        <v>45578</v>
      </c>
      <c r="D815">
        <v>269.60000000000002</v>
      </c>
      <c r="E815" t="s">
        <v>62</v>
      </c>
      <c r="F815" t="s">
        <v>38</v>
      </c>
    </row>
    <row r="816" spans="1:6" x14ac:dyDescent="0.35">
      <c r="A816" t="s">
        <v>1193</v>
      </c>
      <c r="B816" t="s">
        <v>114</v>
      </c>
      <c r="C816" s="1">
        <v>45341</v>
      </c>
      <c r="D816">
        <v>566.72</v>
      </c>
      <c r="E816" t="s">
        <v>65</v>
      </c>
      <c r="F816" t="s">
        <v>48</v>
      </c>
    </row>
    <row r="817" spans="1:6" x14ac:dyDescent="0.35">
      <c r="A817" t="s">
        <v>1194</v>
      </c>
      <c r="B817" t="s">
        <v>901</v>
      </c>
      <c r="C817" s="1">
        <v>45629</v>
      </c>
      <c r="D817">
        <v>271.11</v>
      </c>
      <c r="E817" t="s">
        <v>68</v>
      </c>
      <c r="F817" t="s">
        <v>52</v>
      </c>
    </row>
    <row r="818" spans="1:6" x14ac:dyDescent="0.35">
      <c r="A818" t="s">
        <v>1195</v>
      </c>
      <c r="B818" t="s">
        <v>269</v>
      </c>
      <c r="C818" s="1">
        <v>45511</v>
      </c>
      <c r="D818">
        <v>435.32</v>
      </c>
      <c r="E818" t="s">
        <v>68</v>
      </c>
      <c r="F818" t="s">
        <v>40</v>
      </c>
    </row>
    <row r="819" spans="1:6" x14ac:dyDescent="0.35">
      <c r="A819" t="s">
        <v>1196</v>
      </c>
      <c r="B819" t="s">
        <v>396</v>
      </c>
      <c r="C819" s="1">
        <v>45637</v>
      </c>
      <c r="D819">
        <v>236.84</v>
      </c>
      <c r="E819" t="s">
        <v>65</v>
      </c>
      <c r="F819" t="s">
        <v>44</v>
      </c>
    </row>
    <row r="820" spans="1:6" x14ac:dyDescent="0.35">
      <c r="A820" t="s">
        <v>1197</v>
      </c>
      <c r="B820" t="s">
        <v>452</v>
      </c>
      <c r="C820" s="1">
        <v>45390</v>
      </c>
      <c r="D820">
        <v>401.03</v>
      </c>
      <c r="E820" t="s">
        <v>68</v>
      </c>
      <c r="F820" t="s">
        <v>46</v>
      </c>
    </row>
    <row r="821" spans="1:6" x14ac:dyDescent="0.35">
      <c r="A821" t="s">
        <v>1198</v>
      </c>
      <c r="B821" t="s">
        <v>648</v>
      </c>
      <c r="C821" s="1">
        <v>45326</v>
      </c>
      <c r="D821">
        <v>112.48</v>
      </c>
      <c r="E821" t="s">
        <v>71</v>
      </c>
      <c r="F821" t="s">
        <v>39</v>
      </c>
    </row>
    <row r="822" spans="1:6" x14ac:dyDescent="0.35">
      <c r="A822" t="s">
        <v>1199</v>
      </c>
      <c r="B822" t="s">
        <v>1200</v>
      </c>
      <c r="C822" s="1">
        <v>45552</v>
      </c>
      <c r="D822">
        <v>331.06</v>
      </c>
      <c r="E822" t="s">
        <v>62</v>
      </c>
      <c r="F822" t="s">
        <v>37</v>
      </c>
    </row>
    <row r="823" spans="1:6" x14ac:dyDescent="0.35">
      <c r="A823" t="s">
        <v>1201</v>
      </c>
      <c r="B823" t="s">
        <v>1029</v>
      </c>
      <c r="C823" s="1">
        <v>45609</v>
      </c>
      <c r="D823">
        <v>119.67</v>
      </c>
      <c r="E823" t="s">
        <v>71</v>
      </c>
      <c r="F823" t="s">
        <v>34</v>
      </c>
    </row>
    <row r="824" spans="1:6" x14ac:dyDescent="0.35">
      <c r="A824" t="s">
        <v>1202</v>
      </c>
      <c r="B824" t="s">
        <v>1145</v>
      </c>
      <c r="C824" s="1">
        <v>45314</v>
      </c>
      <c r="D824">
        <v>394.48</v>
      </c>
      <c r="E824" t="s">
        <v>71</v>
      </c>
      <c r="F824" t="s">
        <v>35</v>
      </c>
    </row>
    <row r="825" spans="1:6" x14ac:dyDescent="0.35">
      <c r="A825" t="s">
        <v>1203</v>
      </c>
      <c r="B825" t="s">
        <v>897</v>
      </c>
      <c r="C825" s="1">
        <v>45554</v>
      </c>
      <c r="D825">
        <v>393.95</v>
      </c>
      <c r="E825" t="s">
        <v>62</v>
      </c>
      <c r="F825" t="s">
        <v>42</v>
      </c>
    </row>
    <row r="826" spans="1:6" x14ac:dyDescent="0.35">
      <c r="A826" t="s">
        <v>1204</v>
      </c>
      <c r="B826" t="s">
        <v>700</v>
      </c>
      <c r="C826" s="1">
        <v>45569</v>
      </c>
      <c r="D826">
        <v>224.83</v>
      </c>
      <c r="E826" t="s">
        <v>71</v>
      </c>
      <c r="F826" t="s">
        <v>29</v>
      </c>
    </row>
    <row r="827" spans="1:6" x14ac:dyDescent="0.35">
      <c r="A827" t="s">
        <v>1205</v>
      </c>
      <c r="B827" t="s">
        <v>203</v>
      </c>
      <c r="C827" s="1">
        <v>45467</v>
      </c>
      <c r="D827">
        <v>353.37</v>
      </c>
      <c r="E827" t="s">
        <v>62</v>
      </c>
      <c r="F827" t="s">
        <v>36</v>
      </c>
    </row>
    <row r="828" spans="1:6" x14ac:dyDescent="0.35">
      <c r="A828" t="s">
        <v>1206</v>
      </c>
      <c r="B828" t="s">
        <v>381</v>
      </c>
      <c r="C828" s="1">
        <v>45628</v>
      </c>
      <c r="D828">
        <v>180.99</v>
      </c>
      <c r="E828" t="s">
        <v>71</v>
      </c>
      <c r="F828" t="s">
        <v>50</v>
      </c>
    </row>
    <row r="829" spans="1:6" x14ac:dyDescent="0.35">
      <c r="A829" t="s">
        <v>1207</v>
      </c>
      <c r="B829" t="s">
        <v>124</v>
      </c>
      <c r="C829" s="1">
        <v>45578</v>
      </c>
      <c r="D829">
        <v>155.18</v>
      </c>
      <c r="E829" t="s">
        <v>65</v>
      </c>
      <c r="F829" t="s">
        <v>53</v>
      </c>
    </row>
    <row r="830" spans="1:6" x14ac:dyDescent="0.35">
      <c r="A830" t="s">
        <v>1208</v>
      </c>
      <c r="B830" t="s">
        <v>509</v>
      </c>
      <c r="C830" s="1">
        <v>45394</v>
      </c>
      <c r="D830">
        <v>245.05</v>
      </c>
      <c r="E830" t="s">
        <v>71</v>
      </c>
      <c r="F830" t="s">
        <v>50</v>
      </c>
    </row>
    <row r="831" spans="1:6" x14ac:dyDescent="0.35">
      <c r="A831" t="s">
        <v>1209</v>
      </c>
      <c r="B831" t="s">
        <v>186</v>
      </c>
      <c r="C831" s="1">
        <v>45633</v>
      </c>
      <c r="D831">
        <v>460.83</v>
      </c>
      <c r="E831" t="s">
        <v>65</v>
      </c>
      <c r="F831" t="s">
        <v>44</v>
      </c>
    </row>
    <row r="832" spans="1:6" x14ac:dyDescent="0.35">
      <c r="A832" t="s">
        <v>1210</v>
      </c>
      <c r="B832" t="s">
        <v>329</v>
      </c>
      <c r="C832" s="1">
        <v>45588</v>
      </c>
      <c r="D832">
        <v>219.27</v>
      </c>
      <c r="E832" t="s">
        <v>62</v>
      </c>
      <c r="F832" t="s">
        <v>54</v>
      </c>
    </row>
    <row r="833" spans="1:6" x14ac:dyDescent="0.35">
      <c r="A833" t="s">
        <v>1211</v>
      </c>
      <c r="B833" t="s">
        <v>435</v>
      </c>
      <c r="C833" s="1">
        <v>45460</v>
      </c>
      <c r="D833">
        <v>573.79999999999995</v>
      </c>
      <c r="E833" t="s">
        <v>68</v>
      </c>
      <c r="F833" t="s">
        <v>52</v>
      </c>
    </row>
    <row r="834" spans="1:6" x14ac:dyDescent="0.35">
      <c r="A834" t="s">
        <v>1212</v>
      </c>
      <c r="B834" t="s">
        <v>841</v>
      </c>
      <c r="C834" s="1">
        <v>45313</v>
      </c>
      <c r="D834">
        <v>427.84</v>
      </c>
      <c r="E834" t="s">
        <v>71</v>
      </c>
      <c r="F834" t="s">
        <v>50</v>
      </c>
    </row>
    <row r="835" spans="1:6" x14ac:dyDescent="0.35">
      <c r="A835" t="s">
        <v>1213</v>
      </c>
      <c r="B835" t="s">
        <v>141</v>
      </c>
      <c r="C835" s="1">
        <v>45646</v>
      </c>
      <c r="D835">
        <v>166.08</v>
      </c>
      <c r="E835" t="s">
        <v>65</v>
      </c>
      <c r="F835" t="s">
        <v>44</v>
      </c>
    </row>
    <row r="836" spans="1:6" x14ac:dyDescent="0.35">
      <c r="A836" t="s">
        <v>1214</v>
      </c>
      <c r="B836" t="s">
        <v>1215</v>
      </c>
      <c r="C836" s="1">
        <v>45538</v>
      </c>
      <c r="D836">
        <v>281.19</v>
      </c>
      <c r="E836" t="s">
        <v>65</v>
      </c>
      <c r="F836" t="s">
        <v>48</v>
      </c>
    </row>
    <row r="837" spans="1:6" x14ac:dyDescent="0.35">
      <c r="A837" t="s">
        <v>1216</v>
      </c>
      <c r="B837" t="s">
        <v>815</v>
      </c>
      <c r="C837" s="1">
        <v>45295</v>
      </c>
      <c r="D837">
        <v>255.1</v>
      </c>
      <c r="E837" t="s">
        <v>68</v>
      </c>
      <c r="F837" t="s">
        <v>46</v>
      </c>
    </row>
    <row r="838" spans="1:6" x14ac:dyDescent="0.35">
      <c r="A838" t="s">
        <v>1217</v>
      </c>
      <c r="B838" t="s">
        <v>429</v>
      </c>
      <c r="C838" s="1">
        <v>45576</v>
      </c>
      <c r="D838">
        <v>305.85000000000002</v>
      </c>
      <c r="E838" t="s">
        <v>71</v>
      </c>
      <c r="F838" t="s">
        <v>35</v>
      </c>
    </row>
    <row r="839" spans="1:6" x14ac:dyDescent="0.35">
      <c r="A839" t="s">
        <v>1218</v>
      </c>
      <c r="B839" t="s">
        <v>1031</v>
      </c>
      <c r="C839" s="1">
        <v>45615</v>
      </c>
      <c r="D839">
        <v>634.82000000000005</v>
      </c>
      <c r="E839" t="s">
        <v>62</v>
      </c>
      <c r="F839" t="s">
        <v>36</v>
      </c>
    </row>
    <row r="840" spans="1:6" x14ac:dyDescent="0.35">
      <c r="A840" t="s">
        <v>1219</v>
      </c>
      <c r="B840" t="s">
        <v>234</v>
      </c>
      <c r="C840" s="1">
        <v>45393</v>
      </c>
      <c r="D840">
        <v>169.65</v>
      </c>
      <c r="E840" t="s">
        <v>62</v>
      </c>
      <c r="F840" t="s">
        <v>47</v>
      </c>
    </row>
    <row r="841" spans="1:6" x14ac:dyDescent="0.35">
      <c r="A841" t="s">
        <v>1220</v>
      </c>
      <c r="B841" t="s">
        <v>589</v>
      </c>
      <c r="C841" s="1">
        <v>45426</v>
      </c>
      <c r="D841">
        <v>376.02</v>
      </c>
      <c r="E841" t="s">
        <v>62</v>
      </c>
      <c r="F841" t="s">
        <v>38</v>
      </c>
    </row>
    <row r="842" spans="1:6" x14ac:dyDescent="0.35">
      <c r="A842" t="s">
        <v>1221</v>
      </c>
      <c r="B842" t="s">
        <v>774</v>
      </c>
      <c r="C842" s="1">
        <v>45383</v>
      </c>
      <c r="D842">
        <v>553.37</v>
      </c>
      <c r="E842" t="s">
        <v>68</v>
      </c>
      <c r="F842" t="s">
        <v>41</v>
      </c>
    </row>
    <row r="843" spans="1:6" x14ac:dyDescent="0.35">
      <c r="A843" t="s">
        <v>1222</v>
      </c>
      <c r="B843" t="s">
        <v>255</v>
      </c>
      <c r="C843" s="1">
        <v>45343</v>
      </c>
      <c r="D843">
        <v>437.74</v>
      </c>
      <c r="E843" t="s">
        <v>71</v>
      </c>
      <c r="F843" t="s">
        <v>29</v>
      </c>
    </row>
    <row r="844" spans="1:6" x14ac:dyDescent="0.35">
      <c r="A844" t="s">
        <v>1223</v>
      </c>
      <c r="B844" t="s">
        <v>96</v>
      </c>
      <c r="C844" s="1">
        <v>45348</v>
      </c>
      <c r="D844">
        <v>315.57</v>
      </c>
      <c r="E844" t="s">
        <v>71</v>
      </c>
      <c r="F844" t="s">
        <v>35</v>
      </c>
    </row>
    <row r="845" spans="1:6" x14ac:dyDescent="0.35">
      <c r="A845" t="s">
        <v>1224</v>
      </c>
      <c r="B845" t="s">
        <v>225</v>
      </c>
      <c r="C845" s="1">
        <v>45481</v>
      </c>
      <c r="D845">
        <v>635.91999999999996</v>
      </c>
      <c r="E845" t="s">
        <v>71</v>
      </c>
      <c r="F845" t="s">
        <v>39</v>
      </c>
    </row>
    <row r="846" spans="1:6" x14ac:dyDescent="0.35">
      <c r="A846" t="s">
        <v>1225</v>
      </c>
      <c r="B846" t="s">
        <v>338</v>
      </c>
      <c r="C846" s="1">
        <v>45611</v>
      </c>
      <c r="D846">
        <v>123.83</v>
      </c>
      <c r="E846" t="s">
        <v>68</v>
      </c>
      <c r="F846" t="s">
        <v>46</v>
      </c>
    </row>
    <row r="847" spans="1:6" x14ac:dyDescent="0.35">
      <c r="A847" t="s">
        <v>1226</v>
      </c>
      <c r="B847" t="s">
        <v>292</v>
      </c>
      <c r="C847" s="1">
        <v>45358</v>
      </c>
      <c r="D847">
        <v>267.58999999999997</v>
      </c>
      <c r="E847" t="s">
        <v>71</v>
      </c>
      <c r="F847" t="s">
        <v>39</v>
      </c>
    </row>
    <row r="848" spans="1:6" x14ac:dyDescent="0.35">
      <c r="A848" t="s">
        <v>1227</v>
      </c>
      <c r="B848" t="s">
        <v>760</v>
      </c>
      <c r="C848" s="1">
        <v>45483</v>
      </c>
      <c r="D848">
        <v>185.4</v>
      </c>
      <c r="E848" t="s">
        <v>65</v>
      </c>
      <c r="F848" t="s">
        <v>32</v>
      </c>
    </row>
    <row r="849" spans="1:6" x14ac:dyDescent="0.35">
      <c r="A849" t="s">
        <v>1228</v>
      </c>
      <c r="B849" t="s">
        <v>341</v>
      </c>
      <c r="C849" s="1">
        <v>45315</v>
      </c>
      <c r="D849">
        <v>215.92</v>
      </c>
      <c r="E849" t="s">
        <v>71</v>
      </c>
      <c r="F849" t="s">
        <v>39</v>
      </c>
    </row>
    <row r="850" spans="1:6" x14ac:dyDescent="0.35">
      <c r="A850" t="s">
        <v>1229</v>
      </c>
      <c r="B850" t="s">
        <v>542</v>
      </c>
      <c r="C850" s="1">
        <v>45368</v>
      </c>
      <c r="D850">
        <v>422.12</v>
      </c>
      <c r="E850" t="s">
        <v>71</v>
      </c>
      <c r="F850" t="s">
        <v>50</v>
      </c>
    </row>
    <row r="851" spans="1:6" x14ac:dyDescent="0.35">
      <c r="A851" t="s">
        <v>1230</v>
      </c>
      <c r="B851" t="s">
        <v>175</v>
      </c>
      <c r="C851" s="1">
        <v>45435</v>
      </c>
      <c r="D851">
        <v>482.29</v>
      </c>
      <c r="E851" t="s">
        <v>65</v>
      </c>
      <c r="F851" t="s">
        <v>48</v>
      </c>
    </row>
    <row r="852" spans="1:6" x14ac:dyDescent="0.35">
      <c r="A852" t="s">
        <v>1231</v>
      </c>
      <c r="B852" t="s">
        <v>899</v>
      </c>
      <c r="C852" s="1">
        <v>45532</v>
      </c>
      <c r="D852">
        <v>347.8</v>
      </c>
      <c r="E852" t="s">
        <v>68</v>
      </c>
      <c r="F852" t="s">
        <v>41</v>
      </c>
    </row>
    <row r="853" spans="1:6" x14ac:dyDescent="0.35">
      <c r="A853" t="s">
        <v>1232</v>
      </c>
      <c r="B853" t="s">
        <v>1233</v>
      </c>
      <c r="C853" s="1">
        <v>45622</v>
      </c>
      <c r="D853">
        <v>354.12</v>
      </c>
      <c r="E853" t="s">
        <v>62</v>
      </c>
      <c r="F853" t="s">
        <v>37</v>
      </c>
    </row>
    <row r="854" spans="1:6" x14ac:dyDescent="0.35">
      <c r="A854" t="s">
        <v>1234</v>
      </c>
      <c r="B854" t="s">
        <v>1123</v>
      </c>
      <c r="C854" s="1">
        <v>45383</v>
      </c>
      <c r="D854">
        <v>462.12</v>
      </c>
      <c r="E854" t="s">
        <v>62</v>
      </c>
      <c r="F854" t="s">
        <v>54</v>
      </c>
    </row>
    <row r="855" spans="1:6" x14ac:dyDescent="0.35">
      <c r="A855" t="s">
        <v>1235</v>
      </c>
      <c r="B855" t="s">
        <v>402</v>
      </c>
      <c r="C855" s="1">
        <v>45545</v>
      </c>
      <c r="D855">
        <v>281.58</v>
      </c>
      <c r="E855" t="s">
        <v>62</v>
      </c>
      <c r="F855" t="s">
        <v>54</v>
      </c>
    </row>
    <row r="856" spans="1:6" x14ac:dyDescent="0.35">
      <c r="A856" t="s">
        <v>1236</v>
      </c>
      <c r="B856" t="s">
        <v>427</v>
      </c>
      <c r="C856" s="1">
        <v>45590</v>
      </c>
      <c r="D856">
        <v>170.01</v>
      </c>
      <c r="E856" t="s">
        <v>68</v>
      </c>
      <c r="F856" t="s">
        <v>41</v>
      </c>
    </row>
    <row r="857" spans="1:6" x14ac:dyDescent="0.35">
      <c r="A857" t="s">
        <v>1237</v>
      </c>
      <c r="B857" t="s">
        <v>945</v>
      </c>
      <c r="C857" s="1">
        <v>45395</v>
      </c>
      <c r="D857">
        <v>169.44</v>
      </c>
      <c r="E857" t="s">
        <v>71</v>
      </c>
      <c r="F857" t="s">
        <v>29</v>
      </c>
    </row>
    <row r="858" spans="1:6" x14ac:dyDescent="0.35">
      <c r="A858" t="s">
        <v>1238</v>
      </c>
      <c r="B858" t="s">
        <v>875</v>
      </c>
      <c r="C858" s="1">
        <v>45509</v>
      </c>
      <c r="D858">
        <v>191.54</v>
      </c>
      <c r="E858" t="s">
        <v>71</v>
      </c>
      <c r="F858" t="s">
        <v>35</v>
      </c>
    </row>
    <row r="859" spans="1:6" x14ac:dyDescent="0.35">
      <c r="A859" t="s">
        <v>1239</v>
      </c>
      <c r="B859" t="s">
        <v>674</v>
      </c>
      <c r="C859" s="1">
        <v>45335</v>
      </c>
      <c r="D859">
        <v>308.37</v>
      </c>
      <c r="E859" t="s">
        <v>68</v>
      </c>
      <c r="F859" t="s">
        <v>40</v>
      </c>
    </row>
    <row r="860" spans="1:6" x14ac:dyDescent="0.35">
      <c r="A860" t="s">
        <v>1240</v>
      </c>
      <c r="B860" t="s">
        <v>141</v>
      </c>
      <c r="C860" s="1">
        <v>45472</v>
      </c>
      <c r="D860">
        <v>350.04</v>
      </c>
      <c r="E860" t="s">
        <v>68</v>
      </c>
      <c r="F860" t="s">
        <v>52</v>
      </c>
    </row>
    <row r="861" spans="1:6" x14ac:dyDescent="0.35">
      <c r="A861" t="s">
        <v>1241</v>
      </c>
      <c r="B861" t="s">
        <v>297</v>
      </c>
      <c r="C861" s="1">
        <v>45464</v>
      </c>
      <c r="D861">
        <v>300.99</v>
      </c>
      <c r="E861" t="s">
        <v>65</v>
      </c>
      <c r="F861" t="s">
        <v>30</v>
      </c>
    </row>
    <row r="862" spans="1:6" x14ac:dyDescent="0.35">
      <c r="A862" t="s">
        <v>1242</v>
      </c>
      <c r="B862" t="s">
        <v>1243</v>
      </c>
      <c r="C862" s="1">
        <v>45480</v>
      </c>
      <c r="D862">
        <v>270.16000000000003</v>
      </c>
      <c r="E862" t="s">
        <v>62</v>
      </c>
      <c r="F862" t="s">
        <v>42</v>
      </c>
    </row>
    <row r="863" spans="1:6" x14ac:dyDescent="0.35">
      <c r="A863" t="s">
        <v>1244</v>
      </c>
      <c r="B863" t="s">
        <v>183</v>
      </c>
      <c r="C863" s="1">
        <v>45383</v>
      </c>
      <c r="D863">
        <v>431.89</v>
      </c>
      <c r="E863" t="s">
        <v>71</v>
      </c>
      <c r="F863" t="s">
        <v>35</v>
      </c>
    </row>
    <row r="864" spans="1:6" x14ac:dyDescent="0.35">
      <c r="A864" t="s">
        <v>1245</v>
      </c>
      <c r="B864" t="s">
        <v>843</v>
      </c>
      <c r="C864" s="1">
        <v>45475</v>
      </c>
      <c r="D864">
        <v>343.59</v>
      </c>
      <c r="E864" t="s">
        <v>62</v>
      </c>
      <c r="F864" t="s">
        <v>38</v>
      </c>
    </row>
    <row r="865" spans="1:6" x14ac:dyDescent="0.35">
      <c r="A865" t="s">
        <v>1246</v>
      </c>
      <c r="B865" t="s">
        <v>650</v>
      </c>
      <c r="C865" s="1">
        <v>45571</v>
      </c>
      <c r="D865">
        <v>604.86</v>
      </c>
      <c r="E865" t="s">
        <v>68</v>
      </c>
      <c r="F865" t="s">
        <v>40</v>
      </c>
    </row>
    <row r="866" spans="1:6" x14ac:dyDescent="0.35">
      <c r="A866" t="s">
        <v>1247</v>
      </c>
      <c r="B866" t="s">
        <v>818</v>
      </c>
      <c r="C866" s="1">
        <v>45342</v>
      </c>
      <c r="D866">
        <v>58.54</v>
      </c>
      <c r="E866" t="s">
        <v>68</v>
      </c>
      <c r="F866" t="s">
        <v>40</v>
      </c>
    </row>
    <row r="867" spans="1:6" x14ac:dyDescent="0.35">
      <c r="A867" t="s">
        <v>1248</v>
      </c>
      <c r="B867" t="s">
        <v>480</v>
      </c>
      <c r="C867" s="1">
        <v>45394</v>
      </c>
      <c r="D867">
        <v>237.48</v>
      </c>
      <c r="E867" t="s">
        <v>71</v>
      </c>
      <c r="F867" t="s">
        <v>49</v>
      </c>
    </row>
    <row r="868" spans="1:6" x14ac:dyDescent="0.35">
      <c r="A868" t="s">
        <v>1249</v>
      </c>
      <c r="B868" t="s">
        <v>1153</v>
      </c>
      <c r="C868" s="1">
        <v>45446</v>
      </c>
      <c r="D868">
        <v>468.97</v>
      </c>
      <c r="E868" t="s">
        <v>62</v>
      </c>
      <c r="F868" t="s">
        <v>47</v>
      </c>
    </row>
    <row r="869" spans="1:6" x14ac:dyDescent="0.35">
      <c r="A869" t="s">
        <v>1250</v>
      </c>
      <c r="B869" t="s">
        <v>441</v>
      </c>
      <c r="C869" s="1">
        <v>45362</v>
      </c>
      <c r="D869">
        <v>508.6</v>
      </c>
      <c r="E869" t="s">
        <v>62</v>
      </c>
      <c r="F869" t="s">
        <v>36</v>
      </c>
    </row>
    <row r="870" spans="1:6" x14ac:dyDescent="0.35">
      <c r="A870" t="s">
        <v>1251</v>
      </c>
      <c r="B870" t="s">
        <v>1252</v>
      </c>
      <c r="C870" s="1">
        <v>45436</v>
      </c>
      <c r="D870">
        <v>540.44000000000005</v>
      </c>
      <c r="E870" t="s">
        <v>65</v>
      </c>
      <c r="F870" t="s">
        <v>30</v>
      </c>
    </row>
    <row r="871" spans="1:6" x14ac:dyDescent="0.35">
      <c r="A871" t="s">
        <v>1253</v>
      </c>
      <c r="B871" t="s">
        <v>602</v>
      </c>
      <c r="C871" s="1">
        <v>45627</v>
      </c>
      <c r="D871">
        <v>350.28</v>
      </c>
      <c r="E871" t="s">
        <v>65</v>
      </c>
      <c r="F871" t="s">
        <v>32</v>
      </c>
    </row>
    <row r="872" spans="1:6" x14ac:dyDescent="0.35">
      <c r="A872" t="s">
        <v>1254</v>
      </c>
      <c r="B872" t="s">
        <v>307</v>
      </c>
      <c r="C872" s="1">
        <v>45368</v>
      </c>
      <c r="D872">
        <v>479.85</v>
      </c>
      <c r="E872" t="s">
        <v>71</v>
      </c>
      <c r="F872" t="s">
        <v>34</v>
      </c>
    </row>
    <row r="873" spans="1:6" x14ac:dyDescent="0.35">
      <c r="A873" t="s">
        <v>1255</v>
      </c>
      <c r="B873" t="s">
        <v>402</v>
      </c>
      <c r="C873" s="1">
        <v>45399</v>
      </c>
      <c r="D873">
        <v>396.01</v>
      </c>
      <c r="E873" t="s">
        <v>71</v>
      </c>
      <c r="F873" t="s">
        <v>39</v>
      </c>
    </row>
    <row r="874" spans="1:6" x14ac:dyDescent="0.35">
      <c r="A874" t="s">
        <v>1256</v>
      </c>
      <c r="B874" t="s">
        <v>285</v>
      </c>
      <c r="C874" s="1">
        <v>45574</v>
      </c>
      <c r="D874">
        <v>522.03</v>
      </c>
      <c r="E874" t="s">
        <v>65</v>
      </c>
      <c r="F874" t="s">
        <v>53</v>
      </c>
    </row>
    <row r="875" spans="1:6" x14ac:dyDescent="0.35">
      <c r="A875" t="s">
        <v>1257</v>
      </c>
      <c r="B875" t="s">
        <v>847</v>
      </c>
      <c r="C875" s="1">
        <v>45452</v>
      </c>
      <c r="D875">
        <v>614.29</v>
      </c>
      <c r="E875" t="s">
        <v>65</v>
      </c>
      <c r="F875" t="s">
        <v>51</v>
      </c>
    </row>
    <row r="876" spans="1:6" x14ac:dyDescent="0.35">
      <c r="A876" t="s">
        <v>1258</v>
      </c>
      <c r="B876" t="s">
        <v>1259</v>
      </c>
      <c r="C876" s="1">
        <v>45505</v>
      </c>
      <c r="D876">
        <v>559.55999999999995</v>
      </c>
      <c r="E876" t="s">
        <v>65</v>
      </c>
      <c r="F876" t="s">
        <v>30</v>
      </c>
    </row>
    <row r="877" spans="1:6" x14ac:dyDescent="0.35">
      <c r="A877" t="s">
        <v>1260</v>
      </c>
      <c r="B877" t="s">
        <v>702</v>
      </c>
      <c r="C877" s="1">
        <v>45307</v>
      </c>
      <c r="D877">
        <v>572.36</v>
      </c>
      <c r="E877" t="s">
        <v>71</v>
      </c>
      <c r="F877" t="s">
        <v>39</v>
      </c>
    </row>
    <row r="878" spans="1:6" x14ac:dyDescent="0.35">
      <c r="A878" t="s">
        <v>1261</v>
      </c>
      <c r="B878" t="s">
        <v>130</v>
      </c>
      <c r="C878" s="1">
        <v>45448</v>
      </c>
      <c r="D878">
        <v>440.19</v>
      </c>
      <c r="E878" t="s">
        <v>65</v>
      </c>
      <c r="F878" t="s">
        <v>51</v>
      </c>
    </row>
    <row r="879" spans="1:6" x14ac:dyDescent="0.35">
      <c r="A879" t="s">
        <v>1262</v>
      </c>
      <c r="B879" t="s">
        <v>96</v>
      </c>
      <c r="C879" s="1">
        <v>45473</v>
      </c>
      <c r="D879">
        <v>296.82</v>
      </c>
      <c r="E879" t="s">
        <v>71</v>
      </c>
      <c r="F879" t="s">
        <v>29</v>
      </c>
    </row>
    <row r="880" spans="1:6" x14ac:dyDescent="0.35">
      <c r="A880" t="s">
        <v>1263</v>
      </c>
      <c r="B880" t="s">
        <v>160</v>
      </c>
      <c r="C880" s="1">
        <v>45498</v>
      </c>
      <c r="D880">
        <v>395.98</v>
      </c>
      <c r="E880" t="s">
        <v>62</v>
      </c>
      <c r="F880" t="s">
        <v>42</v>
      </c>
    </row>
    <row r="881" spans="1:6" x14ac:dyDescent="0.35">
      <c r="A881" t="s">
        <v>1264</v>
      </c>
      <c r="B881" t="s">
        <v>593</v>
      </c>
      <c r="C881" s="1">
        <v>45582</v>
      </c>
      <c r="D881">
        <v>636</v>
      </c>
      <c r="E881" t="s">
        <v>71</v>
      </c>
      <c r="F881" t="s">
        <v>34</v>
      </c>
    </row>
    <row r="882" spans="1:6" x14ac:dyDescent="0.35">
      <c r="A882" t="s">
        <v>1265</v>
      </c>
      <c r="B882" t="s">
        <v>895</v>
      </c>
      <c r="C882" s="1">
        <v>45461</v>
      </c>
      <c r="D882">
        <v>160.59</v>
      </c>
      <c r="E882" t="s">
        <v>65</v>
      </c>
      <c r="F882" t="s">
        <v>30</v>
      </c>
    </row>
    <row r="883" spans="1:6" x14ac:dyDescent="0.35">
      <c r="A883" t="s">
        <v>1266</v>
      </c>
      <c r="B883" t="s">
        <v>61</v>
      </c>
      <c r="C883" s="1">
        <v>45492</v>
      </c>
      <c r="D883">
        <v>326.99</v>
      </c>
      <c r="E883" t="s">
        <v>65</v>
      </c>
      <c r="F883" t="s">
        <v>48</v>
      </c>
    </row>
    <row r="884" spans="1:6" x14ac:dyDescent="0.35">
      <c r="A884" t="s">
        <v>1267</v>
      </c>
      <c r="B884" t="s">
        <v>706</v>
      </c>
      <c r="C884" s="1">
        <v>45460</v>
      </c>
      <c r="D884">
        <v>585.27</v>
      </c>
      <c r="E884" t="s">
        <v>65</v>
      </c>
      <c r="F884" t="s">
        <v>32</v>
      </c>
    </row>
    <row r="885" spans="1:6" x14ac:dyDescent="0.35">
      <c r="A885" t="s">
        <v>1268</v>
      </c>
      <c r="B885" t="s">
        <v>433</v>
      </c>
      <c r="C885" s="1">
        <v>45339</v>
      </c>
      <c r="D885">
        <v>375.04</v>
      </c>
      <c r="E885" t="s">
        <v>68</v>
      </c>
      <c r="F885" t="s">
        <v>33</v>
      </c>
    </row>
    <row r="886" spans="1:6" x14ac:dyDescent="0.35">
      <c r="A886" t="s">
        <v>1269</v>
      </c>
      <c r="B886" t="s">
        <v>1101</v>
      </c>
      <c r="C886" s="1">
        <v>45308</v>
      </c>
      <c r="D886">
        <v>149.82</v>
      </c>
      <c r="E886" t="s">
        <v>65</v>
      </c>
      <c r="F886" t="s">
        <v>31</v>
      </c>
    </row>
    <row r="887" spans="1:6" x14ac:dyDescent="0.35">
      <c r="A887" t="s">
        <v>1270</v>
      </c>
      <c r="B887" t="s">
        <v>232</v>
      </c>
      <c r="C887" s="1">
        <v>45327</v>
      </c>
      <c r="D887">
        <v>178.32</v>
      </c>
      <c r="E887" t="s">
        <v>62</v>
      </c>
      <c r="F887" t="s">
        <v>47</v>
      </c>
    </row>
    <row r="888" spans="1:6" x14ac:dyDescent="0.35">
      <c r="A888" t="s">
        <v>1271</v>
      </c>
      <c r="B888" t="s">
        <v>179</v>
      </c>
      <c r="C888" s="1">
        <v>45629</v>
      </c>
      <c r="D888">
        <v>70.33</v>
      </c>
      <c r="E888" t="s">
        <v>68</v>
      </c>
      <c r="F888" t="s">
        <v>52</v>
      </c>
    </row>
    <row r="889" spans="1:6" x14ac:dyDescent="0.35">
      <c r="A889" t="s">
        <v>1272</v>
      </c>
      <c r="B889" t="s">
        <v>70</v>
      </c>
      <c r="C889" s="1">
        <v>45557</v>
      </c>
      <c r="D889">
        <v>563.72</v>
      </c>
      <c r="E889" t="s">
        <v>71</v>
      </c>
      <c r="F889" t="s">
        <v>35</v>
      </c>
    </row>
    <row r="890" spans="1:6" x14ac:dyDescent="0.35">
      <c r="A890" t="s">
        <v>1273</v>
      </c>
      <c r="B890" t="s">
        <v>1274</v>
      </c>
      <c r="C890" s="1">
        <v>45502</v>
      </c>
      <c r="D890">
        <v>114.42</v>
      </c>
      <c r="E890" t="s">
        <v>71</v>
      </c>
      <c r="F890" t="s">
        <v>50</v>
      </c>
    </row>
    <row r="891" spans="1:6" x14ac:dyDescent="0.35">
      <c r="A891" t="s">
        <v>1275</v>
      </c>
      <c r="B891" t="s">
        <v>734</v>
      </c>
      <c r="C891" s="1">
        <v>45506</v>
      </c>
      <c r="D891">
        <v>622.38</v>
      </c>
      <c r="E891" t="s">
        <v>68</v>
      </c>
      <c r="F891" t="s">
        <v>52</v>
      </c>
    </row>
    <row r="892" spans="1:6" x14ac:dyDescent="0.35">
      <c r="A892" t="s">
        <v>1276</v>
      </c>
      <c r="B892" t="s">
        <v>956</v>
      </c>
      <c r="C892" s="1">
        <v>45397</v>
      </c>
      <c r="D892">
        <v>300.8</v>
      </c>
      <c r="E892" t="s">
        <v>71</v>
      </c>
      <c r="F892" t="s">
        <v>35</v>
      </c>
    </row>
    <row r="893" spans="1:6" x14ac:dyDescent="0.35">
      <c r="A893" t="s">
        <v>1277</v>
      </c>
      <c r="B893" t="s">
        <v>236</v>
      </c>
      <c r="C893" s="1">
        <v>45655</v>
      </c>
      <c r="D893">
        <v>406.28</v>
      </c>
      <c r="E893" t="s">
        <v>65</v>
      </c>
      <c r="F893" t="s">
        <v>48</v>
      </c>
    </row>
    <row r="894" spans="1:6" x14ac:dyDescent="0.35">
      <c r="A894" t="s">
        <v>1278</v>
      </c>
      <c r="B894" t="s">
        <v>173</v>
      </c>
      <c r="C894" s="1">
        <v>45450</v>
      </c>
      <c r="D894">
        <v>475.81</v>
      </c>
      <c r="E894" t="s">
        <v>71</v>
      </c>
      <c r="F894" t="s">
        <v>39</v>
      </c>
    </row>
    <row r="895" spans="1:6" x14ac:dyDescent="0.35">
      <c r="A895" t="s">
        <v>1279</v>
      </c>
      <c r="B895" t="s">
        <v>511</v>
      </c>
      <c r="C895" s="1">
        <v>45526</v>
      </c>
      <c r="D895">
        <v>644.52</v>
      </c>
      <c r="E895" t="s">
        <v>71</v>
      </c>
      <c r="F895" t="s">
        <v>50</v>
      </c>
    </row>
    <row r="896" spans="1:6" x14ac:dyDescent="0.35">
      <c r="A896" t="s">
        <v>1280</v>
      </c>
      <c r="B896" t="s">
        <v>61</v>
      </c>
      <c r="C896" s="1">
        <v>45520</v>
      </c>
      <c r="D896">
        <v>531.65</v>
      </c>
      <c r="E896" t="s">
        <v>65</v>
      </c>
      <c r="F896" t="s">
        <v>44</v>
      </c>
    </row>
    <row r="897" spans="1:6" x14ac:dyDescent="0.35">
      <c r="A897" t="s">
        <v>1281</v>
      </c>
      <c r="B897" t="s">
        <v>461</v>
      </c>
      <c r="C897" s="1">
        <v>45561</v>
      </c>
      <c r="D897">
        <v>319.56</v>
      </c>
      <c r="E897" t="s">
        <v>65</v>
      </c>
      <c r="F897" t="s">
        <v>30</v>
      </c>
    </row>
    <row r="898" spans="1:6" x14ac:dyDescent="0.35">
      <c r="A898" t="s">
        <v>1282</v>
      </c>
      <c r="B898" t="s">
        <v>420</v>
      </c>
      <c r="C898" s="1">
        <v>45312</v>
      </c>
      <c r="D898">
        <v>576.80999999999995</v>
      </c>
      <c r="E898" t="s">
        <v>62</v>
      </c>
      <c r="F898" t="s">
        <v>43</v>
      </c>
    </row>
    <row r="899" spans="1:6" x14ac:dyDescent="0.35">
      <c r="A899" t="s">
        <v>1283</v>
      </c>
      <c r="B899" t="s">
        <v>1252</v>
      </c>
      <c r="C899" s="1">
        <v>45525</v>
      </c>
      <c r="D899">
        <v>412.01</v>
      </c>
      <c r="E899" t="s">
        <v>62</v>
      </c>
      <c r="F899" t="s">
        <v>37</v>
      </c>
    </row>
    <row r="900" spans="1:6" x14ac:dyDescent="0.35">
      <c r="A900" t="s">
        <v>1284</v>
      </c>
      <c r="B900" t="s">
        <v>473</v>
      </c>
      <c r="C900" s="1">
        <v>45381</v>
      </c>
      <c r="D900">
        <v>588.48</v>
      </c>
      <c r="E900" t="s">
        <v>71</v>
      </c>
      <c r="F900" t="s">
        <v>34</v>
      </c>
    </row>
    <row r="901" spans="1:6" x14ac:dyDescent="0.35">
      <c r="A901" t="s">
        <v>1285</v>
      </c>
      <c r="B901" t="s">
        <v>128</v>
      </c>
      <c r="C901" s="1">
        <v>45513</v>
      </c>
      <c r="D901">
        <v>147.82</v>
      </c>
      <c r="E901" t="s">
        <v>65</v>
      </c>
      <c r="F901" t="s">
        <v>32</v>
      </c>
    </row>
    <row r="902" spans="1:6" x14ac:dyDescent="0.35">
      <c r="A902" t="s">
        <v>1286</v>
      </c>
      <c r="B902" t="s">
        <v>1287</v>
      </c>
      <c r="C902" s="1">
        <v>45583</v>
      </c>
      <c r="D902">
        <v>616.6</v>
      </c>
      <c r="E902" t="s">
        <v>65</v>
      </c>
      <c r="F902" t="s">
        <v>32</v>
      </c>
    </row>
    <row r="903" spans="1:6" x14ac:dyDescent="0.35">
      <c r="A903" t="s">
        <v>1288</v>
      </c>
      <c r="B903" t="s">
        <v>249</v>
      </c>
      <c r="C903" s="1">
        <v>45414</v>
      </c>
      <c r="D903">
        <v>365.71</v>
      </c>
      <c r="E903" t="s">
        <v>62</v>
      </c>
      <c r="F903" t="s">
        <v>43</v>
      </c>
    </row>
    <row r="904" spans="1:6" x14ac:dyDescent="0.35">
      <c r="A904" t="s">
        <v>1289</v>
      </c>
      <c r="B904" t="s">
        <v>276</v>
      </c>
      <c r="C904" s="1">
        <v>45633</v>
      </c>
      <c r="D904">
        <v>287.94</v>
      </c>
      <c r="E904" t="s">
        <v>71</v>
      </c>
      <c r="F904" t="s">
        <v>29</v>
      </c>
    </row>
    <row r="905" spans="1:6" x14ac:dyDescent="0.35">
      <c r="A905" t="s">
        <v>1290</v>
      </c>
      <c r="B905" t="s">
        <v>854</v>
      </c>
      <c r="C905" s="1">
        <v>45575</v>
      </c>
      <c r="D905">
        <v>499.57</v>
      </c>
      <c r="E905" t="s">
        <v>62</v>
      </c>
      <c r="F905" t="s">
        <v>36</v>
      </c>
    </row>
    <row r="906" spans="1:6" x14ac:dyDescent="0.35">
      <c r="A906" t="s">
        <v>1291</v>
      </c>
      <c r="B906" t="s">
        <v>320</v>
      </c>
      <c r="C906" s="1">
        <v>45550</v>
      </c>
      <c r="D906">
        <v>136.38</v>
      </c>
      <c r="E906" t="s">
        <v>65</v>
      </c>
      <c r="F906" t="s">
        <v>30</v>
      </c>
    </row>
    <row r="907" spans="1:6" x14ac:dyDescent="0.35">
      <c r="A907" t="s">
        <v>1292</v>
      </c>
      <c r="B907" t="s">
        <v>478</v>
      </c>
      <c r="C907" s="1">
        <v>45398</v>
      </c>
      <c r="D907">
        <v>51.43</v>
      </c>
      <c r="E907" t="s">
        <v>68</v>
      </c>
      <c r="F907" t="s">
        <v>52</v>
      </c>
    </row>
    <row r="908" spans="1:6" x14ac:dyDescent="0.35">
      <c r="A908" t="s">
        <v>1293</v>
      </c>
      <c r="B908" t="s">
        <v>519</v>
      </c>
      <c r="C908" s="1">
        <v>45619</v>
      </c>
      <c r="D908">
        <v>246.35</v>
      </c>
      <c r="E908" t="s">
        <v>65</v>
      </c>
      <c r="F908" t="s">
        <v>30</v>
      </c>
    </row>
    <row r="909" spans="1:6" x14ac:dyDescent="0.35">
      <c r="A909" t="s">
        <v>1294</v>
      </c>
      <c r="B909" t="s">
        <v>1295</v>
      </c>
      <c r="C909" s="1">
        <v>45496</v>
      </c>
      <c r="D909">
        <v>41.6</v>
      </c>
      <c r="E909" t="s">
        <v>65</v>
      </c>
      <c r="F909" t="s">
        <v>31</v>
      </c>
    </row>
    <row r="910" spans="1:6" x14ac:dyDescent="0.35">
      <c r="A910" t="s">
        <v>1296</v>
      </c>
      <c r="B910" t="s">
        <v>387</v>
      </c>
      <c r="C910" s="1">
        <v>45350</v>
      </c>
      <c r="D910">
        <v>495.44</v>
      </c>
      <c r="E910" t="s">
        <v>62</v>
      </c>
      <c r="F910" t="s">
        <v>43</v>
      </c>
    </row>
    <row r="911" spans="1:6" x14ac:dyDescent="0.35">
      <c r="A911" t="s">
        <v>1297</v>
      </c>
      <c r="B911" t="s">
        <v>1298</v>
      </c>
      <c r="C911" s="1">
        <v>45540</v>
      </c>
      <c r="D911">
        <v>372.28</v>
      </c>
      <c r="E911" t="s">
        <v>68</v>
      </c>
      <c r="F911" t="s">
        <v>46</v>
      </c>
    </row>
    <row r="912" spans="1:6" x14ac:dyDescent="0.35">
      <c r="A912" t="s">
        <v>1299</v>
      </c>
      <c r="B912" t="s">
        <v>646</v>
      </c>
      <c r="C912" s="1">
        <v>45416</v>
      </c>
      <c r="D912">
        <v>539.55999999999995</v>
      </c>
      <c r="E912" t="s">
        <v>71</v>
      </c>
      <c r="F912" t="s">
        <v>29</v>
      </c>
    </row>
    <row r="913" spans="1:6" x14ac:dyDescent="0.35">
      <c r="A913" t="s">
        <v>1300</v>
      </c>
      <c r="B913" t="s">
        <v>433</v>
      </c>
      <c r="C913" s="1">
        <v>45374</v>
      </c>
      <c r="D913">
        <v>96.82</v>
      </c>
      <c r="E913" t="s">
        <v>68</v>
      </c>
      <c r="F913" t="s">
        <v>45</v>
      </c>
    </row>
    <row r="914" spans="1:6" x14ac:dyDescent="0.35">
      <c r="A914" t="s">
        <v>1301</v>
      </c>
      <c r="B914" t="s">
        <v>827</v>
      </c>
      <c r="C914" s="1">
        <v>45442</v>
      </c>
      <c r="D914">
        <v>82.71</v>
      </c>
      <c r="E914" t="s">
        <v>65</v>
      </c>
      <c r="F914" t="s">
        <v>48</v>
      </c>
    </row>
    <row r="915" spans="1:6" x14ac:dyDescent="0.35">
      <c r="A915" t="s">
        <v>1302</v>
      </c>
      <c r="B915" t="s">
        <v>776</v>
      </c>
      <c r="C915" s="1">
        <v>45297</v>
      </c>
      <c r="D915">
        <v>306</v>
      </c>
      <c r="E915" t="s">
        <v>62</v>
      </c>
      <c r="F915" t="s">
        <v>47</v>
      </c>
    </row>
    <row r="916" spans="1:6" x14ac:dyDescent="0.35">
      <c r="A916" t="s">
        <v>1303</v>
      </c>
      <c r="B916" t="s">
        <v>153</v>
      </c>
      <c r="C916" s="1">
        <v>45383</v>
      </c>
      <c r="D916">
        <v>362.36</v>
      </c>
      <c r="E916" t="s">
        <v>68</v>
      </c>
      <c r="F916" t="s">
        <v>33</v>
      </c>
    </row>
    <row r="917" spans="1:6" x14ac:dyDescent="0.35">
      <c r="A917" t="s">
        <v>1304</v>
      </c>
      <c r="B917" t="s">
        <v>151</v>
      </c>
      <c r="C917" s="1">
        <v>45518</v>
      </c>
      <c r="D917">
        <v>459.56</v>
      </c>
      <c r="E917" t="s">
        <v>68</v>
      </c>
      <c r="F917" t="s">
        <v>52</v>
      </c>
    </row>
    <row r="918" spans="1:6" x14ac:dyDescent="0.35">
      <c r="A918" t="s">
        <v>1305</v>
      </c>
      <c r="B918" t="s">
        <v>598</v>
      </c>
      <c r="C918" s="1">
        <v>45519</v>
      </c>
      <c r="D918">
        <v>510.03</v>
      </c>
      <c r="E918" t="s">
        <v>68</v>
      </c>
      <c r="F918" t="s">
        <v>46</v>
      </c>
    </row>
    <row r="919" spans="1:6" x14ac:dyDescent="0.35">
      <c r="A919" t="s">
        <v>1306</v>
      </c>
      <c r="B919" t="s">
        <v>317</v>
      </c>
      <c r="C919" s="1">
        <v>45395</v>
      </c>
      <c r="D919">
        <v>157.99</v>
      </c>
      <c r="E919" t="s">
        <v>62</v>
      </c>
      <c r="F919" t="s">
        <v>47</v>
      </c>
    </row>
    <row r="920" spans="1:6" x14ac:dyDescent="0.35">
      <c r="A920" t="s">
        <v>1307</v>
      </c>
      <c r="B920" t="s">
        <v>1064</v>
      </c>
      <c r="C920" s="1">
        <v>45300</v>
      </c>
      <c r="D920">
        <v>242.33</v>
      </c>
      <c r="E920" t="s">
        <v>68</v>
      </c>
      <c r="F920" t="s">
        <v>46</v>
      </c>
    </row>
    <row r="921" spans="1:6" x14ac:dyDescent="0.35">
      <c r="A921" t="s">
        <v>1308</v>
      </c>
      <c r="B921" t="s">
        <v>986</v>
      </c>
      <c r="C921" s="1">
        <v>45390</v>
      </c>
      <c r="D921">
        <v>624.63</v>
      </c>
      <c r="E921" t="s">
        <v>68</v>
      </c>
      <c r="F921" t="s">
        <v>41</v>
      </c>
    </row>
    <row r="922" spans="1:6" x14ac:dyDescent="0.35">
      <c r="A922" t="s">
        <v>1309</v>
      </c>
      <c r="B922" t="s">
        <v>236</v>
      </c>
      <c r="C922" s="1">
        <v>45341</v>
      </c>
      <c r="D922">
        <v>137.72999999999999</v>
      </c>
      <c r="E922" t="s">
        <v>71</v>
      </c>
      <c r="F922" t="s">
        <v>49</v>
      </c>
    </row>
    <row r="923" spans="1:6" x14ac:dyDescent="0.35">
      <c r="A923" t="s">
        <v>1310</v>
      </c>
      <c r="B923" t="s">
        <v>92</v>
      </c>
      <c r="C923" s="1">
        <v>45504</v>
      </c>
      <c r="D923">
        <v>233.45</v>
      </c>
      <c r="E923" t="s">
        <v>68</v>
      </c>
      <c r="F923" t="s">
        <v>40</v>
      </c>
    </row>
    <row r="924" spans="1:6" x14ac:dyDescent="0.35">
      <c r="A924" t="s">
        <v>1311</v>
      </c>
      <c r="B924" t="s">
        <v>292</v>
      </c>
      <c r="C924" s="1">
        <v>45612</v>
      </c>
      <c r="D924">
        <v>277.95999999999998</v>
      </c>
      <c r="E924" t="s">
        <v>71</v>
      </c>
      <c r="F924" t="s">
        <v>39</v>
      </c>
    </row>
    <row r="925" spans="1:6" x14ac:dyDescent="0.35">
      <c r="A925" t="s">
        <v>1312</v>
      </c>
      <c r="B925" t="s">
        <v>616</v>
      </c>
      <c r="C925" s="1">
        <v>45511</v>
      </c>
      <c r="D925">
        <v>100.12</v>
      </c>
      <c r="E925" t="s">
        <v>71</v>
      </c>
      <c r="F925" t="s">
        <v>34</v>
      </c>
    </row>
    <row r="926" spans="1:6" x14ac:dyDescent="0.35">
      <c r="A926" t="s">
        <v>1313</v>
      </c>
      <c r="B926" t="s">
        <v>558</v>
      </c>
      <c r="C926" s="1">
        <v>45457</v>
      </c>
      <c r="D926">
        <v>437.21</v>
      </c>
      <c r="E926" t="s">
        <v>68</v>
      </c>
      <c r="F926" t="s">
        <v>52</v>
      </c>
    </row>
    <row r="927" spans="1:6" x14ac:dyDescent="0.35">
      <c r="A927" t="s">
        <v>1314</v>
      </c>
      <c r="B927" t="s">
        <v>207</v>
      </c>
      <c r="C927" s="1">
        <v>45298</v>
      </c>
      <c r="D927">
        <v>170.36</v>
      </c>
      <c r="E927" t="s">
        <v>71</v>
      </c>
      <c r="F927" t="s">
        <v>29</v>
      </c>
    </row>
    <row r="928" spans="1:6" x14ac:dyDescent="0.35">
      <c r="A928" t="s">
        <v>1315</v>
      </c>
      <c r="B928" t="s">
        <v>712</v>
      </c>
      <c r="C928" s="1">
        <v>45628</v>
      </c>
      <c r="D928">
        <v>76.41</v>
      </c>
      <c r="E928" t="s">
        <v>62</v>
      </c>
      <c r="F928" t="s">
        <v>36</v>
      </c>
    </row>
    <row r="929" spans="1:6" x14ac:dyDescent="0.35">
      <c r="A929" t="s">
        <v>1316</v>
      </c>
      <c r="B929" t="s">
        <v>205</v>
      </c>
      <c r="C929" s="1">
        <v>45403</v>
      </c>
      <c r="D929">
        <v>403.3</v>
      </c>
      <c r="E929" t="s">
        <v>62</v>
      </c>
      <c r="F929" t="s">
        <v>38</v>
      </c>
    </row>
    <row r="930" spans="1:6" x14ac:dyDescent="0.35">
      <c r="A930" t="s">
        <v>1317</v>
      </c>
      <c r="B930" t="s">
        <v>252</v>
      </c>
      <c r="C930" s="1">
        <v>45344</v>
      </c>
      <c r="D930">
        <v>624.80999999999995</v>
      </c>
      <c r="E930" t="s">
        <v>71</v>
      </c>
      <c r="F930" t="s">
        <v>35</v>
      </c>
    </row>
    <row r="931" spans="1:6" x14ac:dyDescent="0.35">
      <c r="A931" t="s">
        <v>1318</v>
      </c>
      <c r="B931" t="s">
        <v>320</v>
      </c>
      <c r="C931" s="1">
        <v>45599</v>
      </c>
      <c r="D931">
        <v>603.6</v>
      </c>
      <c r="E931" t="s">
        <v>65</v>
      </c>
      <c r="F931" t="s">
        <v>32</v>
      </c>
    </row>
    <row r="932" spans="1:6" x14ac:dyDescent="0.35">
      <c r="A932" t="s">
        <v>1319</v>
      </c>
      <c r="B932" t="s">
        <v>674</v>
      </c>
      <c r="C932" s="1">
        <v>45647</v>
      </c>
      <c r="D932">
        <v>425.74</v>
      </c>
      <c r="E932" t="s">
        <v>62</v>
      </c>
      <c r="F932" t="s">
        <v>47</v>
      </c>
    </row>
    <row r="933" spans="1:6" x14ac:dyDescent="0.35">
      <c r="A933" t="s">
        <v>1320</v>
      </c>
      <c r="B933" t="s">
        <v>760</v>
      </c>
      <c r="C933" s="1">
        <v>45644</v>
      </c>
      <c r="D933">
        <v>241.09</v>
      </c>
      <c r="E933" t="s">
        <v>65</v>
      </c>
      <c r="F933" t="s">
        <v>31</v>
      </c>
    </row>
    <row r="934" spans="1:6" x14ac:dyDescent="0.35">
      <c r="A934" t="s">
        <v>1321</v>
      </c>
      <c r="B934" t="s">
        <v>1031</v>
      </c>
      <c r="C934" s="1">
        <v>45603</v>
      </c>
      <c r="D934">
        <v>349.28</v>
      </c>
      <c r="E934" t="s">
        <v>65</v>
      </c>
      <c r="F934" t="s">
        <v>30</v>
      </c>
    </row>
    <row r="935" spans="1:6" x14ac:dyDescent="0.35">
      <c r="A935" t="s">
        <v>1322</v>
      </c>
      <c r="B935" t="s">
        <v>126</v>
      </c>
      <c r="C935" s="1">
        <v>45411</v>
      </c>
      <c r="D935">
        <v>48.05</v>
      </c>
      <c r="E935" t="s">
        <v>68</v>
      </c>
      <c r="F935" t="s">
        <v>41</v>
      </c>
    </row>
    <row r="936" spans="1:6" x14ac:dyDescent="0.35">
      <c r="A936" t="s">
        <v>1323</v>
      </c>
      <c r="B936" t="s">
        <v>194</v>
      </c>
      <c r="C936" s="1">
        <v>45355</v>
      </c>
      <c r="D936">
        <v>298.52999999999997</v>
      </c>
      <c r="E936" t="s">
        <v>71</v>
      </c>
      <c r="F936" t="s">
        <v>49</v>
      </c>
    </row>
    <row r="937" spans="1:6" x14ac:dyDescent="0.35">
      <c r="A937" t="s">
        <v>1324</v>
      </c>
      <c r="B937" t="s">
        <v>269</v>
      </c>
      <c r="C937" s="1">
        <v>45416</v>
      </c>
      <c r="D937">
        <v>119.6</v>
      </c>
      <c r="E937" t="s">
        <v>68</v>
      </c>
      <c r="F937" t="s">
        <v>46</v>
      </c>
    </row>
    <row r="938" spans="1:6" x14ac:dyDescent="0.35">
      <c r="A938" t="s">
        <v>1325</v>
      </c>
      <c r="B938" t="s">
        <v>265</v>
      </c>
      <c r="C938" s="1">
        <v>45547</v>
      </c>
      <c r="D938">
        <v>266.08</v>
      </c>
      <c r="E938" t="s">
        <v>71</v>
      </c>
      <c r="F938" t="s">
        <v>34</v>
      </c>
    </row>
    <row r="939" spans="1:6" x14ac:dyDescent="0.35">
      <c r="A939" t="s">
        <v>1326</v>
      </c>
      <c r="B939" t="s">
        <v>64</v>
      </c>
      <c r="C939" s="1">
        <v>45620</v>
      </c>
      <c r="D939">
        <v>402.82</v>
      </c>
      <c r="E939" t="s">
        <v>71</v>
      </c>
      <c r="F939" t="s">
        <v>49</v>
      </c>
    </row>
    <row r="940" spans="1:6" x14ac:dyDescent="0.35">
      <c r="A940" t="s">
        <v>1327</v>
      </c>
      <c r="B940" t="s">
        <v>461</v>
      </c>
      <c r="C940" s="1">
        <v>45519</v>
      </c>
      <c r="D940">
        <v>230.29</v>
      </c>
      <c r="E940" t="s">
        <v>71</v>
      </c>
      <c r="F940" t="s">
        <v>35</v>
      </c>
    </row>
    <row r="941" spans="1:6" x14ac:dyDescent="0.35">
      <c r="A941" t="s">
        <v>1328</v>
      </c>
      <c r="B941" t="s">
        <v>240</v>
      </c>
      <c r="C941" s="1">
        <v>45312</v>
      </c>
      <c r="D941">
        <v>534.82000000000005</v>
      </c>
      <c r="E941" t="s">
        <v>65</v>
      </c>
      <c r="F941" t="s">
        <v>32</v>
      </c>
    </row>
    <row r="942" spans="1:6" x14ac:dyDescent="0.35">
      <c r="A942" t="s">
        <v>1329</v>
      </c>
      <c r="B942" t="s">
        <v>141</v>
      </c>
      <c r="C942" s="1">
        <v>45304</v>
      </c>
      <c r="D942">
        <v>183.98</v>
      </c>
      <c r="E942" t="s">
        <v>62</v>
      </c>
      <c r="F942" t="s">
        <v>42</v>
      </c>
    </row>
    <row r="943" spans="1:6" x14ac:dyDescent="0.35">
      <c r="A943" t="s">
        <v>1330</v>
      </c>
      <c r="B943" t="s">
        <v>124</v>
      </c>
      <c r="C943" s="1">
        <v>45568</v>
      </c>
      <c r="D943">
        <v>463.21</v>
      </c>
      <c r="E943" t="s">
        <v>71</v>
      </c>
      <c r="F943" t="s">
        <v>49</v>
      </c>
    </row>
    <row r="944" spans="1:6" x14ac:dyDescent="0.35">
      <c r="A944" t="s">
        <v>1331</v>
      </c>
      <c r="B944" t="s">
        <v>303</v>
      </c>
      <c r="C944" s="1">
        <v>45405</v>
      </c>
      <c r="D944">
        <v>232.81</v>
      </c>
      <c r="E944" t="s">
        <v>65</v>
      </c>
      <c r="F944" t="s">
        <v>44</v>
      </c>
    </row>
    <row r="945" spans="1:6" x14ac:dyDescent="0.35">
      <c r="A945" t="s">
        <v>1332</v>
      </c>
      <c r="B945" t="s">
        <v>522</v>
      </c>
      <c r="C945" s="1">
        <v>45518</v>
      </c>
      <c r="D945">
        <v>569.97</v>
      </c>
      <c r="E945" t="s">
        <v>68</v>
      </c>
      <c r="F945" t="s">
        <v>46</v>
      </c>
    </row>
    <row r="946" spans="1:6" x14ac:dyDescent="0.35">
      <c r="A946" t="s">
        <v>1333</v>
      </c>
      <c r="B946" t="s">
        <v>613</v>
      </c>
      <c r="C946" s="1">
        <v>45327</v>
      </c>
      <c r="D946">
        <v>645.09</v>
      </c>
      <c r="E946" t="s">
        <v>68</v>
      </c>
      <c r="F946" t="s">
        <v>33</v>
      </c>
    </row>
    <row r="947" spans="1:6" x14ac:dyDescent="0.35">
      <c r="A947" t="s">
        <v>1334</v>
      </c>
      <c r="B947" t="s">
        <v>175</v>
      </c>
      <c r="C947" s="1">
        <v>45396</v>
      </c>
      <c r="D947">
        <v>399.47</v>
      </c>
      <c r="E947" t="s">
        <v>68</v>
      </c>
      <c r="F947" t="s">
        <v>41</v>
      </c>
    </row>
    <row r="948" spans="1:6" x14ac:dyDescent="0.35">
      <c r="A948" t="s">
        <v>1335</v>
      </c>
      <c r="B948" t="s">
        <v>683</v>
      </c>
      <c r="C948" s="1">
        <v>45396</v>
      </c>
      <c r="D948">
        <v>480.87</v>
      </c>
      <c r="E948" t="s">
        <v>68</v>
      </c>
      <c r="F948" t="s">
        <v>52</v>
      </c>
    </row>
    <row r="949" spans="1:6" x14ac:dyDescent="0.35">
      <c r="A949" t="s">
        <v>1336</v>
      </c>
      <c r="B949" t="s">
        <v>672</v>
      </c>
      <c r="C949" s="1">
        <v>45451</v>
      </c>
      <c r="D949">
        <v>295.77</v>
      </c>
      <c r="E949" t="s">
        <v>71</v>
      </c>
      <c r="F949" t="s">
        <v>34</v>
      </c>
    </row>
    <row r="950" spans="1:6" x14ac:dyDescent="0.35">
      <c r="A950" t="s">
        <v>1337</v>
      </c>
      <c r="B950" t="s">
        <v>317</v>
      </c>
      <c r="C950" s="1">
        <v>45602</v>
      </c>
      <c r="D950">
        <v>389.5</v>
      </c>
      <c r="E950" t="s">
        <v>62</v>
      </c>
      <c r="F950" t="s">
        <v>42</v>
      </c>
    </row>
    <row r="951" spans="1:6" x14ac:dyDescent="0.35">
      <c r="A951" t="s">
        <v>1338</v>
      </c>
      <c r="B951" t="s">
        <v>278</v>
      </c>
      <c r="C951" s="1">
        <v>45617</v>
      </c>
      <c r="D951">
        <v>515.49</v>
      </c>
      <c r="E951" t="s">
        <v>62</v>
      </c>
      <c r="F951" t="s">
        <v>38</v>
      </c>
    </row>
    <row r="952" spans="1:6" x14ac:dyDescent="0.35">
      <c r="A952" t="s">
        <v>1339</v>
      </c>
      <c r="B952" t="s">
        <v>76</v>
      </c>
      <c r="C952" s="1">
        <v>45332</v>
      </c>
      <c r="D952">
        <v>138.18</v>
      </c>
      <c r="E952" t="s">
        <v>65</v>
      </c>
      <c r="F952" t="s">
        <v>30</v>
      </c>
    </row>
    <row r="953" spans="1:6" x14ac:dyDescent="0.35">
      <c r="A953" t="s">
        <v>1340</v>
      </c>
      <c r="B953" t="s">
        <v>912</v>
      </c>
      <c r="C953" s="1">
        <v>45517</v>
      </c>
      <c r="D953">
        <v>130.87</v>
      </c>
      <c r="E953" t="s">
        <v>65</v>
      </c>
      <c r="F953" t="s">
        <v>51</v>
      </c>
    </row>
    <row r="954" spans="1:6" x14ac:dyDescent="0.35">
      <c r="A954" t="s">
        <v>1341</v>
      </c>
      <c r="B954" t="s">
        <v>255</v>
      </c>
      <c r="C954" s="1">
        <v>45538</v>
      </c>
      <c r="D954">
        <v>560.24</v>
      </c>
      <c r="E954" t="s">
        <v>65</v>
      </c>
      <c r="F954" t="s">
        <v>30</v>
      </c>
    </row>
    <row r="955" spans="1:6" x14ac:dyDescent="0.35">
      <c r="A955" t="s">
        <v>1342</v>
      </c>
      <c r="B955" t="s">
        <v>413</v>
      </c>
      <c r="C955" s="1">
        <v>45445</v>
      </c>
      <c r="D955">
        <v>481.89</v>
      </c>
      <c r="E955" t="s">
        <v>71</v>
      </c>
      <c r="F955" t="s">
        <v>39</v>
      </c>
    </row>
    <row r="956" spans="1:6" x14ac:dyDescent="0.35">
      <c r="A956" t="s">
        <v>1343</v>
      </c>
      <c r="B956" t="s">
        <v>411</v>
      </c>
      <c r="C956" s="1">
        <v>45423</v>
      </c>
      <c r="D956">
        <v>313.97000000000003</v>
      </c>
      <c r="E956" t="s">
        <v>65</v>
      </c>
      <c r="F956" t="s">
        <v>53</v>
      </c>
    </row>
    <row r="957" spans="1:6" x14ac:dyDescent="0.35">
      <c r="A957" t="s">
        <v>1344</v>
      </c>
      <c r="B957" t="s">
        <v>370</v>
      </c>
      <c r="C957" s="1">
        <v>45484</v>
      </c>
      <c r="D957">
        <v>239.94</v>
      </c>
      <c r="E957" t="s">
        <v>65</v>
      </c>
      <c r="F957" t="s">
        <v>31</v>
      </c>
    </row>
    <row r="958" spans="1:6" x14ac:dyDescent="0.35">
      <c r="A958" t="s">
        <v>1345</v>
      </c>
      <c r="B958" t="s">
        <v>774</v>
      </c>
      <c r="C958" s="1">
        <v>45532</v>
      </c>
      <c r="D958">
        <v>37.57</v>
      </c>
      <c r="E958" t="s">
        <v>71</v>
      </c>
      <c r="F958" t="s">
        <v>34</v>
      </c>
    </row>
    <row r="959" spans="1:6" x14ac:dyDescent="0.35">
      <c r="A959" t="s">
        <v>1346</v>
      </c>
      <c r="B959" t="s">
        <v>702</v>
      </c>
      <c r="C959" s="1">
        <v>45548</v>
      </c>
      <c r="D959">
        <v>604.29999999999995</v>
      </c>
      <c r="E959" t="s">
        <v>65</v>
      </c>
      <c r="F959" t="s">
        <v>30</v>
      </c>
    </row>
    <row r="960" spans="1:6" x14ac:dyDescent="0.35">
      <c r="A960" t="s">
        <v>1347</v>
      </c>
      <c r="B960" t="s">
        <v>702</v>
      </c>
      <c r="C960" s="1">
        <v>45494</v>
      </c>
      <c r="D960">
        <v>224.3</v>
      </c>
      <c r="E960" t="s">
        <v>65</v>
      </c>
      <c r="F960" t="s">
        <v>30</v>
      </c>
    </row>
    <row r="961" spans="1:6" x14ac:dyDescent="0.35">
      <c r="A961" t="s">
        <v>1348</v>
      </c>
      <c r="B961" t="s">
        <v>229</v>
      </c>
      <c r="C961" s="1">
        <v>45593</v>
      </c>
      <c r="D961">
        <v>645.37</v>
      </c>
      <c r="E961" t="s">
        <v>65</v>
      </c>
      <c r="F961" t="s">
        <v>31</v>
      </c>
    </row>
    <row r="962" spans="1:6" x14ac:dyDescent="0.35">
      <c r="A962" t="s">
        <v>1349</v>
      </c>
      <c r="B962" t="s">
        <v>232</v>
      </c>
      <c r="C962" s="1">
        <v>45355</v>
      </c>
      <c r="D962">
        <v>504.21</v>
      </c>
      <c r="E962" t="s">
        <v>71</v>
      </c>
      <c r="F962" t="s">
        <v>34</v>
      </c>
    </row>
    <row r="963" spans="1:6" x14ac:dyDescent="0.35">
      <c r="A963" t="s">
        <v>1350</v>
      </c>
      <c r="B963" t="s">
        <v>261</v>
      </c>
      <c r="C963" s="1">
        <v>45422</v>
      </c>
      <c r="D963">
        <v>458.42</v>
      </c>
      <c r="E963" t="s">
        <v>65</v>
      </c>
      <c r="F963" t="s">
        <v>32</v>
      </c>
    </row>
    <row r="964" spans="1:6" x14ac:dyDescent="0.35">
      <c r="A964" t="s">
        <v>1351</v>
      </c>
      <c r="B964" t="s">
        <v>1352</v>
      </c>
      <c r="C964" s="1">
        <v>45648</v>
      </c>
      <c r="D964">
        <v>487.43</v>
      </c>
      <c r="E964" t="s">
        <v>65</v>
      </c>
      <c r="F964" t="s">
        <v>30</v>
      </c>
    </row>
    <row r="965" spans="1:6" x14ac:dyDescent="0.35">
      <c r="A965" t="s">
        <v>1353</v>
      </c>
      <c r="B965" t="s">
        <v>734</v>
      </c>
      <c r="C965" s="1">
        <v>45416</v>
      </c>
      <c r="D965">
        <v>423.04</v>
      </c>
      <c r="E965" t="s">
        <v>68</v>
      </c>
      <c r="F965" t="s">
        <v>40</v>
      </c>
    </row>
    <row r="966" spans="1:6" x14ac:dyDescent="0.35">
      <c r="A966" t="s">
        <v>1354</v>
      </c>
      <c r="B966" t="s">
        <v>98</v>
      </c>
      <c r="C966" s="1">
        <v>45638</v>
      </c>
      <c r="D966">
        <v>407.34</v>
      </c>
      <c r="E966" t="s">
        <v>71</v>
      </c>
      <c r="F966" t="s">
        <v>35</v>
      </c>
    </row>
    <row r="967" spans="1:6" x14ac:dyDescent="0.35">
      <c r="A967" t="s">
        <v>1355</v>
      </c>
      <c r="B967" t="s">
        <v>335</v>
      </c>
      <c r="C967" s="1">
        <v>45640</v>
      </c>
      <c r="D967">
        <v>405.32</v>
      </c>
      <c r="E967" t="s">
        <v>62</v>
      </c>
      <c r="F967" t="s">
        <v>47</v>
      </c>
    </row>
    <row r="968" spans="1:6" x14ac:dyDescent="0.35">
      <c r="A968" t="s">
        <v>1356</v>
      </c>
      <c r="B968" t="s">
        <v>721</v>
      </c>
      <c r="C968" s="1">
        <v>45631</v>
      </c>
      <c r="D968">
        <v>509.15</v>
      </c>
      <c r="E968" t="s">
        <v>68</v>
      </c>
      <c r="F968" t="s">
        <v>46</v>
      </c>
    </row>
    <row r="969" spans="1:6" x14ac:dyDescent="0.35">
      <c r="A969" t="s">
        <v>1357</v>
      </c>
      <c r="B969" t="s">
        <v>431</v>
      </c>
      <c r="C969" s="1">
        <v>45621</v>
      </c>
      <c r="D969">
        <v>395.49</v>
      </c>
      <c r="E969" t="s">
        <v>65</v>
      </c>
      <c r="F969" t="s">
        <v>32</v>
      </c>
    </row>
    <row r="970" spans="1:6" x14ac:dyDescent="0.35">
      <c r="A970" t="s">
        <v>1358</v>
      </c>
      <c r="B970" t="s">
        <v>1359</v>
      </c>
      <c r="C970" s="1">
        <v>45333</v>
      </c>
      <c r="D970">
        <v>136.97999999999999</v>
      </c>
      <c r="E970" t="s">
        <v>71</v>
      </c>
      <c r="F970" t="s">
        <v>29</v>
      </c>
    </row>
    <row r="971" spans="1:6" x14ac:dyDescent="0.35">
      <c r="A971" t="s">
        <v>1360</v>
      </c>
      <c r="B971" t="s">
        <v>1011</v>
      </c>
      <c r="C971" s="1">
        <v>45510</v>
      </c>
      <c r="D971">
        <v>630.13</v>
      </c>
      <c r="E971" t="s">
        <v>62</v>
      </c>
      <c r="F971" t="s">
        <v>54</v>
      </c>
    </row>
    <row r="972" spans="1:6" x14ac:dyDescent="0.35">
      <c r="A972" t="s">
        <v>1361</v>
      </c>
      <c r="B972" t="s">
        <v>164</v>
      </c>
      <c r="C972" s="1">
        <v>45629</v>
      </c>
      <c r="D972">
        <v>288.14</v>
      </c>
      <c r="E972" t="s">
        <v>62</v>
      </c>
      <c r="F972" t="s">
        <v>43</v>
      </c>
    </row>
    <row r="973" spans="1:6" x14ac:dyDescent="0.35">
      <c r="A973" t="s">
        <v>1362</v>
      </c>
      <c r="B973" t="s">
        <v>452</v>
      </c>
      <c r="C973" s="1">
        <v>45337</v>
      </c>
      <c r="D973">
        <v>122.77</v>
      </c>
      <c r="E973" t="s">
        <v>62</v>
      </c>
      <c r="F973" t="s">
        <v>38</v>
      </c>
    </row>
    <row r="974" spans="1:6" x14ac:dyDescent="0.35">
      <c r="A974" t="s">
        <v>1363</v>
      </c>
      <c r="B974" t="s">
        <v>307</v>
      </c>
      <c r="C974" s="1">
        <v>45399</v>
      </c>
      <c r="D974">
        <v>642.02</v>
      </c>
      <c r="E974" t="s">
        <v>62</v>
      </c>
      <c r="F974" t="s">
        <v>36</v>
      </c>
    </row>
    <row r="975" spans="1:6" x14ac:dyDescent="0.35">
      <c r="A975" t="s">
        <v>1364</v>
      </c>
      <c r="B975" t="s">
        <v>545</v>
      </c>
      <c r="C975" s="1">
        <v>45543</v>
      </c>
      <c r="D975">
        <v>510.85</v>
      </c>
      <c r="E975" t="s">
        <v>68</v>
      </c>
      <c r="F975" t="s">
        <v>46</v>
      </c>
    </row>
    <row r="976" spans="1:6" x14ac:dyDescent="0.35">
      <c r="A976" t="s">
        <v>1365</v>
      </c>
      <c r="B976" t="s">
        <v>179</v>
      </c>
      <c r="C976" s="1">
        <v>45505</v>
      </c>
      <c r="D976">
        <v>212.33</v>
      </c>
      <c r="E976" t="s">
        <v>65</v>
      </c>
      <c r="F976" t="s">
        <v>32</v>
      </c>
    </row>
    <row r="977" spans="1:6" x14ac:dyDescent="0.35">
      <c r="A977" t="s">
        <v>1366</v>
      </c>
      <c r="B977" t="s">
        <v>433</v>
      </c>
      <c r="C977" s="1">
        <v>45512</v>
      </c>
      <c r="D977">
        <v>149.63999999999999</v>
      </c>
      <c r="E977" t="s">
        <v>71</v>
      </c>
      <c r="F977" t="s">
        <v>35</v>
      </c>
    </row>
    <row r="978" spans="1:6" x14ac:dyDescent="0.35">
      <c r="A978" t="s">
        <v>1367</v>
      </c>
      <c r="B978" t="s">
        <v>234</v>
      </c>
      <c r="C978" s="1">
        <v>45360</v>
      </c>
      <c r="D978">
        <v>344.11</v>
      </c>
      <c r="E978" t="s">
        <v>65</v>
      </c>
      <c r="F978" t="s">
        <v>48</v>
      </c>
    </row>
    <row r="979" spans="1:6" x14ac:dyDescent="0.35">
      <c r="A979" t="s">
        <v>1368</v>
      </c>
      <c r="B979" t="s">
        <v>139</v>
      </c>
      <c r="C979" s="1">
        <v>45348</v>
      </c>
      <c r="D979">
        <v>158.58000000000001</v>
      </c>
      <c r="E979" t="s">
        <v>71</v>
      </c>
      <c r="F979" t="s">
        <v>34</v>
      </c>
    </row>
    <row r="980" spans="1:6" x14ac:dyDescent="0.35">
      <c r="A980" t="s">
        <v>1369</v>
      </c>
      <c r="B980" t="s">
        <v>613</v>
      </c>
      <c r="C980" s="1">
        <v>45385</v>
      </c>
      <c r="D980">
        <v>286.41000000000003</v>
      </c>
      <c r="E980" t="s">
        <v>62</v>
      </c>
      <c r="F980" t="s">
        <v>38</v>
      </c>
    </row>
    <row r="981" spans="1:6" x14ac:dyDescent="0.35">
      <c r="A981" t="s">
        <v>1370</v>
      </c>
      <c r="B981" t="s">
        <v>901</v>
      </c>
      <c r="C981" s="1">
        <v>45612</v>
      </c>
      <c r="D981">
        <v>137.16999999999999</v>
      </c>
      <c r="E981" t="s">
        <v>68</v>
      </c>
      <c r="F981" t="s">
        <v>33</v>
      </c>
    </row>
    <row r="982" spans="1:6" x14ac:dyDescent="0.35">
      <c r="A982" t="s">
        <v>1371</v>
      </c>
      <c r="B982" t="s">
        <v>181</v>
      </c>
      <c r="C982" s="1">
        <v>45442</v>
      </c>
      <c r="D982">
        <v>205.21</v>
      </c>
      <c r="E982" t="s">
        <v>65</v>
      </c>
      <c r="F982" t="s">
        <v>31</v>
      </c>
    </row>
    <row r="983" spans="1:6" x14ac:dyDescent="0.35">
      <c r="A983" t="s">
        <v>1372</v>
      </c>
      <c r="B983" t="s">
        <v>1373</v>
      </c>
      <c r="C983" s="1">
        <v>45467</v>
      </c>
      <c r="D983">
        <v>333.39</v>
      </c>
      <c r="E983" t="s">
        <v>71</v>
      </c>
      <c r="F983" t="s">
        <v>29</v>
      </c>
    </row>
    <row r="984" spans="1:6" x14ac:dyDescent="0.35">
      <c r="A984" t="s">
        <v>1374</v>
      </c>
      <c r="B984" t="s">
        <v>130</v>
      </c>
      <c r="C984" s="1">
        <v>45343</v>
      </c>
      <c r="D984">
        <v>497.36</v>
      </c>
      <c r="E984" t="s">
        <v>68</v>
      </c>
      <c r="F984" t="s">
        <v>40</v>
      </c>
    </row>
    <row r="985" spans="1:6" x14ac:dyDescent="0.35">
      <c r="A985" t="s">
        <v>1375</v>
      </c>
      <c r="B985" t="s">
        <v>236</v>
      </c>
      <c r="C985" s="1">
        <v>45295</v>
      </c>
      <c r="D985">
        <v>164.81</v>
      </c>
      <c r="E985" t="s">
        <v>68</v>
      </c>
      <c r="F985" t="s">
        <v>46</v>
      </c>
    </row>
    <row r="986" spans="1:6" x14ac:dyDescent="0.35">
      <c r="A986" t="s">
        <v>1376</v>
      </c>
      <c r="B986" t="s">
        <v>1377</v>
      </c>
      <c r="C986" s="1">
        <v>45295</v>
      </c>
      <c r="D986">
        <v>326.04000000000002</v>
      </c>
      <c r="E986" t="s">
        <v>62</v>
      </c>
      <c r="F986" t="s">
        <v>37</v>
      </c>
    </row>
    <row r="987" spans="1:6" x14ac:dyDescent="0.35">
      <c r="A987" t="s">
        <v>1378</v>
      </c>
      <c r="B987" t="s">
        <v>171</v>
      </c>
      <c r="C987" s="1">
        <v>45464</v>
      </c>
      <c r="D987">
        <v>263.02999999999997</v>
      </c>
      <c r="E987" t="s">
        <v>65</v>
      </c>
      <c r="F987" t="s">
        <v>53</v>
      </c>
    </row>
    <row r="988" spans="1:6" x14ac:dyDescent="0.35">
      <c r="A988" t="s">
        <v>1379</v>
      </c>
      <c r="B988" t="s">
        <v>494</v>
      </c>
      <c r="C988" s="1">
        <v>45467</v>
      </c>
      <c r="D988">
        <v>444.02</v>
      </c>
      <c r="E988" t="s">
        <v>71</v>
      </c>
      <c r="F988" t="s">
        <v>35</v>
      </c>
    </row>
    <row r="989" spans="1:6" x14ac:dyDescent="0.35">
      <c r="A989" t="s">
        <v>1380</v>
      </c>
      <c r="B989" t="s">
        <v>454</v>
      </c>
      <c r="C989" s="1">
        <v>45485</v>
      </c>
      <c r="D989">
        <v>571.94000000000005</v>
      </c>
      <c r="E989" t="s">
        <v>68</v>
      </c>
      <c r="F989" t="s">
        <v>40</v>
      </c>
    </row>
    <row r="990" spans="1:6" x14ac:dyDescent="0.35">
      <c r="A990" t="s">
        <v>1381</v>
      </c>
      <c r="B990" t="s">
        <v>439</v>
      </c>
      <c r="C990" s="1">
        <v>45343</v>
      </c>
      <c r="D990">
        <v>464.46</v>
      </c>
      <c r="E990" t="s">
        <v>65</v>
      </c>
      <c r="F990" t="s">
        <v>51</v>
      </c>
    </row>
    <row r="991" spans="1:6" x14ac:dyDescent="0.35">
      <c r="A991" t="s">
        <v>1382</v>
      </c>
      <c r="B991" t="s">
        <v>396</v>
      </c>
      <c r="C991" s="1">
        <v>45363</v>
      </c>
      <c r="D991">
        <v>206.87</v>
      </c>
      <c r="E991" t="s">
        <v>68</v>
      </c>
      <c r="F991" t="s">
        <v>45</v>
      </c>
    </row>
    <row r="992" spans="1:6" x14ac:dyDescent="0.35">
      <c r="A992" t="s">
        <v>1383</v>
      </c>
      <c r="B992" t="s">
        <v>317</v>
      </c>
      <c r="C992" s="1">
        <v>45650</v>
      </c>
      <c r="D992">
        <v>415.29</v>
      </c>
      <c r="E992" t="s">
        <v>62</v>
      </c>
      <c r="F992" t="s">
        <v>37</v>
      </c>
    </row>
    <row r="993" spans="1:6" x14ac:dyDescent="0.35">
      <c r="A993" t="s">
        <v>1384</v>
      </c>
      <c r="B993" t="s">
        <v>186</v>
      </c>
      <c r="C993" s="1">
        <v>45629</v>
      </c>
      <c r="D993">
        <v>150.58000000000001</v>
      </c>
      <c r="E993" t="s">
        <v>65</v>
      </c>
      <c r="F993" t="s">
        <v>32</v>
      </c>
    </row>
    <row r="994" spans="1:6" x14ac:dyDescent="0.35">
      <c r="A994" t="s">
        <v>1385</v>
      </c>
      <c r="B994" t="s">
        <v>1123</v>
      </c>
      <c r="C994" s="1">
        <v>45618</v>
      </c>
      <c r="D994">
        <v>256.52999999999997</v>
      </c>
      <c r="E994" t="s">
        <v>68</v>
      </c>
      <c r="F994" t="s">
        <v>33</v>
      </c>
    </row>
    <row r="995" spans="1:6" x14ac:dyDescent="0.35">
      <c r="A995" t="s">
        <v>1386</v>
      </c>
      <c r="B995" t="s">
        <v>320</v>
      </c>
      <c r="C995" s="1">
        <v>45315</v>
      </c>
      <c r="D995">
        <v>408.16</v>
      </c>
      <c r="E995" t="s">
        <v>65</v>
      </c>
      <c r="F995" t="s">
        <v>48</v>
      </c>
    </row>
    <row r="996" spans="1:6" x14ac:dyDescent="0.35">
      <c r="A996" t="s">
        <v>1387</v>
      </c>
      <c r="B996" t="s">
        <v>463</v>
      </c>
      <c r="C996" s="1">
        <v>45496</v>
      </c>
      <c r="D996">
        <v>298.17</v>
      </c>
      <c r="E996" t="s">
        <v>68</v>
      </c>
      <c r="F996" t="s">
        <v>40</v>
      </c>
    </row>
    <row r="997" spans="1:6" x14ac:dyDescent="0.35">
      <c r="A997" t="s">
        <v>1388</v>
      </c>
      <c r="B997" t="s">
        <v>989</v>
      </c>
      <c r="C997" s="1">
        <v>45535</v>
      </c>
      <c r="D997">
        <v>271.69</v>
      </c>
      <c r="E997" t="s">
        <v>68</v>
      </c>
      <c r="F997" t="s">
        <v>33</v>
      </c>
    </row>
    <row r="998" spans="1:6" x14ac:dyDescent="0.35">
      <c r="A998" t="s">
        <v>1389</v>
      </c>
      <c r="B998" t="s">
        <v>1295</v>
      </c>
      <c r="C998" s="1">
        <v>45602</v>
      </c>
      <c r="D998">
        <v>573.88</v>
      </c>
      <c r="E998" t="s">
        <v>71</v>
      </c>
      <c r="F998" t="s">
        <v>39</v>
      </c>
    </row>
    <row r="999" spans="1:6" x14ac:dyDescent="0.35">
      <c r="A999" t="s">
        <v>1390</v>
      </c>
      <c r="B999" t="s">
        <v>593</v>
      </c>
      <c r="C999" s="1">
        <v>45550</v>
      </c>
      <c r="D999">
        <v>525.04</v>
      </c>
      <c r="E999" t="s">
        <v>71</v>
      </c>
      <c r="F999" t="s">
        <v>29</v>
      </c>
    </row>
    <row r="1000" spans="1:6" x14ac:dyDescent="0.35">
      <c r="A1000" t="s">
        <v>1391</v>
      </c>
      <c r="B1000" t="s">
        <v>483</v>
      </c>
      <c r="C1000" s="1">
        <v>45446</v>
      </c>
      <c r="D1000">
        <v>586.29</v>
      </c>
      <c r="E1000" t="s">
        <v>65</v>
      </c>
      <c r="F1000" t="s">
        <v>48</v>
      </c>
    </row>
    <row r="1001" spans="1:6" x14ac:dyDescent="0.35">
      <c r="A1001" t="s">
        <v>1392</v>
      </c>
      <c r="B1001" t="s">
        <v>637</v>
      </c>
      <c r="C1001" s="1">
        <v>45351</v>
      </c>
      <c r="D1001">
        <v>165.16</v>
      </c>
      <c r="E1001" t="s">
        <v>71</v>
      </c>
      <c r="F1001" t="s">
        <v>34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8"/>
  <sheetViews>
    <sheetView workbookViewId="0"/>
  </sheetViews>
  <sheetFormatPr defaultRowHeight="14.5" x14ac:dyDescent="0.35"/>
  <cols>
    <col min="1" max="1" width="13" customWidth="1"/>
    <col min="2" max="2" width="9.6328125" customWidth="1"/>
    <col min="3" max="3" width="11.26953125" customWidth="1"/>
    <col min="4" max="4" width="12.90625" customWidth="1"/>
  </cols>
  <sheetData>
    <row r="1" spans="1:5" x14ac:dyDescent="0.35">
      <c r="A1" t="s">
        <v>1393</v>
      </c>
      <c r="B1" t="s">
        <v>1394</v>
      </c>
      <c r="C1" t="s">
        <v>9</v>
      </c>
      <c r="D1" t="s">
        <v>10</v>
      </c>
      <c r="E1" t="s">
        <v>11</v>
      </c>
    </row>
    <row r="2" spans="1:5" x14ac:dyDescent="0.35">
      <c r="A2" s="1">
        <v>45292</v>
      </c>
      <c r="B2" t="s">
        <v>1395</v>
      </c>
      <c r="C2">
        <v>493.83</v>
      </c>
      <c r="D2">
        <v>29502</v>
      </c>
      <c r="E2">
        <v>370</v>
      </c>
    </row>
    <row r="3" spans="1:5" x14ac:dyDescent="0.35">
      <c r="A3" s="1">
        <v>45292</v>
      </c>
      <c r="B3" t="s">
        <v>1396</v>
      </c>
      <c r="C3">
        <v>1026.3599999999999</v>
      </c>
      <c r="D3">
        <v>22153</v>
      </c>
      <c r="E3">
        <v>242</v>
      </c>
    </row>
    <row r="4" spans="1:5" x14ac:dyDescent="0.35">
      <c r="A4" s="1">
        <v>45293</v>
      </c>
      <c r="B4" t="s">
        <v>1395</v>
      </c>
      <c r="C4">
        <v>2065.83</v>
      </c>
      <c r="D4">
        <v>64387</v>
      </c>
      <c r="E4">
        <v>2739</v>
      </c>
    </row>
    <row r="5" spans="1:5" x14ac:dyDescent="0.35">
      <c r="A5" s="1">
        <v>45294</v>
      </c>
      <c r="B5" t="s">
        <v>1397</v>
      </c>
      <c r="C5">
        <v>333.1</v>
      </c>
      <c r="D5">
        <v>16517</v>
      </c>
      <c r="E5">
        <v>1488</v>
      </c>
    </row>
    <row r="6" spans="1:5" x14ac:dyDescent="0.35">
      <c r="A6" s="1">
        <v>45296</v>
      </c>
      <c r="B6" t="s">
        <v>1395</v>
      </c>
      <c r="C6">
        <v>1097.21</v>
      </c>
      <c r="D6">
        <v>34553</v>
      </c>
      <c r="E6">
        <v>1735</v>
      </c>
    </row>
    <row r="7" spans="1:5" x14ac:dyDescent="0.35">
      <c r="A7" s="1">
        <v>45296</v>
      </c>
      <c r="B7" t="s">
        <v>1397</v>
      </c>
      <c r="C7">
        <v>1692.84</v>
      </c>
      <c r="D7">
        <v>38708</v>
      </c>
      <c r="E7">
        <v>2167</v>
      </c>
    </row>
    <row r="8" spans="1:5" x14ac:dyDescent="0.35">
      <c r="A8" s="1">
        <v>45298</v>
      </c>
      <c r="B8" t="s">
        <v>1395</v>
      </c>
      <c r="C8">
        <v>1004.93</v>
      </c>
      <c r="D8">
        <v>16567</v>
      </c>
      <c r="E8">
        <v>297</v>
      </c>
    </row>
    <row r="9" spans="1:5" x14ac:dyDescent="0.35">
      <c r="A9" s="1">
        <v>45298</v>
      </c>
      <c r="B9" t="s">
        <v>1398</v>
      </c>
      <c r="C9">
        <v>959.6</v>
      </c>
      <c r="D9">
        <v>38589</v>
      </c>
      <c r="E9">
        <v>1860</v>
      </c>
    </row>
    <row r="10" spans="1:5" x14ac:dyDescent="0.35">
      <c r="A10" s="1">
        <v>45299</v>
      </c>
      <c r="B10" t="s">
        <v>1398</v>
      </c>
      <c r="C10">
        <v>1127.73</v>
      </c>
      <c r="D10">
        <v>9688</v>
      </c>
      <c r="E10">
        <v>1559</v>
      </c>
    </row>
    <row r="11" spans="1:5" x14ac:dyDescent="0.35">
      <c r="A11" s="1">
        <v>45300</v>
      </c>
      <c r="B11" t="s">
        <v>1398</v>
      </c>
      <c r="C11">
        <v>938.11</v>
      </c>
      <c r="D11">
        <v>43665</v>
      </c>
      <c r="E11">
        <v>2677</v>
      </c>
    </row>
    <row r="12" spans="1:5" x14ac:dyDescent="0.35">
      <c r="A12" s="1">
        <v>45300</v>
      </c>
      <c r="B12" t="s">
        <v>1397</v>
      </c>
      <c r="C12">
        <v>956.8</v>
      </c>
      <c r="D12">
        <v>24596</v>
      </c>
      <c r="E12">
        <v>523</v>
      </c>
    </row>
    <row r="13" spans="1:5" x14ac:dyDescent="0.35">
      <c r="A13" s="1">
        <v>45301</v>
      </c>
      <c r="B13" t="s">
        <v>1395</v>
      </c>
      <c r="C13">
        <v>770.69</v>
      </c>
      <c r="D13">
        <v>18306</v>
      </c>
      <c r="E13">
        <v>493</v>
      </c>
    </row>
    <row r="14" spans="1:5" x14ac:dyDescent="0.35">
      <c r="A14" s="1">
        <v>45301</v>
      </c>
      <c r="B14" t="s">
        <v>1397</v>
      </c>
      <c r="C14">
        <v>298</v>
      </c>
      <c r="D14">
        <v>11798</v>
      </c>
      <c r="E14">
        <v>1153</v>
      </c>
    </row>
    <row r="15" spans="1:5" x14ac:dyDescent="0.35">
      <c r="A15" s="1">
        <v>45301</v>
      </c>
      <c r="B15" t="s">
        <v>1396</v>
      </c>
      <c r="C15">
        <v>949.2</v>
      </c>
      <c r="D15">
        <v>25534</v>
      </c>
      <c r="E15">
        <v>1012</v>
      </c>
    </row>
    <row r="16" spans="1:5" x14ac:dyDescent="0.35">
      <c r="A16" s="1">
        <v>45302</v>
      </c>
      <c r="B16" t="s">
        <v>1395</v>
      </c>
      <c r="C16">
        <v>595.21</v>
      </c>
      <c r="D16">
        <v>10671</v>
      </c>
      <c r="E16">
        <v>1355</v>
      </c>
    </row>
    <row r="17" spans="1:5" x14ac:dyDescent="0.35">
      <c r="A17" s="1">
        <v>45302</v>
      </c>
      <c r="B17" t="s">
        <v>1397</v>
      </c>
      <c r="C17">
        <v>989.99</v>
      </c>
      <c r="D17">
        <v>21861</v>
      </c>
      <c r="E17">
        <v>666</v>
      </c>
    </row>
    <row r="18" spans="1:5" x14ac:dyDescent="0.35">
      <c r="A18" s="1">
        <v>45303</v>
      </c>
      <c r="B18" t="s">
        <v>1398</v>
      </c>
      <c r="C18">
        <v>191.64</v>
      </c>
      <c r="D18">
        <v>44633</v>
      </c>
      <c r="E18">
        <v>1652</v>
      </c>
    </row>
    <row r="19" spans="1:5" x14ac:dyDescent="0.35">
      <c r="A19" s="1">
        <v>45303</v>
      </c>
      <c r="B19" t="s">
        <v>1396</v>
      </c>
      <c r="C19">
        <v>342.63</v>
      </c>
      <c r="D19">
        <v>2197</v>
      </c>
      <c r="E19">
        <v>1557</v>
      </c>
    </row>
    <row r="20" spans="1:5" x14ac:dyDescent="0.35">
      <c r="A20" s="1">
        <v>45304</v>
      </c>
      <c r="B20" t="s">
        <v>1397</v>
      </c>
      <c r="C20">
        <v>1102.54</v>
      </c>
      <c r="D20">
        <v>16507</v>
      </c>
      <c r="E20">
        <v>1356</v>
      </c>
    </row>
    <row r="21" spans="1:5" x14ac:dyDescent="0.35">
      <c r="A21" s="1">
        <v>45305</v>
      </c>
      <c r="B21" t="s">
        <v>1398</v>
      </c>
      <c r="C21">
        <v>690.99</v>
      </c>
      <c r="D21">
        <v>44954</v>
      </c>
      <c r="E21">
        <v>2415</v>
      </c>
    </row>
    <row r="22" spans="1:5" x14ac:dyDescent="0.35">
      <c r="A22" s="1">
        <v>45306</v>
      </c>
      <c r="B22" t="s">
        <v>1395</v>
      </c>
      <c r="C22">
        <v>102.28</v>
      </c>
      <c r="D22">
        <v>44038</v>
      </c>
      <c r="E22">
        <v>1609</v>
      </c>
    </row>
    <row r="23" spans="1:5" x14ac:dyDescent="0.35">
      <c r="A23" s="1">
        <v>45308</v>
      </c>
      <c r="B23" t="s">
        <v>1395</v>
      </c>
      <c r="C23">
        <v>516.07000000000005</v>
      </c>
      <c r="D23">
        <v>26718</v>
      </c>
      <c r="E23">
        <v>1161</v>
      </c>
    </row>
    <row r="24" spans="1:5" x14ac:dyDescent="0.35">
      <c r="A24" s="1">
        <v>45308</v>
      </c>
      <c r="B24" t="s">
        <v>1397</v>
      </c>
      <c r="C24">
        <v>520.20000000000005</v>
      </c>
      <c r="D24">
        <v>10875</v>
      </c>
      <c r="E24">
        <v>1598</v>
      </c>
    </row>
    <row r="25" spans="1:5" x14ac:dyDescent="0.35">
      <c r="A25" s="1">
        <v>45309</v>
      </c>
      <c r="B25" t="s">
        <v>1397</v>
      </c>
      <c r="C25">
        <v>73.09</v>
      </c>
      <c r="D25">
        <v>19113</v>
      </c>
      <c r="E25">
        <v>244</v>
      </c>
    </row>
    <row r="26" spans="1:5" x14ac:dyDescent="0.35">
      <c r="A26" s="1">
        <v>45309</v>
      </c>
      <c r="B26" t="s">
        <v>1396</v>
      </c>
      <c r="C26">
        <v>737.45</v>
      </c>
      <c r="D26">
        <v>5190</v>
      </c>
      <c r="E26">
        <v>531</v>
      </c>
    </row>
    <row r="27" spans="1:5" x14ac:dyDescent="0.35">
      <c r="A27" s="1">
        <v>45310</v>
      </c>
      <c r="B27" t="s">
        <v>1395</v>
      </c>
      <c r="C27">
        <v>319.99</v>
      </c>
      <c r="D27">
        <v>20833</v>
      </c>
      <c r="E27">
        <v>495</v>
      </c>
    </row>
    <row r="28" spans="1:5" x14ac:dyDescent="0.35">
      <c r="A28" s="1">
        <v>45311</v>
      </c>
      <c r="B28" t="s">
        <v>1396</v>
      </c>
      <c r="C28">
        <v>1058.03</v>
      </c>
      <c r="D28">
        <v>18763</v>
      </c>
      <c r="E28">
        <v>1609</v>
      </c>
    </row>
    <row r="29" spans="1:5" x14ac:dyDescent="0.35">
      <c r="A29" s="1">
        <v>45312</v>
      </c>
      <c r="B29" t="s">
        <v>1395</v>
      </c>
      <c r="C29">
        <v>94.75</v>
      </c>
      <c r="D29">
        <v>23826</v>
      </c>
      <c r="E29">
        <v>1676</v>
      </c>
    </row>
    <row r="30" spans="1:5" x14ac:dyDescent="0.35">
      <c r="A30" s="1">
        <v>45313</v>
      </c>
      <c r="B30" t="s">
        <v>1398</v>
      </c>
      <c r="C30">
        <v>645.57000000000005</v>
      </c>
      <c r="D30">
        <v>25674</v>
      </c>
      <c r="E30">
        <v>824</v>
      </c>
    </row>
    <row r="31" spans="1:5" x14ac:dyDescent="0.35">
      <c r="A31" s="1">
        <v>45313</v>
      </c>
      <c r="B31" t="s">
        <v>1397</v>
      </c>
      <c r="C31">
        <v>757.08</v>
      </c>
      <c r="D31">
        <v>30504</v>
      </c>
      <c r="E31">
        <v>592</v>
      </c>
    </row>
    <row r="32" spans="1:5" x14ac:dyDescent="0.35">
      <c r="A32" s="1">
        <v>45313</v>
      </c>
      <c r="B32" t="s">
        <v>1396</v>
      </c>
      <c r="C32">
        <v>1203.6400000000001</v>
      </c>
      <c r="D32">
        <v>79074</v>
      </c>
      <c r="E32">
        <v>2281</v>
      </c>
    </row>
    <row r="33" spans="1:5" x14ac:dyDescent="0.35">
      <c r="A33" s="1">
        <v>45314</v>
      </c>
      <c r="B33" t="s">
        <v>1397</v>
      </c>
      <c r="C33">
        <v>1254.67</v>
      </c>
      <c r="D33">
        <v>48167</v>
      </c>
      <c r="E33">
        <v>542</v>
      </c>
    </row>
    <row r="34" spans="1:5" x14ac:dyDescent="0.35">
      <c r="A34" s="1">
        <v>45314</v>
      </c>
      <c r="B34" t="s">
        <v>1396</v>
      </c>
      <c r="C34">
        <v>554.80999999999995</v>
      </c>
      <c r="D34">
        <v>37373</v>
      </c>
      <c r="E34">
        <v>474</v>
      </c>
    </row>
    <row r="35" spans="1:5" x14ac:dyDescent="0.35">
      <c r="A35" s="1">
        <v>45315</v>
      </c>
      <c r="B35" t="s">
        <v>1397</v>
      </c>
      <c r="C35">
        <v>965.56</v>
      </c>
      <c r="D35">
        <v>21226</v>
      </c>
      <c r="E35">
        <v>764</v>
      </c>
    </row>
    <row r="36" spans="1:5" x14ac:dyDescent="0.35">
      <c r="A36" s="1">
        <v>45315</v>
      </c>
      <c r="B36" t="s">
        <v>1396</v>
      </c>
      <c r="C36">
        <v>108.83</v>
      </c>
      <c r="D36">
        <v>38819</v>
      </c>
      <c r="E36">
        <v>428</v>
      </c>
    </row>
    <row r="37" spans="1:5" x14ac:dyDescent="0.35">
      <c r="A37" s="1">
        <v>45317</v>
      </c>
      <c r="B37" t="s">
        <v>1397</v>
      </c>
      <c r="C37">
        <v>968.32</v>
      </c>
      <c r="D37">
        <v>58271</v>
      </c>
      <c r="E37">
        <v>1500</v>
      </c>
    </row>
    <row r="38" spans="1:5" x14ac:dyDescent="0.35">
      <c r="A38" s="1">
        <v>45318</v>
      </c>
      <c r="B38" t="s">
        <v>1397</v>
      </c>
      <c r="C38">
        <v>740.47</v>
      </c>
      <c r="D38">
        <v>25045</v>
      </c>
      <c r="E38">
        <v>242</v>
      </c>
    </row>
    <row r="39" spans="1:5" x14ac:dyDescent="0.35">
      <c r="A39" s="1">
        <v>45319</v>
      </c>
      <c r="B39" t="s">
        <v>1395</v>
      </c>
      <c r="C39">
        <v>789.91</v>
      </c>
      <c r="D39">
        <v>12284</v>
      </c>
      <c r="E39">
        <v>1065</v>
      </c>
    </row>
    <row r="40" spans="1:5" x14ac:dyDescent="0.35">
      <c r="A40" s="1">
        <v>45319</v>
      </c>
      <c r="B40" t="s">
        <v>1398</v>
      </c>
      <c r="C40">
        <v>1020.97</v>
      </c>
      <c r="D40">
        <v>23756</v>
      </c>
      <c r="E40">
        <v>1177</v>
      </c>
    </row>
    <row r="41" spans="1:5" x14ac:dyDescent="0.35">
      <c r="A41" s="1">
        <v>45319</v>
      </c>
      <c r="B41" t="s">
        <v>1397</v>
      </c>
      <c r="C41">
        <v>1144.6199999999999</v>
      </c>
      <c r="D41">
        <v>33759</v>
      </c>
      <c r="E41">
        <v>309</v>
      </c>
    </row>
    <row r="42" spans="1:5" x14ac:dyDescent="0.35">
      <c r="A42" s="1">
        <v>45319</v>
      </c>
      <c r="B42" t="s">
        <v>1396</v>
      </c>
      <c r="C42">
        <v>791.38</v>
      </c>
      <c r="D42">
        <v>6793</v>
      </c>
      <c r="E42">
        <v>625</v>
      </c>
    </row>
    <row r="43" spans="1:5" x14ac:dyDescent="0.35">
      <c r="A43" s="1">
        <v>45320</v>
      </c>
      <c r="B43" t="s">
        <v>1395</v>
      </c>
      <c r="C43">
        <v>285.08999999999997</v>
      </c>
      <c r="D43">
        <v>15843</v>
      </c>
      <c r="E43">
        <v>1601</v>
      </c>
    </row>
    <row r="44" spans="1:5" x14ac:dyDescent="0.35">
      <c r="A44" s="1">
        <v>45320</v>
      </c>
      <c r="B44" t="s">
        <v>1398</v>
      </c>
      <c r="C44">
        <v>1341.53</v>
      </c>
      <c r="D44">
        <v>48412</v>
      </c>
      <c r="E44">
        <v>1265</v>
      </c>
    </row>
    <row r="45" spans="1:5" x14ac:dyDescent="0.35">
      <c r="A45" s="1">
        <v>45320</v>
      </c>
      <c r="B45" t="s">
        <v>1396</v>
      </c>
      <c r="C45">
        <v>1240</v>
      </c>
      <c r="D45">
        <v>42161</v>
      </c>
      <c r="E45">
        <v>1748</v>
      </c>
    </row>
    <row r="46" spans="1:5" x14ac:dyDescent="0.35">
      <c r="A46" s="1">
        <v>45321</v>
      </c>
      <c r="B46" t="s">
        <v>1398</v>
      </c>
      <c r="C46">
        <v>88.03</v>
      </c>
      <c r="D46">
        <v>5313</v>
      </c>
      <c r="E46">
        <v>768</v>
      </c>
    </row>
    <row r="47" spans="1:5" x14ac:dyDescent="0.35">
      <c r="A47" s="1">
        <v>45322</v>
      </c>
      <c r="B47" t="s">
        <v>1395</v>
      </c>
      <c r="C47">
        <v>1014.93</v>
      </c>
      <c r="D47">
        <v>6871</v>
      </c>
      <c r="E47">
        <v>1705</v>
      </c>
    </row>
    <row r="48" spans="1:5" x14ac:dyDescent="0.35">
      <c r="A48" s="1">
        <v>45322</v>
      </c>
      <c r="B48" t="s">
        <v>1396</v>
      </c>
      <c r="C48">
        <v>632.6</v>
      </c>
      <c r="D48">
        <v>43194</v>
      </c>
      <c r="E48">
        <v>1489</v>
      </c>
    </row>
    <row r="49" spans="1:5" x14ac:dyDescent="0.35">
      <c r="A49" s="1">
        <v>45323</v>
      </c>
      <c r="B49" t="s">
        <v>1395</v>
      </c>
      <c r="C49">
        <v>371.74</v>
      </c>
      <c r="D49">
        <v>10993</v>
      </c>
      <c r="E49">
        <v>888</v>
      </c>
    </row>
    <row r="50" spans="1:5" x14ac:dyDescent="0.35">
      <c r="A50" s="1">
        <v>45323</v>
      </c>
      <c r="B50" t="s">
        <v>1397</v>
      </c>
      <c r="C50">
        <v>284.60000000000002</v>
      </c>
      <c r="D50">
        <v>37466</v>
      </c>
      <c r="E50">
        <v>96</v>
      </c>
    </row>
    <row r="51" spans="1:5" x14ac:dyDescent="0.35">
      <c r="A51" s="1">
        <v>45323</v>
      </c>
      <c r="B51" t="s">
        <v>1396</v>
      </c>
      <c r="C51">
        <v>169.03</v>
      </c>
      <c r="D51">
        <v>24507</v>
      </c>
      <c r="E51">
        <v>1492</v>
      </c>
    </row>
    <row r="52" spans="1:5" x14ac:dyDescent="0.35">
      <c r="A52" s="1">
        <v>45324</v>
      </c>
      <c r="B52" t="s">
        <v>1395</v>
      </c>
      <c r="C52">
        <v>1124.77</v>
      </c>
      <c r="D52">
        <v>6523</v>
      </c>
      <c r="E52">
        <v>996</v>
      </c>
    </row>
    <row r="53" spans="1:5" x14ac:dyDescent="0.35">
      <c r="A53" s="1">
        <v>45324</v>
      </c>
      <c r="B53" t="s">
        <v>1397</v>
      </c>
      <c r="C53">
        <v>803.22</v>
      </c>
      <c r="D53">
        <v>2810</v>
      </c>
      <c r="E53">
        <v>1472</v>
      </c>
    </row>
    <row r="54" spans="1:5" x14ac:dyDescent="0.35">
      <c r="A54" s="1">
        <v>45324</v>
      </c>
      <c r="B54" t="s">
        <v>1396</v>
      </c>
      <c r="C54">
        <v>1095.8</v>
      </c>
      <c r="D54">
        <v>21804</v>
      </c>
      <c r="E54">
        <v>1359</v>
      </c>
    </row>
    <row r="55" spans="1:5" x14ac:dyDescent="0.35">
      <c r="A55" s="1">
        <v>45325</v>
      </c>
      <c r="B55" t="s">
        <v>1398</v>
      </c>
      <c r="C55">
        <v>1087.8699999999999</v>
      </c>
      <c r="D55">
        <v>31060</v>
      </c>
      <c r="E55">
        <v>1687</v>
      </c>
    </row>
    <row r="56" spans="1:5" x14ac:dyDescent="0.35">
      <c r="A56" s="1">
        <v>45326</v>
      </c>
      <c r="B56" t="s">
        <v>1395</v>
      </c>
      <c r="C56">
        <v>496.31</v>
      </c>
      <c r="D56">
        <v>28041</v>
      </c>
      <c r="E56">
        <v>1160</v>
      </c>
    </row>
    <row r="57" spans="1:5" x14ac:dyDescent="0.35">
      <c r="A57" s="1">
        <v>45327</v>
      </c>
      <c r="B57" t="s">
        <v>1398</v>
      </c>
      <c r="C57">
        <v>484.94</v>
      </c>
      <c r="D57">
        <v>10664</v>
      </c>
      <c r="E57">
        <v>252</v>
      </c>
    </row>
    <row r="58" spans="1:5" x14ac:dyDescent="0.35">
      <c r="A58" s="1">
        <v>45328</v>
      </c>
      <c r="B58" t="s">
        <v>1398</v>
      </c>
      <c r="C58">
        <v>1174.95</v>
      </c>
      <c r="D58">
        <v>52453</v>
      </c>
      <c r="E58">
        <v>931</v>
      </c>
    </row>
    <row r="59" spans="1:5" x14ac:dyDescent="0.35">
      <c r="A59" s="1">
        <v>45329</v>
      </c>
      <c r="B59" t="s">
        <v>1398</v>
      </c>
      <c r="C59">
        <v>975.35</v>
      </c>
      <c r="D59">
        <v>40507</v>
      </c>
      <c r="E59">
        <v>1513</v>
      </c>
    </row>
    <row r="60" spans="1:5" x14ac:dyDescent="0.35">
      <c r="A60" s="1">
        <v>45329</v>
      </c>
      <c r="B60" t="s">
        <v>1397</v>
      </c>
      <c r="C60">
        <v>826.62</v>
      </c>
      <c r="D60">
        <v>31070</v>
      </c>
      <c r="E60">
        <v>505</v>
      </c>
    </row>
    <row r="61" spans="1:5" x14ac:dyDescent="0.35">
      <c r="A61" s="1">
        <v>45330</v>
      </c>
      <c r="B61" t="s">
        <v>1395</v>
      </c>
      <c r="C61">
        <v>1978.95</v>
      </c>
      <c r="D61">
        <v>105842</v>
      </c>
      <c r="E61">
        <v>2563</v>
      </c>
    </row>
    <row r="62" spans="1:5" x14ac:dyDescent="0.35">
      <c r="A62" s="1">
        <v>45331</v>
      </c>
      <c r="B62" t="s">
        <v>1397</v>
      </c>
      <c r="C62">
        <v>1843.32</v>
      </c>
      <c r="D62">
        <v>43395</v>
      </c>
      <c r="E62">
        <v>3662</v>
      </c>
    </row>
    <row r="63" spans="1:5" x14ac:dyDescent="0.35">
      <c r="A63" s="1">
        <v>45332</v>
      </c>
      <c r="B63" t="s">
        <v>1397</v>
      </c>
      <c r="C63">
        <v>1112.6099999999999</v>
      </c>
      <c r="D63">
        <v>44989</v>
      </c>
      <c r="E63">
        <v>555</v>
      </c>
    </row>
    <row r="64" spans="1:5" x14ac:dyDescent="0.35">
      <c r="A64" s="1">
        <v>45333</v>
      </c>
      <c r="B64" t="s">
        <v>1396</v>
      </c>
      <c r="C64">
        <v>432.52</v>
      </c>
      <c r="D64">
        <v>13588</v>
      </c>
      <c r="E64">
        <v>671</v>
      </c>
    </row>
    <row r="65" spans="1:5" x14ac:dyDescent="0.35">
      <c r="A65" s="1">
        <v>45334</v>
      </c>
      <c r="B65" t="s">
        <v>1397</v>
      </c>
      <c r="C65">
        <v>738.04</v>
      </c>
      <c r="D65">
        <v>37633</v>
      </c>
      <c r="E65">
        <v>866</v>
      </c>
    </row>
    <row r="66" spans="1:5" x14ac:dyDescent="0.35">
      <c r="A66" s="1">
        <v>45334</v>
      </c>
      <c r="B66" t="s">
        <v>1396</v>
      </c>
      <c r="C66">
        <v>140.77000000000001</v>
      </c>
      <c r="D66">
        <v>41482</v>
      </c>
      <c r="E66">
        <v>1714</v>
      </c>
    </row>
    <row r="67" spans="1:5" x14ac:dyDescent="0.35">
      <c r="A67" s="1">
        <v>45335</v>
      </c>
      <c r="B67" t="s">
        <v>1395</v>
      </c>
      <c r="C67">
        <v>631.24</v>
      </c>
      <c r="D67">
        <v>43760</v>
      </c>
      <c r="E67">
        <v>1709</v>
      </c>
    </row>
    <row r="68" spans="1:5" x14ac:dyDescent="0.35">
      <c r="A68" s="1">
        <v>45335</v>
      </c>
      <c r="B68" t="s">
        <v>1398</v>
      </c>
      <c r="C68">
        <v>95.01</v>
      </c>
      <c r="D68">
        <v>30688</v>
      </c>
      <c r="E68">
        <v>929</v>
      </c>
    </row>
    <row r="69" spans="1:5" x14ac:dyDescent="0.35">
      <c r="A69" s="1">
        <v>45335</v>
      </c>
      <c r="B69" t="s">
        <v>1397</v>
      </c>
      <c r="C69">
        <v>1105.04</v>
      </c>
      <c r="D69">
        <v>6914</v>
      </c>
      <c r="E69">
        <v>74</v>
      </c>
    </row>
    <row r="70" spans="1:5" x14ac:dyDescent="0.35">
      <c r="A70" s="1">
        <v>45336</v>
      </c>
      <c r="B70" t="s">
        <v>1395</v>
      </c>
      <c r="C70">
        <v>112.41</v>
      </c>
      <c r="D70">
        <v>18509</v>
      </c>
      <c r="E70">
        <v>1172</v>
      </c>
    </row>
    <row r="71" spans="1:5" x14ac:dyDescent="0.35">
      <c r="A71" s="1">
        <v>45336</v>
      </c>
      <c r="B71" t="s">
        <v>1397</v>
      </c>
      <c r="C71">
        <v>997.48</v>
      </c>
      <c r="D71">
        <v>42965</v>
      </c>
      <c r="E71">
        <v>1259</v>
      </c>
    </row>
    <row r="72" spans="1:5" x14ac:dyDescent="0.35">
      <c r="A72" s="1">
        <v>45337</v>
      </c>
      <c r="B72" t="s">
        <v>1398</v>
      </c>
      <c r="C72">
        <v>1016.55</v>
      </c>
      <c r="D72">
        <v>50809</v>
      </c>
      <c r="E72">
        <v>2438</v>
      </c>
    </row>
    <row r="73" spans="1:5" x14ac:dyDescent="0.35">
      <c r="A73" s="1">
        <v>45337</v>
      </c>
      <c r="B73" t="s">
        <v>1396</v>
      </c>
      <c r="C73">
        <v>564.13</v>
      </c>
      <c r="D73">
        <v>9779</v>
      </c>
      <c r="E73">
        <v>1048</v>
      </c>
    </row>
    <row r="74" spans="1:5" x14ac:dyDescent="0.35">
      <c r="A74" s="1">
        <v>45338</v>
      </c>
      <c r="B74" t="s">
        <v>1398</v>
      </c>
      <c r="C74">
        <v>2238.6999999999998</v>
      </c>
      <c r="D74">
        <v>101035</v>
      </c>
      <c r="E74">
        <v>2730</v>
      </c>
    </row>
    <row r="75" spans="1:5" x14ac:dyDescent="0.35">
      <c r="A75" s="1">
        <v>45338</v>
      </c>
      <c r="B75" t="s">
        <v>1396</v>
      </c>
      <c r="C75">
        <v>1643.54</v>
      </c>
      <c r="D75">
        <v>46227</v>
      </c>
      <c r="E75">
        <v>2858</v>
      </c>
    </row>
    <row r="76" spans="1:5" x14ac:dyDescent="0.35">
      <c r="A76" s="1">
        <v>45340</v>
      </c>
      <c r="B76" t="s">
        <v>1395</v>
      </c>
      <c r="C76">
        <v>609.66</v>
      </c>
      <c r="D76">
        <v>46251</v>
      </c>
      <c r="E76">
        <v>1304</v>
      </c>
    </row>
    <row r="77" spans="1:5" x14ac:dyDescent="0.35">
      <c r="A77" s="1">
        <v>45340</v>
      </c>
      <c r="B77" t="s">
        <v>1396</v>
      </c>
      <c r="C77">
        <v>167.19</v>
      </c>
      <c r="D77">
        <v>11161</v>
      </c>
      <c r="E77">
        <v>278</v>
      </c>
    </row>
    <row r="78" spans="1:5" x14ac:dyDescent="0.35">
      <c r="A78" s="1">
        <v>45341</v>
      </c>
      <c r="B78" t="s">
        <v>1395</v>
      </c>
      <c r="C78">
        <v>907.11</v>
      </c>
      <c r="D78">
        <v>68911</v>
      </c>
      <c r="E78">
        <v>1848</v>
      </c>
    </row>
    <row r="79" spans="1:5" x14ac:dyDescent="0.35">
      <c r="A79" s="1">
        <v>45342</v>
      </c>
      <c r="B79" t="s">
        <v>1396</v>
      </c>
      <c r="C79">
        <v>385.69</v>
      </c>
      <c r="D79">
        <v>19334</v>
      </c>
      <c r="E79">
        <v>1660</v>
      </c>
    </row>
    <row r="80" spans="1:5" x14ac:dyDescent="0.35">
      <c r="A80" s="1">
        <v>45343</v>
      </c>
      <c r="B80" t="s">
        <v>1398</v>
      </c>
      <c r="C80">
        <v>805.39</v>
      </c>
      <c r="D80">
        <v>19467</v>
      </c>
      <c r="E80">
        <v>1122</v>
      </c>
    </row>
    <row r="81" spans="1:5" x14ac:dyDescent="0.35">
      <c r="A81" s="1">
        <v>45343</v>
      </c>
      <c r="B81" t="s">
        <v>1397</v>
      </c>
      <c r="C81">
        <v>1444.63</v>
      </c>
      <c r="D81">
        <v>35477</v>
      </c>
      <c r="E81">
        <v>1223</v>
      </c>
    </row>
    <row r="82" spans="1:5" x14ac:dyDescent="0.35">
      <c r="A82" s="1">
        <v>45343</v>
      </c>
      <c r="B82" t="s">
        <v>1396</v>
      </c>
      <c r="C82">
        <v>241.32</v>
      </c>
      <c r="D82">
        <v>21625</v>
      </c>
      <c r="E82">
        <v>89</v>
      </c>
    </row>
    <row r="83" spans="1:5" x14ac:dyDescent="0.35">
      <c r="A83" s="1">
        <v>45344</v>
      </c>
      <c r="B83" t="s">
        <v>1395</v>
      </c>
      <c r="C83">
        <v>941.23</v>
      </c>
      <c r="D83">
        <v>72438</v>
      </c>
      <c r="E83">
        <v>1118</v>
      </c>
    </row>
    <row r="84" spans="1:5" x14ac:dyDescent="0.35">
      <c r="A84" s="1">
        <v>45345</v>
      </c>
      <c r="B84" t="s">
        <v>1398</v>
      </c>
      <c r="C84">
        <v>668.42</v>
      </c>
      <c r="D84">
        <v>30523</v>
      </c>
      <c r="E84">
        <v>1354</v>
      </c>
    </row>
    <row r="85" spans="1:5" x14ac:dyDescent="0.35">
      <c r="A85" s="1">
        <v>45345</v>
      </c>
      <c r="B85" t="s">
        <v>1397</v>
      </c>
      <c r="C85">
        <v>528.37</v>
      </c>
      <c r="D85">
        <v>7626</v>
      </c>
      <c r="E85">
        <v>267</v>
      </c>
    </row>
    <row r="86" spans="1:5" x14ac:dyDescent="0.35">
      <c r="A86" s="1">
        <v>45346</v>
      </c>
      <c r="B86" t="s">
        <v>1395</v>
      </c>
      <c r="C86">
        <v>55.97</v>
      </c>
      <c r="D86">
        <v>22202</v>
      </c>
      <c r="E86">
        <v>940</v>
      </c>
    </row>
    <row r="87" spans="1:5" x14ac:dyDescent="0.35">
      <c r="A87" s="1">
        <v>45346</v>
      </c>
      <c r="B87" t="s">
        <v>1398</v>
      </c>
      <c r="C87">
        <v>400.36</v>
      </c>
      <c r="D87">
        <v>27932</v>
      </c>
      <c r="E87">
        <v>710</v>
      </c>
    </row>
    <row r="88" spans="1:5" x14ac:dyDescent="0.35">
      <c r="A88" s="1">
        <v>45347</v>
      </c>
      <c r="B88" t="s">
        <v>1395</v>
      </c>
      <c r="C88">
        <v>105.47</v>
      </c>
      <c r="D88">
        <v>9588</v>
      </c>
      <c r="E88">
        <v>883</v>
      </c>
    </row>
    <row r="89" spans="1:5" x14ac:dyDescent="0.35">
      <c r="A89" s="1">
        <v>45347</v>
      </c>
      <c r="B89" t="s">
        <v>1398</v>
      </c>
      <c r="C89">
        <v>1119.4100000000001</v>
      </c>
      <c r="D89">
        <v>17985</v>
      </c>
      <c r="E89">
        <v>1086</v>
      </c>
    </row>
    <row r="90" spans="1:5" x14ac:dyDescent="0.35">
      <c r="A90" s="1">
        <v>45347</v>
      </c>
      <c r="B90" t="s">
        <v>1397</v>
      </c>
      <c r="C90">
        <v>1022.18</v>
      </c>
      <c r="D90">
        <v>26088</v>
      </c>
      <c r="E90">
        <v>265</v>
      </c>
    </row>
    <row r="91" spans="1:5" x14ac:dyDescent="0.35">
      <c r="A91" s="1">
        <v>45349</v>
      </c>
      <c r="B91" t="s">
        <v>1395</v>
      </c>
      <c r="C91">
        <v>980.9</v>
      </c>
      <c r="D91">
        <v>29475</v>
      </c>
      <c r="E91">
        <v>1289</v>
      </c>
    </row>
    <row r="92" spans="1:5" x14ac:dyDescent="0.35">
      <c r="A92" s="1">
        <v>45350</v>
      </c>
      <c r="B92" t="s">
        <v>1398</v>
      </c>
      <c r="C92">
        <v>731.06</v>
      </c>
      <c r="D92">
        <v>37758</v>
      </c>
      <c r="E92">
        <v>398</v>
      </c>
    </row>
    <row r="93" spans="1:5" x14ac:dyDescent="0.35">
      <c r="A93" s="1">
        <v>45350</v>
      </c>
      <c r="B93" t="s">
        <v>1397</v>
      </c>
      <c r="C93">
        <v>562.52</v>
      </c>
      <c r="D93">
        <v>44091</v>
      </c>
      <c r="E93">
        <v>1286</v>
      </c>
    </row>
    <row r="94" spans="1:5" x14ac:dyDescent="0.35">
      <c r="A94" s="1">
        <v>45350</v>
      </c>
      <c r="B94" t="s">
        <v>1396</v>
      </c>
      <c r="C94">
        <v>1681.88</v>
      </c>
      <c r="D94">
        <v>85847</v>
      </c>
      <c r="E94">
        <v>1127</v>
      </c>
    </row>
    <row r="95" spans="1:5" x14ac:dyDescent="0.35">
      <c r="A95" s="1">
        <v>45351</v>
      </c>
      <c r="B95" t="s">
        <v>1395</v>
      </c>
      <c r="C95">
        <v>1028.93</v>
      </c>
      <c r="D95">
        <v>5007</v>
      </c>
      <c r="E95">
        <v>49</v>
      </c>
    </row>
    <row r="96" spans="1:5" x14ac:dyDescent="0.35">
      <c r="A96" s="1">
        <v>45351</v>
      </c>
      <c r="B96" t="s">
        <v>1398</v>
      </c>
      <c r="C96">
        <v>1381.2</v>
      </c>
      <c r="D96">
        <v>13432</v>
      </c>
      <c r="E96">
        <v>1196</v>
      </c>
    </row>
    <row r="97" spans="1:5" x14ac:dyDescent="0.35">
      <c r="A97" s="1">
        <v>45351</v>
      </c>
      <c r="B97" t="s">
        <v>1397</v>
      </c>
      <c r="C97">
        <v>952.61</v>
      </c>
      <c r="D97">
        <v>32863</v>
      </c>
      <c r="E97">
        <v>1031</v>
      </c>
    </row>
    <row r="98" spans="1:5" x14ac:dyDescent="0.35">
      <c r="A98" s="1">
        <v>45352</v>
      </c>
      <c r="B98" t="s">
        <v>1395</v>
      </c>
      <c r="C98">
        <v>604.58000000000004</v>
      </c>
      <c r="D98">
        <v>10541</v>
      </c>
      <c r="E98">
        <v>1265</v>
      </c>
    </row>
    <row r="99" spans="1:5" x14ac:dyDescent="0.35">
      <c r="A99" s="1">
        <v>45352</v>
      </c>
      <c r="B99" t="s">
        <v>1398</v>
      </c>
      <c r="C99">
        <v>818.17</v>
      </c>
      <c r="D99">
        <v>64171</v>
      </c>
      <c r="E99">
        <v>2946</v>
      </c>
    </row>
    <row r="100" spans="1:5" x14ac:dyDescent="0.35">
      <c r="A100" s="1">
        <v>45352</v>
      </c>
      <c r="B100" t="s">
        <v>1397</v>
      </c>
      <c r="C100">
        <v>1413.89</v>
      </c>
      <c r="D100">
        <v>47719</v>
      </c>
      <c r="E100">
        <v>947</v>
      </c>
    </row>
    <row r="101" spans="1:5" x14ac:dyDescent="0.35">
      <c r="A101" s="1">
        <v>45352</v>
      </c>
      <c r="B101" t="s">
        <v>1396</v>
      </c>
      <c r="C101">
        <v>111.73</v>
      </c>
      <c r="D101">
        <v>43575</v>
      </c>
      <c r="E101">
        <v>1225</v>
      </c>
    </row>
    <row r="102" spans="1:5" x14ac:dyDescent="0.35">
      <c r="A102" s="1">
        <v>45353</v>
      </c>
      <c r="B102" t="s">
        <v>1395</v>
      </c>
      <c r="C102">
        <v>487.51</v>
      </c>
      <c r="D102">
        <v>57738</v>
      </c>
      <c r="E102">
        <v>1846</v>
      </c>
    </row>
    <row r="103" spans="1:5" x14ac:dyDescent="0.35">
      <c r="A103" s="1">
        <v>45353</v>
      </c>
      <c r="B103" t="s">
        <v>1396</v>
      </c>
      <c r="C103">
        <v>659.31</v>
      </c>
      <c r="D103">
        <v>29073</v>
      </c>
      <c r="E103">
        <v>140</v>
      </c>
    </row>
    <row r="104" spans="1:5" x14ac:dyDescent="0.35">
      <c r="A104" s="1">
        <v>45354</v>
      </c>
      <c r="B104" t="s">
        <v>1398</v>
      </c>
      <c r="C104">
        <v>1991.63</v>
      </c>
      <c r="D104">
        <v>49139</v>
      </c>
      <c r="E104">
        <v>2031</v>
      </c>
    </row>
    <row r="105" spans="1:5" x14ac:dyDescent="0.35">
      <c r="A105" s="1">
        <v>45354</v>
      </c>
      <c r="B105" t="s">
        <v>1396</v>
      </c>
      <c r="C105">
        <v>1235.54</v>
      </c>
      <c r="D105">
        <v>43756</v>
      </c>
      <c r="E105">
        <v>3050</v>
      </c>
    </row>
    <row r="106" spans="1:5" x14ac:dyDescent="0.35">
      <c r="A106" s="1">
        <v>45355</v>
      </c>
      <c r="B106" t="s">
        <v>1397</v>
      </c>
      <c r="C106">
        <v>552.49</v>
      </c>
      <c r="D106">
        <v>28215</v>
      </c>
      <c r="E106">
        <v>1552</v>
      </c>
    </row>
    <row r="107" spans="1:5" x14ac:dyDescent="0.35">
      <c r="A107" s="1">
        <v>45356</v>
      </c>
      <c r="B107" t="s">
        <v>1398</v>
      </c>
      <c r="C107">
        <v>128.9</v>
      </c>
      <c r="D107">
        <v>38320</v>
      </c>
      <c r="E107">
        <v>454</v>
      </c>
    </row>
    <row r="108" spans="1:5" x14ac:dyDescent="0.35">
      <c r="A108" s="1">
        <v>45357</v>
      </c>
      <c r="B108" t="s">
        <v>1395</v>
      </c>
      <c r="C108">
        <v>1883.77</v>
      </c>
      <c r="D108">
        <v>53476</v>
      </c>
      <c r="E108">
        <v>1351</v>
      </c>
    </row>
    <row r="109" spans="1:5" x14ac:dyDescent="0.35">
      <c r="A109" s="1">
        <v>45357</v>
      </c>
      <c r="B109" t="s">
        <v>1398</v>
      </c>
      <c r="C109">
        <v>932.95</v>
      </c>
      <c r="D109">
        <v>10456</v>
      </c>
      <c r="E109">
        <v>916</v>
      </c>
    </row>
    <row r="110" spans="1:5" x14ac:dyDescent="0.35">
      <c r="A110" s="1">
        <v>45358</v>
      </c>
      <c r="B110" t="s">
        <v>1395</v>
      </c>
      <c r="C110">
        <v>724.43</v>
      </c>
      <c r="D110">
        <v>38804</v>
      </c>
      <c r="E110">
        <v>1180</v>
      </c>
    </row>
    <row r="111" spans="1:5" x14ac:dyDescent="0.35">
      <c r="A111" s="1">
        <v>45359</v>
      </c>
      <c r="B111" t="s">
        <v>1396</v>
      </c>
      <c r="C111">
        <v>131.44999999999999</v>
      </c>
      <c r="D111">
        <v>27104</v>
      </c>
      <c r="E111">
        <v>212</v>
      </c>
    </row>
    <row r="112" spans="1:5" x14ac:dyDescent="0.35">
      <c r="A112" s="1">
        <v>45360</v>
      </c>
      <c r="B112" t="s">
        <v>1395</v>
      </c>
      <c r="C112">
        <v>1074.42</v>
      </c>
      <c r="D112">
        <v>11624</v>
      </c>
      <c r="E112">
        <v>144</v>
      </c>
    </row>
    <row r="113" spans="1:5" x14ac:dyDescent="0.35">
      <c r="A113" s="1">
        <v>45360</v>
      </c>
      <c r="B113" t="s">
        <v>1397</v>
      </c>
      <c r="C113">
        <v>2056.98</v>
      </c>
      <c r="D113">
        <v>59466</v>
      </c>
      <c r="E113">
        <v>2394</v>
      </c>
    </row>
    <row r="114" spans="1:5" x14ac:dyDescent="0.35">
      <c r="A114" s="1">
        <v>45360</v>
      </c>
      <c r="B114" t="s">
        <v>1396</v>
      </c>
      <c r="C114">
        <v>226.16</v>
      </c>
      <c r="D114">
        <v>41697</v>
      </c>
      <c r="E114">
        <v>795</v>
      </c>
    </row>
    <row r="115" spans="1:5" x14ac:dyDescent="0.35">
      <c r="A115" s="1">
        <v>45361</v>
      </c>
      <c r="B115" t="s">
        <v>1395</v>
      </c>
      <c r="C115">
        <v>249.8</v>
      </c>
      <c r="D115">
        <v>15154</v>
      </c>
      <c r="E115">
        <v>1744</v>
      </c>
    </row>
    <row r="116" spans="1:5" x14ac:dyDescent="0.35">
      <c r="A116" s="1">
        <v>45361</v>
      </c>
      <c r="B116" t="s">
        <v>1397</v>
      </c>
      <c r="C116">
        <v>418.76</v>
      </c>
      <c r="D116">
        <v>15163</v>
      </c>
      <c r="E116">
        <v>1011</v>
      </c>
    </row>
    <row r="117" spans="1:5" x14ac:dyDescent="0.35">
      <c r="A117" s="1">
        <v>45362</v>
      </c>
      <c r="B117" t="s">
        <v>1395</v>
      </c>
      <c r="C117">
        <v>909.99</v>
      </c>
      <c r="D117">
        <v>31268</v>
      </c>
      <c r="E117">
        <v>1633</v>
      </c>
    </row>
    <row r="118" spans="1:5" x14ac:dyDescent="0.35">
      <c r="A118" s="1">
        <v>45362</v>
      </c>
      <c r="B118" t="s">
        <v>1398</v>
      </c>
      <c r="C118">
        <v>1122.98</v>
      </c>
      <c r="D118">
        <v>64036</v>
      </c>
      <c r="E118">
        <v>2409</v>
      </c>
    </row>
    <row r="119" spans="1:5" x14ac:dyDescent="0.35">
      <c r="A119" s="1">
        <v>45362</v>
      </c>
      <c r="B119" t="s">
        <v>1397</v>
      </c>
      <c r="C119">
        <v>382.86</v>
      </c>
      <c r="D119">
        <v>9863</v>
      </c>
      <c r="E119">
        <v>45</v>
      </c>
    </row>
    <row r="120" spans="1:5" x14ac:dyDescent="0.35">
      <c r="A120" s="1">
        <v>45363</v>
      </c>
      <c r="B120" t="s">
        <v>1395</v>
      </c>
      <c r="C120">
        <v>728.01</v>
      </c>
      <c r="D120">
        <v>27167</v>
      </c>
      <c r="E120">
        <v>749</v>
      </c>
    </row>
    <row r="121" spans="1:5" x14ac:dyDescent="0.35">
      <c r="A121" s="1">
        <v>45363</v>
      </c>
      <c r="B121" t="s">
        <v>1398</v>
      </c>
      <c r="C121">
        <v>411.77</v>
      </c>
      <c r="D121">
        <v>31556</v>
      </c>
      <c r="E121">
        <v>1298</v>
      </c>
    </row>
    <row r="122" spans="1:5" x14ac:dyDescent="0.35">
      <c r="A122" s="1">
        <v>45363</v>
      </c>
      <c r="B122" t="s">
        <v>1396</v>
      </c>
      <c r="C122">
        <v>683.79</v>
      </c>
      <c r="D122">
        <v>55785</v>
      </c>
      <c r="E122">
        <v>1387</v>
      </c>
    </row>
    <row r="123" spans="1:5" x14ac:dyDescent="0.35">
      <c r="A123" s="1">
        <v>45364</v>
      </c>
      <c r="B123" t="s">
        <v>1398</v>
      </c>
      <c r="C123">
        <v>1039.1600000000001</v>
      </c>
      <c r="D123">
        <v>28044</v>
      </c>
      <c r="E123">
        <v>1762</v>
      </c>
    </row>
    <row r="124" spans="1:5" x14ac:dyDescent="0.35">
      <c r="A124" s="1">
        <v>45364</v>
      </c>
      <c r="B124" t="s">
        <v>1397</v>
      </c>
      <c r="C124">
        <v>2087.79</v>
      </c>
      <c r="D124">
        <v>76024</v>
      </c>
      <c r="E124">
        <v>3331</v>
      </c>
    </row>
    <row r="125" spans="1:5" x14ac:dyDescent="0.35">
      <c r="A125" s="1">
        <v>45365</v>
      </c>
      <c r="B125" t="s">
        <v>1398</v>
      </c>
      <c r="C125">
        <v>742.83</v>
      </c>
      <c r="D125">
        <v>28305</v>
      </c>
      <c r="E125">
        <v>1054</v>
      </c>
    </row>
    <row r="126" spans="1:5" x14ac:dyDescent="0.35">
      <c r="A126" s="1">
        <v>45365</v>
      </c>
      <c r="B126" t="s">
        <v>1397</v>
      </c>
      <c r="C126">
        <v>1584.33</v>
      </c>
      <c r="D126">
        <v>65218</v>
      </c>
      <c r="E126">
        <v>2285</v>
      </c>
    </row>
    <row r="127" spans="1:5" x14ac:dyDescent="0.35">
      <c r="A127" s="1">
        <v>45366</v>
      </c>
      <c r="B127" t="s">
        <v>1395</v>
      </c>
      <c r="C127">
        <v>820.79</v>
      </c>
      <c r="D127">
        <v>15100</v>
      </c>
      <c r="E127">
        <v>576</v>
      </c>
    </row>
    <row r="128" spans="1:5" x14ac:dyDescent="0.35">
      <c r="A128" s="1">
        <v>45366</v>
      </c>
      <c r="B128" t="s">
        <v>1397</v>
      </c>
      <c r="C128">
        <v>1002.75</v>
      </c>
      <c r="D128">
        <v>27736</v>
      </c>
      <c r="E128">
        <v>1032</v>
      </c>
    </row>
    <row r="129" spans="1:5" x14ac:dyDescent="0.35">
      <c r="A129" s="1">
        <v>45366</v>
      </c>
      <c r="B129" t="s">
        <v>1396</v>
      </c>
      <c r="C129">
        <v>1130.05</v>
      </c>
      <c r="D129">
        <v>4648</v>
      </c>
      <c r="E129">
        <v>478</v>
      </c>
    </row>
    <row r="130" spans="1:5" x14ac:dyDescent="0.35">
      <c r="A130" s="1">
        <v>45367</v>
      </c>
      <c r="B130" t="s">
        <v>1395</v>
      </c>
      <c r="C130">
        <v>368.87</v>
      </c>
      <c r="D130">
        <v>11482</v>
      </c>
      <c r="E130">
        <v>296</v>
      </c>
    </row>
    <row r="131" spans="1:5" x14ac:dyDescent="0.35">
      <c r="A131" s="1">
        <v>45367</v>
      </c>
      <c r="B131" t="s">
        <v>1398</v>
      </c>
      <c r="C131">
        <v>168.23</v>
      </c>
      <c r="D131">
        <v>18775</v>
      </c>
      <c r="E131">
        <v>434</v>
      </c>
    </row>
    <row r="132" spans="1:5" x14ac:dyDescent="0.35">
      <c r="A132" s="1">
        <v>45368</v>
      </c>
      <c r="B132" t="s">
        <v>1398</v>
      </c>
      <c r="C132">
        <v>1120.83</v>
      </c>
      <c r="D132">
        <v>4317</v>
      </c>
      <c r="E132">
        <v>1162</v>
      </c>
    </row>
    <row r="133" spans="1:5" x14ac:dyDescent="0.35">
      <c r="A133" s="1">
        <v>45369</v>
      </c>
      <c r="B133" t="s">
        <v>1398</v>
      </c>
      <c r="C133">
        <v>1191.2</v>
      </c>
      <c r="D133">
        <v>24457</v>
      </c>
      <c r="E133">
        <v>868</v>
      </c>
    </row>
    <row r="134" spans="1:5" x14ac:dyDescent="0.35">
      <c r="A134" s="1">
        <v>45369</v>
      </c>
      <c r="B134" t="s">
        <v>1396</v>
      </c>
      <c r="C134">
        <v>128.53</v>
      </c>
      <c r="D134">
        <v>30980</v>
      </c>
      <c r="E134">
        <v>1323</v>
      </c>
    </row>
    <row r="135" spans="1:5" x14ac:dyDescent="0.35">
      <c r="A135" s="1">
        <v>45370</v>
      </c>
      <c r="B135" t="s">
        <v>1397</v>
      </c>
      <c r="C135">
        <v>736.41</v>
      </c>
      <c r="D135">
        <v>42984</v>
      </c>
      <c r="E135">
        <v>1290</v>
      </c>
    </row>
    <row r="136" spans="1:5" x14ac:dyDescent="0.35">
      <c r="A136" s="1">
        <v>45372</v>
      </c>
      <c r="B136" t="s">
        <v>1398</v>
      </c>
      <c r="C136">
        <v>1169.5899999999999</v>
      </c>
      <c r="D136">
        <v>62965</v>
      </c>
      <c r="E136">
        <v>2150</v>
      </c>
    </row>
    <row r="137" spans="1:5" x14ac:dyDescent="0.35">
      <c r="A137" s="1">
        <v>45372</v>
      </c>
      <c r="B137" t="s">
        <v>1397</v>
      </c>
      <c r="C137">
        <v>1347.71</v>
      </c>
      <c r="D137">
        <v>62869</v>
      </c>
      <c r="E137">
        <v>3030</v>
      </c>
    </row>
    <row r="138" spans="1:5" x14ac:dyDescent="0.35">
      <c r="A138" s="1">
        <v>45373</v>
      </c>
      <c r="B138" t="s">
        <v>1395</v>
      </c>
      <c r="C138">
        <v>936.22</v>
      </c>
      <c r="D138">
        <v>75928</v>
      </c>
      <c r="E138">
        <v>1874</v>
      </c>
    </row>
    <row r="139" spans="1:5" x14ac:dyDescent="0.35">
      <c r="A139" s="1">
        <v>45373</v>
      </c>
      <c r="B139" t="s">
        <v>1398</v>
      </c>
      <c r="C139">
        <v>701.31</v>
      </c>
      <c r="D139">
        <v>39081</v>
      </c>
      <c r="E139">
        <v>1380</v>
      </c>
    </row>
    <row r="140" spans="1:5" x14ac:dyDescent="0.35">
      <c r="A140" s="1">
        <v>45373</v>
      </c>
      <c r="B140" t="s">
        <v>1397</v>
      </c>
      <c r="C140">
        <v>1123.81</v>
      </c>
      <c r="D140">
        <v>22494</v>
      </c>
      <c r="E140">
        <v>418</v>
      </c>
    </row>
    <row r="141" spans="1:5" x14ac:dyDescent="0.35">
      <c r="A141" s="1">
        <v>45373</v>
      </c>
      <c r="B141" t="s">
        <v>1396</v>
      </c>
      <c r="C141">
        <v>2034.34</v>
      </c>
      <c r="D141">
        <v>54973</v>
      </c>
      <c r="E141">
        <v>2494</v>
      </c>
    </row>
    <row r="142" spans="1:5" x14ac:dyDescent="0.35">
      <c r="A142" s="1">
        <v>45374</v>
      </c>
      <c r="B142" t="s">
        <v>1397</v>
      </c>
      <c r="C142">
        <v>835.9</v>
      </c>
      <c r="D142">
        <v>11596</v>
      </c>
      <c r="E142">
        <v>1749</v>
      </c>
    </row>
    <row r="143" spans="1:5" x14ac:dyDescent="0.35">
      <c r="A143" s="1">
        <v>45375</v>
      </c>
      <c r="B143" t="s">
        <v>1398</v>
      </c>
      <c r="C143">
        <v>1035.68</v>
      </c>
      <c r="D143">
        <v>44426</v>
      </c>
      <c r="E143">
        <v>491</v>
      </c>
    </row>
    <row r="144" spans="1:5" x14ac:dyDescent="0.35">
      <c r="A144" s="1">
        <v>45376</v>
      </c>
      <c r="B144" t="s">
        <v>1398</v>
      </c>
      <c r="C144">
        <v>138.65</v>
      </c>
      <c r="D144">
        <v>44170</v>
      </c>
      <c r="E144">
        <v>605</v>
      </c>
    </row>
    <row r="145" spans="1:5" x14ac:dyDescent="0.35">
      <c r="A145" s="1">
        <v>45376</v>
      </c>
      <c r="B145" t="s">
        <v>1397</v>
      </c>
      <c r="C145">
        <v>1101.1600000000001</v>
      </c>
      <c r="D145">
        <v>33578</v>
      </c>
      <c r="E145">
        <v>1681</v>
      </c>
    </row>
    <row r="146" spans="1:5" x14ac:dyDescent="0.35">
      <c r="A146" s="1">
        <v>45377</v>
      </c>
      <c r="B146" t="s">
        <v>1395</v>
      </c>
      <c r="C146">
        <v>202.39</v>
      </c>
      <c r="D146">
        <v>5843</v>
      </c>
      <c r="E146">
        <v>1759</v>
      </c>
    </row>
    <row r="147" spans="1:5" x14ac:dyDescent="0.35">
      <c r="A147" s="1">
        <v>45377</v>
      </c>
      <c r="B147" t="s">
        <v>1398</v>
      </c>
      <c r="C147">
        <v>979.73</v>
      </c>
      <c r="D147">
        <v>10269</v>
      </c>
      <c r="E147">
        <v>117</v>
      </c>
    </row>
    <row r="148" spans="1:5" x14ac:dyDescent="0.35">
      <c r="A148" s="1">
        <v>45377</v>
      </c>
      <c r="B148" t="s">
        <v>1397</v>
      </c>
      <c r="C148">
        <v>2221.5100000000002</v>
      </c>
      <c r="D148">
        <v>76952</v>
      </c>
      <c r="E148">
        <v>2099</v>
      </c>
    </row>
    <row r="149" spans="1:5" x14ac:dyDescent="0.35">
      <c r="A149" s="1">
        <v>45377</v>
      </c>
      <c r="B149" t="s">
        <v>1396</v>
      </c>
      <c r="C149">
        <v>367.36</v>
      </c>
      <c r="D149">
        <v>21644</v>
      </c>
      <c r="E149">
        <v>1021</v>
      </c>
    </row>
    <row r="150" spans="1:5" x14ac:dyDescent="0.35">
      <c r="A150" s="1">
        <v>45378</v>
      </c>
      <c r="B150" t="s">
        <v>1398</v>
      </c>
      <c r="C150">
        <v>613.01</v>
      </c>
      <c r="D150">
        <v>7769</v>
      </c>
      <c r="E150">
        <v>295</v>
      </c>
    </row>
    <row r="151" spans="1:5" x14ac:dyDescent="0.35">
      <c r="A151" s="1">
        <v>45379</v>
      </c>
      <c r="B151" t="s">
        <v>1398</v>
      </c>
      <c r="C151">
        <v>1004.92</v>
      </c>
      <c r="D151">
        <v>41376</v>
      </c>
      <c r="E151">
        <v>322</v>
      </c>
    </row>
    <row r="152" spans="1:5" x14ac:dyDescent="0.35">
      <c r="A152" s="1">
        <v>45379</v>
      </c>
      <c r="B152" t="s">
        <v>1396</v>
      </c>
      <c r="C152">
        <v>219.94</v>
      </c>
      <c r="D152">
        <v>17872</v>
      </c>
      <c r="E152">
        <v>94</v>
      </c>
    </row>
    <row r="153" spans="1:5" x14ac:dyDescent="0.35">
      <c r="A153" s="1">
        <v>45380</v>
      </c>
      <c r="B153" t="s">
        <v>1395</v>
      </c>
      <c r="C153">
        <v>791.12</v>
      </c>
      <c r="D153">
        <v>71950</v>
      </c>
      <c r="E153">
        <v>2279</v>
      </c>
    </row>
    <row r="154" spans="1:5" x14ac:dyDescent="0.35">
      <c r="A154" s="1">
        <v>45380</v>
      </c>
      <c r="B154" t="s">
        <v>1398</v>
      </c>
      <c r="C154">
        <v>1246.28</v>
      </c>
      <c r="D154">
        <v>67799</v>
      </c>
      <c r="E154">
        <v>1865</v>
      </c>
    </row>
    <row r="155" spans="1:5" x14ac:dyDescent="0.35">
      <c r="A155" s="1">
        <v>45381</v>
      </c>
      <c r="B155" t="s">
        <v>1398</v>
      </c>
      <c r="C155">
        <v>430.64</v>
      </c>
      <c r="D155">
        <v>29942</v>
      </c>
      <c r="E155">
        <v>976</v>
      </c>
    </row>
    <row r="156" spans="1:5" x14ac:dyDescent="0.35">
      <c r="A156" s="1">
        <v>45381</v>
      </c>
      <c r="B156" t="s">
        <v>1396</v>
      </c>
      <c r="C156">
        <v>1092.08</v>
      </c>
      <c r="D156">
        <v>26373</v>
      </c>
      <c r="E156">
        <v>1025</v>
      </c>
    </row>
    <row r="157" spans="1:5" x14ac:dyDescent="0.35">
      <c r="A157" s="1">
        <v>45382</v>
      </c>
      <c r="B157" t="s">
        <v>1395</v>
      </c>
      <c r="C157">
        <v>1141.1099999999999</v>
      </c>
      <c r="D157">
        <v>39541</v>
      </c>
      <c r="E157">
        <v>831</v>
      </c>
    </row>
    <row r="158" spans="1:5" x14ac:dyDescent="0.35">
      <c r="A158" s="1">
        <v>45382</v>
      </c>
      <c r="B158" t="s">
        <v>1397</v>
      </c>
      <c r="C158">
        <v>118.49</v>
      </c>
      <c r="D158">
        <v>11680</v>
      </c>
      <c r="E158">
        <v>1231</v>
      </c>
    </row>
    <row r="159" spans="1:5" x14ac:dyDescent="0.35">
      <c r="A159" s="1">
        <v>45382</v>
      </c>
      <c r="B159" t="s">
        <v>1396</v>
      </c>
      <c r="C159">
        <v>583.54999999999995</v>
      </c>
      <c r="D159">
        <v>38944</v>
      </c>
      <c r="E159">
        <v>1586</v>
      </c>
    </row>
    <row r="160" spans="1:5" x14ac:dyDescent="0.35">
      <c r="A160" s="1">
        <v>45383</v>
      </c>
      <c r="B160" t="s">
        <v>1395</v>
      </c>
      <c r="C160">
        <v>1105.76</v>
      </c>
      <c r="D160">
        <v>36366</v>
      </c>
      <c r="E160">
        <v>334</v>
      </c>
    </row>
    <row r="161" spans="1:5" x14ac:dyDescent="0.35">
      <c r="A161" s="1">
        <v>45383</v>
      </c>
      <c r="B161" t="s">
        <v>1397</v>
      </c>
      <c r="C161">
        <v>692.96</v>
      </c>
      <c r="D161">
        <v>33703</v>
      </c>
      <c r="E161">
        <v>549</v>
      </c>
    </row>
    <row r="162" spans="1:5" x14ac:dyDescent="0.35">
      <c r="A162" s="1">
        <v>45384</v>
      </c>
      <c r="B162" t="s">
        <v>1397</v>
      </c>
      <c r="C162">
        <v>1277.49</v>
      </c>
      <c r="D162">
        <v>29496</v>
      </c>
      <c r="E162">
        <v>1426</v>
      </c>
    </row>
    <row r="163" spans="1:5" x14ac:dyDescent="0.35">
      <c r="A163" s="1">
        <v>45385</v>
      </c>
      <c r="B163" t="s">
        <v>1398</v>
      </c>
      <c r="C163">
        <v>122.57</v>
      </c>
      <c r="D163">
        <v>31994</v>
      </c>
      <c r="E163">
        <v>105</v>
      </c>
    </row>
    <row r="164" spans="1:5" x14ac:dyDescent="0.35">
      <c r="A164" s="1">
        <v>45386</v>
      </c>
      <c r="B164" t="s">
        <v>1397</v>
      </c>
      <c r="C164">
        <v>1068.32</v>
      </c>
      <c r="D164">
        <v>26209</v>
      </c>
      <c r="E164">
        <v>412</v>
      </c>
    </row>
    <row r="165" spans="1:5" x14ac:dyDescent="0.35">
      <c r="A165" s="1">
        <v>45387</v>
      </c>
      <c r="B165" t="s">
        <v>1396</v>
      </c>
      <c r="C165">
        <v>148.55000000000001</v>
      </c>
      <c r="D165">
        <v>42541</v>
      </c>
      <c r="E165">
        <v>634</v>
      </c>
    </row>
    <row r="166" spans="1:5" x14ac:dyDescent="0.35">
      <c r="A166" s="1">
        <v>45388</v>
      </c>
      <c r="B166" t="s">
        <v>1397</v>
      </c>
      <c r="C166">
        <v>745.76</v>
      </c>
      <c r="D166">
        <v>34857</v>
      </c>
      <c r="E166">
        <v>338</v>
      </c>
    </row>
    <row r="167" spans="1:5" x14ac:dyDescent="0.35">
      <c r="A167" s="1">
        <v>45388</v>
      </c>
      <c r="B167" t="s">
        <v>1396</v>
      </c>
      <c r="C167">
        <v>389.87</v>
      </c>
      <c r="D167">
        <v>5576</v>
      </c>
      <c r="E167">
        <v>1635</v>
      </c>
    </row>
    <row r="168" spans="1:5" x14ac:dyDescent="0.35">
      <c r="A168" s="1">
        <v>45389</v>
      </c>
      <c r="B168" t="s">
        <v>1397</v>
      </c>
      <c r="C168">
        <v>885.53</v>
      </c>
      <c r="D168">
        <v>16572</v>
      </c>
      <c r="E168">
        <v>1435</v>
      </c>
    </row>
    <row r="169" spans="1:5" x14ac:dyDescent="0.35">
      <c r="A169" s="1">
        <v>45390</v>
      </c>
      <c r="B169" t="s">
        <v>1395</v>
      </c>
      <c r="C169">
        <v>430.29</v>
      </c>
      <c r="D169">
        <v>32075</v>
      </c>
      <c r="E169">
        <v>1357</v>
      </c>
    </row>
    <row r="170" spans="1:5" x14ac:dyDescent="0.35">
      <c r="A170" s="1">
        <v>45391</v>
      </c>
      <c r="B170" t="s">
        <v>1397</v>
      </c>
      <c r="C170">
        <v>608.74</v>
      </c>
      <c r="D170">
        <v>23518</v>
      </c>
      <c r="E170">
        <v>1292</v>
      </c>
    </row>
    <row r="171" spans="1:5" x14ac:dyDescent="0.35">
      <c r="A171" s="1">
        <v>45391</v>
      </c>
      <c r="B171" t="s">
        <v>1396</v>
      </c>
      <c r="C171">
        <v>1158.4000000000001</v>
      </c>
      <c r="D171">
        <v>35124</v>
      </c>
      <c r="E171">
        <v>1367</v>
      </c>
    </row>
    <row r="172" spans="1:5" x14ac:dyDescent="0.35">
      <c r="A172" s="1">
        <v>45392</v>
      </c>
      <c r="B172" t="s">
        <v>1398</v>
      </c>
      <c r="C172">
        <v>223.15</v>
      </c>
      <c r="D172">
        <v>28872</v>
      </c>
      <c r="E172">
        <v>78</v>
      </c>
    </row>
    <row r="173" spans="1:5" x14ac:dyDescent="0.35">
      <c r="A173" s="1">
        <v>45392</v>
      </c>
      <c r="B173" t="s">
        <v>1397</v>
      </c>
      <c r="C173">
        <v>893.58</v>
      </c>
      <c r="D173">
        <v>43066</v>
      </c>
      <c r="E173">
        <v>186</v>
      </c>
    </row>
    <row r="174" spans="1:5" x14ac:dyDescent="0.35">
      <c r="A174" s="1">
        <v>45393</v>
      </c>
      <c r="B174" t="s">
        <v>1398</v>
      </c>
      <c r="C174">
        <v>944.65</v>
      </c>
      <c r="D174">
        <v>36284</v>
      </c>
      <c r="E174">
        <v>443</v>
      </c>
    </row>
    <row r="175" spans="1:5" x14ac:dyDescent="0.35">
      <c r="A175" s="1">
        <v>45393</v>
      </c>
      <c r="B175" t="s">
        <v>1396</v>
      </c>
      <c r="C175">
        <v>478.08</v>
      </c>
      <c r="D175">
        <v>43307</v>
      </c>
      <c r="E175">
        <v>1350</v>
      </c>
    </row>
    <row r="176" spans="1:5" x14ac:dyDescent="0.35">
      <c r="A176" s="1">
        <v>45394</v>
      </c>
      <c r="B176" t="s">
        <v>1398</v>
      </c>
      <c r="C176">
        <v>775.37</v>
      </c>
      <c r="D176">
        <v>37629</v>
      </c>
      <c r="E176">
        <v>1657</v>
      </c>
    </row>
    <row r="177" spans="1:5" x14ac:dyDescent="0.35">
      <c r="A177" s="1">
        <v>45396</v>
      </c>
      <c r="B177" t="s">
        <v>1396</v>
      </c>
      <c r="C177">
        <v>684.92</v>
      </c>
      <c r="D177">
        <v>38540</v>
      </c>
      <c r="E177">
        <v>1018</v>
      </c>
    </row>
    <row r="178" spans="1:5" x14ac:dyDescent="0.35">
      <c r="A178" s="1">
        <v>45397</v>
      </c>
      <c r="B178" t="s">
        <v>1398</v>
      </c>
      <c r="C178">
        <v>2029.72</v>
      </c>
      <c r="D178">
        <v>83599</v>
      </c>
      <c r="E178">
        <v>2577</v>
      </c>
    </row>
    <row r="179" spans="1:5" x14ac:dyDescent="0.35">
      <c r="A179" s="1">
        <v>45397</v>
      </c>
      <c r="B179" t="s">
        <v>1397</v>
      </c>
      <c r="C179">
        <v>520.16999999999996</v>
      </c>
      <c r="D179">
        <v>8985</v>
      </c>
      <c r="E179">
        <v>346</v>
      </c>
    </row>
    <row r="180" spans="1:5" x14ac:dyDescent="0.35">
      <c r="A180" s="1">
        <v>45397</v>
      </c>
      <c r="B180" t="s">
        <v>1396</v>
      </c>
      <c r="C180">
        <v>450.55</v>
      </c>
      <c r="D180">
        <v>8397</v>
      </c>
      <c r="E180">
        <v>927</v>
      </c>
    </row>
    <row r="181" spans="1:5" x14ac:dyDescent="0.35">
      <c r="A181" s="1">
        <v>45398</v>
      </c>
      <c r="B181" t="s">
        <v>1398</v>
      </c>
      <c r="C181">
        <v>915.09</v>
      </c>
      <c r="D181">
        <v>28102</v>
      </c>
      <c r="E181">
        <v>187</v>
      </c>
    </row>
    <row r="182" spans="1:5" x14ac:dyDescent="0.35">
      <c r="A182" s="1">
        <v>45398</v>
      </c>
      <c r="B182" t="s">
        <v>1396</v>
      </c>
      <c r="C182">
        <v>404.55</v>
      </c>
      <c r="D182">
        <v>19367</v>
      </c>
      <c r="E182">
        <v>1775</v>
      </c>
    </row>
    <row r="183" spans="1:5" x14ac:dyDescent="0.35">
      <c r="A183" s="1">
        <v>45399</v>
      </c>
      <c r="B183" t="s">
        <v>1397</v>
      </c>
      <c r="C183">
        <v>293.5</v>
      </c>
      <c r="D183">
        <v>44331</v>
      </c>
      <c r="E183">
        <v>1773</v>
      </c>
    </row>
    <row r="184" spans="1:5" x14ac:dyDescent="0.35">
      <c r="A184" s="1">
        <v>45399</v>
      </c>
      <c r="B184" t="s">
        <v>1396</v>
      </c>
      <c r="C184">
        <v>967.34</v>
      </c>
      <c r="D184">
        <v>6532</v>
      </c>
      <c r="E184">
        <v>1707</v>
      </c>
    </row>
    <row r="185" spans="1:5" x14ac:dyDescent="0.35">
      <c r="A185" s="1">
        <v>45400</v>
      </c>
      <c r="B185" t="s">
        <v>1398</v>
      </c>
      <c r="C185">
        <v>264.94</v>
      </c>
      <c r="D185">
        <v>25738</v>
      </c>
      <c r="E185">
        <v>1262</v>
      </c>
    </row>
    <row r="186" spans="1:5" x14ac:dyDescent="0.35">
      <c r="A186" s="1">
        <v>45402</v>
      </c>
      <c r="B186" t="s">
        <v>1396</v>
      </c>
      <c r="C186">
        <v>747.5</v>
      </c>
      <c r="D186">
        <v>32894</v>
      </c>
      <c r="E186">
        <v>1016</v>
      </c>
    </row>
    <row r="187" spans="1:5" x14ac:dyDescent="0.35">
      <c r="A187" s="1">
        <v>45403</v>
      </c>
      <c r="B187" t="s">
        <v>1395</v>
      </c>
      <c r="C187">
        <v>102.08</v>
      </c>
      <c r="D187">
        <v>24579</v>
      </c>
      <c r="E187">
        <v>1464</v>
      </c>
    </row>
    <row r="188" spans="1:5" x14ac:dyDescent="0.35">
      <c r="A188" s="1">
        <v>45403</v>
      </c>
      <c r="B188" t="s">
        <v>1396</v>
      </c>
      <c r="C188">
        <v>1477.75</v>
      </c>
      <c r="D188">
        <v>76911</v>
      </c>
      <c r="E188">
        <v>1915</v>
      </c>
    </row>
    <row r="189" spans="1:5" x14ac:dyDescent="0.35">
      <c r="A189" s="1">
        <v>45404</v>
      </c>
      <c r="B189" t="s">
        <v>1398</v>
      </c>
      <c r="C189">
        <v>648.70000000000005</v>
      </c>
      <c r="D189">
        <v>35104</v>
      </c>
      <c r="E189">
        <v>356</v>
      </c>
    </row>
    <row r="190" spans="1:5" x14ac:dyDescent="0.35">
      <c r="A190" s="1">
        <v>45404</v>
      </c>
      <c r="B190" t="s">
        <v>1397</v>
      </c>
      <c r="C190">
        <v>87.6</v>
      </c>
      <c r="D190">
        <v>16735</v>
      </c>
      <c r="E190">
        <v>1131</v>
      </c>
    </row>
    <row r="191" spans="1:5" x14ac:dyDescent="0.35">
      <c r="A191" s="1">
        <v>45406</v>
      </c>
      <c r="B191" t="s">
        <v>1395</v>
      </c>
      <c r="C191">
        <v>416.49</v>
      </c>
      <c r="D191">
        <v>8493</v>
      </c>
      <c r="E191">
        <v>1748</v>
      </c>
    </row>
    <row r="192" spans="1:5" x14ac:dyDescent="0.35">
      <c r="A192" s="1">
        <v>45407</v>
      </c>
      <c r="B192" t="s">
        <v>1397</v>
      </c>
      <c r="C192">
        <v>1617.25</v>
      </c>
      <c r="D192">
        <v>49726</v>
      </c>
      <c r="E192">
        <v>3112</v>
      </c>
    </row>
    <row r="193" spans="1:5" x14ac:dyDescent="0.35">
      <c r="A193" s="1">
        <v>45408</v>
      </c>
      <c r="B193" t="s">
        <v>1397</v>
      </c>
      <c r="C193">
        <v>685.99</v>
      </c>
      <c r="D193">
        <v>26603</v>
      </c>
      <c r="E193">
        <v>914</v>
      </c>
    </row>
    <row r="194" spans="1:5" x14ac:dyDescent="0.35">
      <c r="A194" s="1">
        <v>45409</v>
      </c>
      <c r="B194" t="s">
        <v>1396</v>
      </c>
      <c r="C194">
        <v>705.26</v>
      </c>
      <c r="D194">
        <v>18104</v>
      </c>
      <c r="E194">
        <v>1052</v>
      </c>
    </row>
    <row r="195" spans="1:5" x14ac:dyDescent="0.35">
      <c r="A195" s="1">
        <v>45410</v>
      </c>
      <c r="B195" t="s">
        <v>1396</v>
      </c>
      <c r="C195">
        <v>1557.81</v>
      </c>
      <c r="D195">
        <v>46333</v>
      </c>
      <c r="E195">
        <v>1893</v>
      </c>
    </row>
    <row r="196" spans="1:5" x14ac:dyDescent="0.35">
      <c r="A196" s="1">
        <v>45411</v>
      </c>
      <c r="B196" t="s">
        <v>1398</v>
      </c>
      <c r="C196">
        <v>72.92</v>
      </c>
      <c r="D196">
        <v>33325</v>
      </c>
      <c r="E196">
        <v>31</v>
      </c>
    </row>
    <row r="197" spans="1:5" x14ac:dyDescent="0.35">
      <c r="A197" s="1">
        <v>45411</v>
      </c>
      <c r="B197" t="s">
        <v>1397</v>
      </c>
      <c r="C197">
        <v>781.33</v>
      </c>
      <c r="D197">
        <v>2628</v>
      </c>
      <c r="E197">
        <v>716</v>
      </c>
    </row>
    <row r="198" spans="1:5" x14ac:dyDescent="0.35">
      <c r="A198" s="1">
        <v>45412</v>
      </c>
      <c r="B198" t="s">
        <v>1395</v>
      </c>
      <c r="C198">
        <v>1460.57</v>
      </c>
      <c r="D198">
        <v>79886</v>
      </c>
      <c r="E198">
        <v>1861</v>
      </c>
    </row>
    <row r="199" spans="1:5" x14ac:dyDescent="0.35">
      <c r="A199" s="1">
        <v>45413</v>
      </c>
      <c r="B199" t="s">
        <v>1395</v>
      </c>
      <c r="C199">
        <v>907.61</v>
      </c>
      <c r="D199">
        <v>19601</v>
      </c>
      <c r="E199">
        <v>792</v>
      </c>
    </row>
    <row r="200" spans="1:5" x14ac:dyDescent="0.35">
      <c r="A200" s="1">
        <v>45413</v>
      </c>
      <c r="B200" t="s">
        <v>1396</v>
      </c>
      <c r="C200">
        <v>707.71</v>
      </c>
      <c r="D200">
        <v>39670</v>
      </c>
      <c r="E200">
        <v>635</v>
      </c>
    </row>
    <row r="201" spans="1:5" x14ac:dyDescent="0.35">
      <c r="A201" s="1">
        <v>45414</v>
      </c>
      <c r="B201" t="s">
        <v>1395</v>
      </c>
      <c r="C201">
        <v>331.15</v>
      </c>
      <c r="D201">
        <v>30474</v>
      </c>
      <c r="E201">
        <v>267</v>
      </c>
    </row>
    <row r="202" spans="1:5" x14ac:dyDescent="0.35">
      <c r="A202" s="1">
        <v>45414</v>
      </c>
      <c r="B202" t="s">
        <v>1398</v>
      </c>
      <c r="C202">
        <v>920.79</v>
      </c>
      <c r="D202">
        <v>11199</v>
      </c>
      <c r="E202">
        <v>943</v>
      </c>
    </row>
    <row r="203" spans="1:5" x14ac:dyDescent="0.35">
      <c r="A203" s="1">
        <v>45414</v>
      </c>
      <c r="B203" t="s">
        <v>1397</v>
      </c>
      <c r="C203">
        <v>941.84</v>
      </c>
      <c r="D203">
        <v>26947</v>
      </c>
      <c r="E203">
        <v>984</v>
      </c>
    </row>
    <row r="204" spans="1:5" x14ac:dyDescent="0.35">
      <c r="A204" s="1">
        <v>45414</v>
      </c>
      <c r="B204" t="s">
        <v>1396</v>
      </c>
      <c r="C204">
        <v>493.77</v>
      </c>
      <c r="D204">
        <v>17799</v>
      </c>
      <c r="E204">
        <v>1053</v>
      </c>
    </row>
    <row r="205" spans="1:5" x14ac:dyDescent="0.35">
      <c r="A205" s="1">
        <v>45415</v>
      </c>
      <c r="B205" t="s">
        <v>1395</v>
      </c>
      <c r="C205">
        <v>976.24</v>
      </c>
      <c r="D205">
        <v>41323</v>
      </c>
      <c r="E205">
        <v>857</v>
      </c>
    </row>
    <row r="206" spans="1:5" x14ac:dyDescent="0.35">
      <c r="A206" s="1">
        <v>45415</v>
      </c>
      <c r="B206" t="s">
        <v>1398</v>
      </c>
      <c r="C206">
        <v>762.75</v>
      </c>
      <c r="D206">
        <v>18542</v>
      </c>
      <c r="E206">
        <v>1699</v>
      </c>
    </row>
    <row r="207" spans="1:5" x14ac:dyDescent="0.35">
      <c r="A207" s="1">
        <v>45415</v>
      </c>
      <c r="B207" t="s">
        <v>1396</v>
      </c>
      <c r="C207">
        <v>265.41000000000003</v>
      </c>
      <c r="D207">
        <v>7610</v>
      </c>
      <c r="E207">
        <v>1102</v>
      </c>
    </row>
    <row r="208" spans="1:5" x14ac:dyDescent="0.35">
      <c r="A208" s="1">
        <v>45416</v>
      </c>
      <c r="B208" t="s">
        <v>1395</v>
      </c>
      <c r="C208">
        <v>197.07</v>
      </c>
      <c r="D208">
        <v>40820</v>
      </c>
      <c r="E208">
        <v>359</v>
      </c>
    </row>
    <row r="209" spans="1:5" x14ac:dyDescent="0.35">
      <c r="A209" s="1">
        <v>45416</v>
      </c>
      <c r="B209" t="s">
        <v>1397</v>
      </c>
      <c r="C209">
        <v>283.83999999999997</v>
      </c>
      <c r="D209">
        <v>44382</v>
      </c>
      <c r="E209">
        <v>191</v>
      </c>
    </row>
    <row r="210" spans="1:5" x14ac:dyDescent="0.35">
      <c r="A210" s="1">
        <v>45417</v>
      </c>
      <c r="B210" t="s">
        <v>1397</v>
      </c>
      <c r="C210">
        <v>623.73</v>
      </c>
      <c r="D210">
        <v>38089</v>
      </c>
      <c r="E210">
        <v>1011</v>
      </c>
    </row>
    <row r="211" spans="1:5" x14ac:dyDescent="0.35">
      <c r="A211" s="1">
        <v>45418</v>
      </c>
      <c r="B211" t="s">
        <v>1395</v>
      </c>
      <c r="C211">
        <v>798.67</v>
      </c>
      <c r="D211">
        <v>48721</v>
      </c>
      <c r="E211">
        <v>2279</v>
      </c>
    </row>
    <row r="212" spans="1:5" x14ac:dyDescent="0.35">
      <c r="A212" s="1">
        <v>45419</v>
      </c>
      <c r="B212" t="s">
        <v>1395</v>
      </c>
      <c r="C212">
        <v>453.05</v>
      </c>
      <c r="D212">
        <v>9080</v>
      </c>
      <c r="E212">
        <v>1505</v>
      </c>
    </row>
    <row r="213" spans="1:5" x14ac:dyDescent="0.35">
      <c r="A213" s="1">
        <v>45420</v>
      </c>
      <c r="B213" t="s">
        <v>1395</v>
      </c>
      <c r="C213">
        <v>787.36</v>
      </c>
      <c r="D213">
        <v>26327</v>
      </c>
      <c r="E213">
        <v>1165</v>
      </c>
    </row>
    <row r="214" spans="1:5" x14ac:dyDescent="0.35">
      <c r="A214" s="1">
        <v>45420</v>
      </c>
      <c r="B214" t="s">
        <v>1398</v>
      </c>
      <c r="C214">
        <v>763.65</v>
      </c>
      <c r="D214">
        <v>31036</v>
      </c>
      <c r="E214">
        <v>1729</v>
      </c>
    </row>
    <row r="215" spans="1:5" x14ac:dyDescent="0.35">
      <c r="A215" s="1">
        <v>45421</v>
      </c>
      <c r="B215" t="s">
        <v>1395</v>
      </c>
      <c r="C215">
        <v>916.28</v>
      </c>
      <c r="D215">
        <v>14524</v>
      </c>
      <c r="E215">
        <v>615</v>
      </c>
    </row>
    <row r="216" spans="1:5" x14ac:dyDescent="0.35">
      <c r="A216" s="1">
        <v>45421</v>
      </c>
      <c r="B216" t="s">
        <v>1398</v>
      </c>
      <c r="C216">
        <v>1054.3399999999999</v>
      </c>
      <c r="D216">
        <v>65884</v>
      </c>
      <c r="E216">
        <v>1956</v>
      </c>
    </row>
    <row r="217" spans="1:5" x14ac:dyDescent="0.35">
      <c r="A217" s="1">
        <v>45422</v>
      </c>
      <c r="B217" t="s">
        <v>1395</v>
      </c>
      <c r="C217">
        <v>430.15</v>
      </c>
      <c r="D217">
        <v>12145</v>
      </c>
      <c r="E217">
        <v>111</v>
      </c>
    </row>
    <row r="218" spans="1:5" x14ac:dyDescent="0.35">
      <c r="A218" s="1">
        <v>45422</v>
      </c>
      <c r="B218" t="s">
        <v>1398</v>
      </c>
      <c r="C218">
        <v>265.67</v>
      </c>
      <c r="D218">
        <v>27748</v>
      </c>
      <c r="E218">
        <v>471</v>
      </c>
    </row>
    <row r="219" spans="1:5" x14ac:dyDescent="0.35">
      <c r="A219" s="1">
        <v>45423</v>
      </c>
      <c r="B219" t="s">
        <v>1398</v>
      </c>
      <c r="C219">
        <v>122.49</v>
      </c>
      <c r="D219">
        <v>26558</v>
      </c>
      <c r="E219">
        <v>2862</v>
      </c>
    </row>
    <row r="220" spans="1:5" x14ac:dyDescent="0.35">
      <c r="A220" s="1">
        <v>45425</v>
      </c>
      <c r="B220" t="s">
        <v>1396</v>
      </c>
      <c r="C220">
        <v>320.85000000000002</v>
      </c>
      <c r="D220">
        <v>19497</v>
      </c>
      <c r="E220">
        <v>705</v>
      </c>
    </row>
    <row r="221" spans="1:5" x14ac:dyDescent="0.35">
      <c r="A221" s="1">
        <v>45426</v>
      </c>
      <c r="B221" t="s">
        <v>1397</v>
      </c>
      <c r="C221">
        <v>1041.53</v>
      </c>
      <c r="D221">
        <v>7700</v>
      </c>
      <c r="E221">
        <v>929</v>
      </c>
    </row>
    <row r="222" spans="1:5" x14ac:dyDescent="0.35">
      <c r="A222" s="1">
        <v>45427</v>
      </c>
      <c r="B222" t="s">
        <v>1395</v>
      </c>
      <c r="C222">
        <v>573</v>
      </c>
      <c r="D222">
        <v>19181</v>
      </c>
      <c r="E222">
        <v>1227</v>
      </c>
    </row>
    <row r="223" spans="1:5" x14ac:dyDescent="0.35">
      <c r="A223" s="1">
        <v>45427</v>
      </c>
      <c r="B223" t="s">
        <v>1396</v>
      </c>
      <c r="C223">
        <v>803.01</v>
      </c>
      <c r="D223">
        <v>39488</v>
      </c>
      <c r="E223">
        <v>1277</v>
      </c>
    </row>
    <row r="224" spans="1:5" x14ac:dyDescent="0.35">
      <c r="A224" s="1">
        <v>45428</v>
      </c>
      <c r="B224" t="s">
        <v>1396</v>
      </c>
      <c r="C224">
        <v>335.11</v>
      </c>
      <c r="D224">
        <v>8344</v>
      </c>
      <c r="E224">
        <v>133</v>
      </c>
    </row>
    <row r="225" spans="1:5" x14ac:dyDescent="0.35">
      <c r="A225" s="1">
        <v>45429</v>
      </c>
      <c r="B225" t="s">
        <v>1395</v>
      </c>
      <c r="C225">
        <v>1415.66</v>
      </c>
      <c r="D225">
        <v>28383</v>
      </c>
      <c r="E225">
        <v>1120</v>
      </c>
    </row>
    <row r="226" spans="1:5" x14ac:dyDescent="0.35">
      <c r="A226" s="1">
        <v>45429</v>
      </c>
      <c r="B226" t="s">
        <v>1397</v>
      </c>
      <c r="C226">
        <v>358.67</v>
      </c>
      <c r="D226">
        <v>11563</v>
      </c>
      <c r="E226">
        <v>159</v>
      </c>
    </row>
    <row r="227" spans="1:5" x14ac:dyDescent="0.35">
      <c r="A227" s="1">
        <v>45429</v>
      </c>
      <c r="B227" t="s">
        <v>1396</v>
      </c>
      <c r="C227">
        <v>824.72</v>
      </c>
      <c r="D227">
        <v>41513</v>
      </c>
      <c r="E227">
        <v>110</v>
      </c>
    </row>
    <row r="228" spans="1:5" x14ac:dyDescent="0.35">
      <c r="A228" s="1">
        <v>45430</v>
      </c>
      <c r="B228" t="s">
        <v>1395</v>
      </c>
      <c r="C228">
        <v>1112.78</v>
      </c>
      <c r="D228">
        <v>20374</v>
      </c>
      <c r="E228">
        <v>1142</v>
      </c>
    </row>
    <row r="229" spans="1:5" x14ac:dyDescent="0.35">
      <c r="A229" s="1">
        <v>45431</v>
      </c>
      <c r="B229" t="s">
        <v>1398</v>
      </c>
      <c r="C229">
        <v>918.18</v>
      </c>
      <c r="D229">
        <v>9459</v>
      </c>
      <c r="E229">
        <v>736</v>
      </c>
    </row>
    <row r="230" spans="1:5" x14ac:dyDescent="0.35">
      <c r="A230" s="1">
        <v>45432</v>
      </c>
      <c r="B230" t="s">
        <v>1395</v>
      </c>
      <c r="C230">
        <v>802.78</v>
      </c>
      <c r="D230">
        <v>18409</v>
      </c>
      <c r="E230">
        <v>198</v>
      </c>
    </row>
    <row r="231" spans="1:5" x14ac:dyDescent="0.35">
      <c r="A231" s="1">
        <v>45432</v>
      </c>
      <c r="B231" t="s">
        <v>1397</v>
      </c>
      <c r="C231">
        <v>785.14</v>
      </c>
      <c r="D231">
        <v>69584</v>
      </c>
      <c r="E231">
        <v>2067</v>
      </c>
    </row>
    <row r="232" spans="1:5" x14ac:dyDescent="0.35">
      <c r="A232" s="1">
        <v>45433</v>
      </c>
      <c r="B232" t="s">
        <v>1398</v>
      </c>
      <c r="C232">
        <v>856.64</v>
      </c>
      <c r="D232">
        <v>10696</v>
      </c>
      <c r="E232">
        <v>541</v>
      </c>
    </row>
    <row r="233" spans="1:5" x14ac:dyDescent="0.35">
      <c r="A233" s="1">
        <v>45434</v>
      </c>
      <c r="B233" t="s">
        <v>1395</v>
      </c>
      <c r="C233">
        <v>713.95</v>
      </c>
      <c r="D233">
        <v>37185</v>
      </c>
      <c r="E233">
        <v>412</v>
      </c>
    </row>
    <row r="234" spans="1:5" x14ac:dyDescent="0.35">
      <c r="A234" s="1">
        <v>45434</v>
      </c>
      <c r="B234" t="s">
        <v>1398</v>
      </c>
      <c r="C234">
        <v>978.3</v>
      </c>
      <c r="D234">
        <v>38763</v>
      </c>
      <c r="E234">
        <v>1601</v>
      </c>
    </row>
    <row r="235" spans="1:5" x14ac:dyDescent="0.35">
      <c r="A235" s="1">
        <v>45434</v>
      </c>
      <c r="B235" t="s">
        <v>1397</v>
      </c>
      <c r="C235">
        <v>308.60000000000002</v>
      </c>
      <c r="D235">
        <v>21504</v>
      </c>
      <c r="E235">
        <v>1609</v>
      </c>
    </row>
    <row r="236" spans="1:5" x14ac:dyDescent="0.35">
      <c r="A236" s="1">
        <v>45435</v>
      </c>
      <c r="B236" t="s">
        <v>1396</v>
      </c>
      <c r="C236">
        <v>1036.97</v>
      </c>
      <c r="D236">
        <v>8436</v>
      </c>
      <c r="E236">
        <v>496</v>
      </c>
    </row>
    <row r="237" spans="1:5" x14ac:dyDescent="0.35">
      <c r="A237" s="1">
        <v>45436</v>
      </c>
      <c r="B237" t="s">
        <v>1397</v>
      </c>
      <c r="C237">
        <v>837.08</v>
      </c>
      <c r="D237">
        <v>33571</v>
      </c>
      <c r="E237">
        <v>160</v>
      </c>
    </row>
    <row r="238" spans="1:5" x14ac:dyDescent="0.35">
      <c r="A238" s="1">
        <v>45437</v>
      </c>
      <c r="B238" t="s">
        <v>1396</v>
      </c>
      <c r="C238">
        <v>1187.46</v>
      </c>
      <c r="D238">
        <v>37605</v>
      </c>
      <c r="E238">
        <v>1103</v>
      </c>
    </row>
    <row r="239" spans="1:5" x14ac:dyDescent="0.35">
      <c r="A239" s="1">
        <v>45438</v>
      </c>
      <c r="B239" t="s">
        <v>1395</v>
      </c>
      <c r="C239">
        <v>1094.1300000000001</v>
      </c>
      <c r="D239">
        <v>7862</v>
      </c>
      <c r="E239">
        <v>1365</v>
      </c>
    </row>
    <row r="240" spans="1:5" x14ac:dyDescent="0.35">
      <c r="A240" s="1">
        <v>45438</v>
      </c>
      <c r="B240" t="s">
        <v>1398</v>
      </c>
      <c r="C240">
        <v>748.12</v>
      </c>
      <c r="D240">
        <v>25089</v>
      </c>
      <c r="E240">
        <v>478</v>
      </c>
    </row>
    <row r="241" spans="1:5" x14ac:dyDescent="0.35">
      <c r="A241" s="1">
        <v>45438</v>
      </c>
      <c r="B241" t="s">
        <v>1396</v>
      </c>
      <c r="C241">
        <v>850.48</v>
      </c>
      <c r="D241">
        <v>11095</v>
      </c>
      <c r="E241">
        <v>1584</v>
      </c>
    </row>
    <row r="242" spans="1:5" x14ac:dyDescent="0.35">
      <c r="A242" s="1">
        <v>45439</v>
      </c>
      <c r="B242" t="s">
        <v>1398</v>
      </c>
      <c r="C242">
        <v>1791.63</v>
      </c>
      <c r="D242">
        <v>73117</v>
      </c>
      <c r="E242">
        <v>2229</v>
      </c>
    </row>
    <row r="243" spans="1:5" x14ac:dyDescent="0.35">
      <c r="A243" s="1">
        <v>45440</v>
      </c>
      <c r="B243" t="s">
        <v>1395</v>
      </c>
      <c r="C243">
        <v>515.79</v>
      </c>
      <c r="D243">
        <v>23284</v>
      </c>
      <c r="E243">
        <v>381</v>
      </c>
    </row>
    <row r="244" spans="1:5" x14ac:dyDescent="0.35">
      <c r="A244" s="1">
        <v>45440</v>
      </c>
      <c r="B244" t="s">
        <v>1397</v>
      </c>
      <c r="C244">
        <v>3434.15</v>
      </c>
      <c r="D244">
        <v>82249</v>
      </c>
      <c r="E244">
        <v>4622</v>
      </c>
    </row>
    <row r="245" spans="1:5" x14ac:dyDescent="0.35">
      <c r="A245" s="1">
        <v>45440</v>
      </c>
      <c r="B245" t="s">
        <v>1396</v>
      </c>
      <c r="C245">
        <v>1930.8</v>
      </c>
      <c r="D245">
        <v>70485</v>
      </c>
      <c r="E245">
        <v>1641</v>
      </c>
    </row>
    <row r="246" spans="1:5" x14ac:dyDescent="0.35">
      <c r="A246" s="1">
        <v>45442</v>
      </c>
      <c r="B246" t="s">
        <v>1395</v>
      </c>
      <c r="C246">
        <v>591.4</v>
      </c>
      <c r="D246">
        <v>18951</v>
      </c>
      <c r="E246">
        <v>1515</v>
      </c>
    </row>
    <row r="247" spans="1:5" x14ac:dyDescent="0.35">
      <c r="A247" s="1">
        <v>45442</v>
      </c>
      <c r="B247" t="s">
        <v>1398</v>
      </c>
      <c r="C247">
        <v>100.38</v>
      </c>
      <c r="D247">
        <v>15072</v>
      </c>
      <c r="E247">
        <v>115</v>
      </c>
    </row>
    <row r="248" spans="1:5" x14ac:dyDescent="0.35">
      <c r="A248" s="1">
        <v>45442</v>
      </c>
      <c r="B248" t="s">
        <v>1396</v>
      </c>
      <c r="C248">
        <v>631.38</v>
      </c>
      <c r="D248">
        <v>30193</v>
      </c>
      <c r="E248">
        <v>233</v>
      </c>
    </row>
    <row r="249" spans="1:5" x14ac:dyDescent="0.35">
      <c r="A249" s="1">
        <v>45443</v>
      </c>
      <c r="B249" t="s">
        <v>1398</v>
      </c>
      <c r="C249">
        <v>251.82</v>
      </c>
      <c r="D249">
        <v>43859</v>
      </c>
      <c r="E249">
        <v>860</v>
      </c>
    </row>
    <row r="250" spans="1:5" x14ac:dyDescent="0.35">
      <c r="A250" s="1">
        <v>45443</v>
      </c>
      <c r="B250" t="s">
        <v>1397</v>
      </c>
      <c r="C250">
        <v>974.87</v>
      </c>
      <c r="D250">
        <v>32692</v>
      </c>
      <c r="E250">
        <v>184</v>
      </c>
    </row>
    <row r="251" spans="1:5" x14ac:dyDescent="0.35">
      <c r="A251" s="1">
        <v>45445</v>
      </c>
      <c r="B251" t="s">
        <v>1395</v>
      </c>
      <c r="C251">
        <v>504.03</v>
      </c>
      <c r="D251">
        <v>4275</v>
      </c>
      <c r="E251">
        <v>1058</v>
      </c>
    </row>
    <row r="252" spans="1:5" x14ac:dyDescent="0.35">
      <c r="A252" s="1">
        <v>45445</v>
      </c>
      <c r="B252" t="s">
        <v>1398</v>
      </c>
      <c r="C252">
        <v>1715.28</v>
      </c>
      <c r="D252">
        <v>77723</v>
      </c>
      <c r="E252">
        <v>2139</v>
      </c>
    </row>
    <row r="253" spans="1:5" x14ac:dyDescent="0.35">
      <c r="A253" s="1">
        <v>45445</v>
      </c>
      <c r="B253" t="s">
        <v>1397</v>
      </c>
      <c r="C253">
        <v>633.41</v>
      </c>
      <c r="D253">
        <v>35404</v>
      </c>
      <c r="E253">
        <v>1120</v>
      </c>
    </row>
    <row r="254" spans="1:5" x14ac:dyDescent="0.35">
      <c r="A254" s="1">
        <v>45445</v>
      </c>
      <c r="B254" t="s">
        <v>1396</v>
      </c>
      <c r="C254">
        <v>843.86</v>
      </c>
      <c r="D254">
        <v>31939</v>
      </c>
      <c r="E254">
        <v>1761</v>
      </c>
    </row>
    <row r="255" spans="1:5" x14ac:dyDescent="0.35">
      <c r="A255" s="1">
        <v>45446</v>
      </c>
      <c r="B255" t="s">
        <v>1395</v>
      </c>
      <c r="C255">
        <v>455.7</v>
      </c>
      <c r="D255">
        <v>55076</v>
      </c>
      <c r="E255">
        <v>2786</v>
      </c>
    </row>
    <row r="256" spans="1:5" x14ac:dyDescent="0.35">
      <c r="A256" s="1">
        <v>45446</v>
      </c>
      <c r="B256" t="s">
        <v>1398</v>
      </c>
      <c r="C256">
        <v>2382.83</v>
      </c>
      <c r="D256">
        <v>69827</v>
      </c>
      <c r="E256">
        <v>730</v>
      </c>
    </row>
    <row r="257" spans="1:5" x14ac:dyDescent="0.35">
      <c r="A257" s="1">
        <v>45446</v>
      </c>
      <c r="B257" t="s">
        <v>1396</v>
      </c>
      <c r="C257">
        <v>810.91</v>
      </c>
      <c r="D257">
        <v>36098</v>
      </c>
      <c r="E257">
        <v>582</v>
      </c>
    </row>
    <row r="258" spans="1:5" x14ac:dyDescent="0.35">
      <c r="A258" s="1">
        <v>45447</v>
      </c>
      <c r="B258" t="s">
        <v>1398</v>
      </c>
      <c r="C258">
        <v>236.26</v>
      </c>
      <c r="D258">
        <v>16776</v>
      </c>
      <c r="E258">
        <v>738</v>
      </c>
    </row>
    <row r="259" spans="1:5" x14ac:dyDescent="0.35">
      <c r="A259" s="1">
        <v>45447</v>
      </c>
      <c r="B259" t="s">
        <v>1397</v>
      </c>
      <c r="C259">
        <v>730.13</v>
      </c>
      <c r="D259">
        <v>25064</v>
      </c>
      <c r="E259">
        <v>1069</v>
      </c>
    </row>
    <row r="260" spans="1:5" x14ac:dyDescent="0.35">
      <c r="A260" s="1">
        <v>45448</v>
      </c>
      <c r="B260" t="s">
        <v>1397</v>
      </c>
      <c r="C260">
        <v>537.38</v>
      </c>
      <c r="D260">
        <v>26672</v>
      </c>
      <c r="E260">
        <v>1774</v>
      </c>
    </row>
    <row r="261" spans="1:5" x14ac:dyDescent="0.35">
      <c r="A261" s="1">
        <v>45449</v>
      </c>
      <c r="B261" t="s">
        <v>1397</v>
      </c>
      <c r="C261">
        <v>940.32</v>
      </c>
      <c r="D261">
        <v>28091</v>
      </c>
      <c r="E261">
        <v>1536</v>
      </c>
    </row>
    <row r="262" spans="1:5" x14ac:dyDescent="0.35">
      <c r="A262" s="1">
        <v>45449</v>
      </c>
      <c r="B262" t="s">
        <v>1396</v>
      </c>
      <c r="C262">
        <v>76.650000000000006</v>
      </c>
      <c r="D262">
        <v>27771</v>
      </c>
      <c r="E262">
        <v>1065</v>
      </c>
    </row>
    <row r="263" spans="1:5" x14ac:dyDescent="0.35">
      <c r="A263" s="1">
        <v>45450</v>
      </c>
      <c r="B263" t="s">
        <v>1398</v>
      </c>
      <c r="C263">
        <v>614</v>
      </c>
      <c r="D263">
        <v>7915</v>
      </c>
      <c r="E263">
        <v>145</v>
      </c>
    </row>
    <row r="264" spans="1:5" x14ac:dyDescent="0.35">
      <c r="A264" s="1">
        <v>45450</v>
      </c>
      <c r="B264" t="s">
        <v>1396</v>
      </c>
      <c r="C264">
        <v>1397.82</v>
      </c>
      <c r="D264">
        <v>40921</v>
      </c>
      <c r="E264">
        <v>1770</v>
      </c>
    </row>
    <row r="265" spans="1:5" x14ac:dyDescent="0.35">
      <c r="A265" s="1">
        <v>45451</v>
      </c>
      <c r="B265" t="s">
        <v>1397</v>
      </c>
      <c r="C265">
        <v>149.34</v>
      </c>
      <c r="D265">
        <v>31933</v>
      </c>
      <c r="E265">
        <v>46</v>
      </c>
    </row>
    <row r="266" spans="1:5" x14ac:dyDescent="0.35">
      <c r="A266" s="1">
        <v>45452</v>
      </c>
      <c r="B266" t="s">
        <v>1398</v>
      </c>
      <c r="C266">
        <v>1440.28</v>
      </c>
      <c r="D266">
        <v>65820</v>
      </c>
      <c r="E266">
        <v>2119</v>
      </c>
    </row>
    <row r="267" spans="1:5" x14ac:dyDescent="0.35">
      <c r="A267" s="1">
        <v>45452</v>
      </c>
      <c r="B267" t="s">
        <v>1396</v>
      </c>
      <c r="C267">
        <v>709.41</v>
      </c>
      <c r="D267">
        <v>43952</v>
      </c>
      <c r="E267">
        <v>885</v>
      </c>
    </row>
    <row r="268" spans="1:5" x14ac:dyDescent="0.35">
      <c r="A268" s="1">
        <v>45453</v>
      </c>
      <c r="B268" t="s">
        <v>1397</v>
      </c>
      <c r="C268">
        <v>642.69000000000005</v>
      </c>
      <c r="D268">
        <v>37588</v>
      </c>
      <c r="E268">
        <v>999</v>
      </c>
    </row>
    <row r="269" spans="1:5" x14ac:dyDescent="0.35">
      <c r="A269" s="1">
        <v>45453</v>
      </c>
      <c r="B269" t="s">
        <v>1396</v>
      </c>
      <c r="C269">
        <v>855.83</v>
      </c>
      <c r="D269">
        <v>23381</v>
      </c>
      <c r="E269">
        <v>681</v>
      </c>
    </row>
    <row r="270" spans="1:5" x14ac:dyDescent="0.35">
      <c r="A270" s="1">
        <v>45454</v>
      </c>
      <c r="B270" t="s">
        <v>1395</v>
      </c>
      <c r="C270">
        <v>567.47</v>
      </c>
      <c r="D270">
        <v>35905</v>
      </c>
      <c r="E270">
        <v>735</v>
      </c>
    </row>
    <row r="271" spans="1:5" x14ac:dyDescent="0.35">
      <c r="A271" s="1">
        <v>45454</v>
      </c>
      <c r="B271" t="s">
        <v>1398</v>
      </c>
      <c r="C271">
        <v>494.86</v>
      </c>
      <c r="D271">
        <v>39249</v>
      </c>
      <c r="E271">
        <v>891</v>
      </c>
    </row>
    <row r="272" spans="1:5" x14ac:dyDescent="0.35">
      <c r="A272" s="1">
        <v>45455</v>
      </c>
      <c r="B272" t="s">
        <v>1398</v>
      </c>
      <c r="C272">
        <v>1257.92</v>
      </c>
      <c r="D272">
        <v>36941</v>
      </c>
      <c r="E272">
        <v>1835</v>
      </c>
    </row>
    <row r="273" spans="1:5" x14ac:dyDescent="0.35">
      <c r="A273" s="1">
        <v>45455</v>
      </c>
      <c r="B273" t="s">
        <v>1397</v>
      </c>
      <c r="C273">
        <v>999.9</v>
      </c>
      <c r="D273">
        <v>39456</v>
      </c>
      <c r="E273">
        <v>793</v>
      </c>
    </row>
    <row r="274" spans="1:5" x14ac:dyDescent="0.35">
      <c r="A274" s="1">
        <v>45456</v>
      </c>
      <c r="B274" t="s">
        <v>1395</v>
      </c>
      <c r="C274">
        <v>1140.44</v>
      </c>
      <c r="D274">
        <v>12970</v>
      </c>
      <c r="E274">
        <v>1613</v>
      </c>
    </row>
    <row r="275" spans="1:5" x14ac:dyDescent="0.35">
      <c r="A275" s="1">
        <v>45456</v>
      </c>
      <c r="B275" t="s">
        <v>1397</v>
      </c>
      <c r="C275">
        <v>888.12</v>
      </c>
      <c r="D275">
        <v>41647</v>
      </c>
      <c r="E275">
        <v>1352</v>
      </c>
    </row>
    <row r="276" spans="1:5" x14ac:dyDescent="0.35">
      <c r="A276" s="1">
        <v>45456</v>
      </c>
      <c r="B276" t="s">
        <v>1396</v>
      </c>
      <c r="C276">
        <v>361</v>
      </c>
      <c r="D276">
        <v>3708</v>
      </c>
      <c r="E276">
        <v>683</v>
      </c>
    </row>
    <row r="277" spans="1:5" x14ac:dyDescent="0.35">
      <c r="A277" s="1">
        <v>45457</v>
      </c>
      <c r="B277" t="s">
        <v>1395</v>
      </c>
      <c r="C277">
        <v>1109.68</v>
      </c>
      <c r="D277">
        <v>41602</v>
      </c>
      <c r="E277">
        <v>1616</v>
      </c>
    </row>
    <row r="278" spans="1:5" x14ac:dyDescent="0.35">
      <c r="A278" s="1">
        <v>45457</v>
      </c>
      <c r="B278" t="s">
        <v>1397</v>
      </c>
      <c r="C278">
        <v>438.42</v>
      </c>
      <c r="D278">
        <v>39875</v>
      </c>
      <c r="E278">
        <v>297</v>
      </c>
    </row>
    <row r="279" spans="1:5" x14ac:dyDescent="0.35">
      <c r="A279" s="1">
        <v>45458</v>
      </c>
      <c r="B279" t="s">
        <v>1397</v>
      </c>
      <c r="C279">
        <v>647.64</v>
      </c>
      <c r="D279">
        <v>2810</v>
      </c>
      <c r="E279">
        <v>1640</v>
      </c>
    </row>
    <row r="280" spans="1:5" x14ac:dyDescent="0.35">
      <c r="A280" s="1">
        <v>45459</v>
      </c>
      <c r="B280" t="s">
        <v>1397</v>
      </c>
      <c r="C280">
        <v>236.88</v>
      </c>
      <c r="D280">
        <v>42402</v>
      </c>
      <c r="E280">
        <v>1544</v>
      </c>
    </row>
    <row r="281" spans="1:5" x14ac:dyDescent="0.35">
      <c r="A281" s="1">
        <v>45459</v>
      </c>
      <c r="B281" t="s">
        <v>1396</v>
      </c>
      <c r="C281">
        <v>1160.07</v>
      </c>
      <c r="D281">
        <v>70709</v>
      </c>
      <c r="E281">
        <v>4562</v>
      </c>
    </row>
    <row r="282" spans="1:5" x14ac:dyDescent="0.35">
      <c r="A282" s="1">
        <v>45460</v>
      </c>
      <c r="B282" t="s">
        <v>1395</v>
      </c>
      <c r="C282">
        <v>522.42999999999995</v>
      </c>
      <c r="D282">
        <v>29717</v>
      </c>
      <c r="E282">
        <v>1506</v>
      </c>
    </row>
    <row r="283" spans="1:5" x14ac:dyDescent="0.35">
      <c r="A283" s="1">
        <v>45461</v>
      </c>
      <c r="B283" t="s">
        <v>1395</v>
      </c>
      <c r="C283">
        <v>1176.8800000000001</v>
      </c>
      <c r="D283">
        <v>40253</v>
      </c>
      <c r="E283">
        <v>660</v>
      </c>
    </row>
    <row r="284" spans="1:5" x14ac:dyDescent="0.35">
      <c r="A284" s="1">
        <v>45461</v>
      </c>
      <c r="B284" t="s">
        <v>1398</v>
      </c>
      <c r="C284">
        <v>977.41</v>
      </c>
      <c r="D284">
        <v>24331</v>
      </c>
      <c r="E284">
        <v>1498</v>
      </c>
    </row>
    <row r="285" spans="1:5" x14ac:dyDescent="0.35">
      <c r="A285" s="1">
        <v>45461</v>
      </c>
      <c r="B285" t="s">
        <v>1397</v>
      </c>
      <c r="C285">
        <v>349.64</v>
      </c>
      <c r="D285">
        <v>21270</v>
      </c>
      <c r="E285">
        <v>979</v>
      </c>
    </row>
    <row r="286" spans="1:5" x14ac:dyDescent="0.35">
      <c r="A286" s="1">
        <v>45462</v>
      </c>
      <c r="B286" t="s">
        <v>1395</v>
      </c>
      <c r="C286">
        <v>720.15</v>
      </c>
      <c r="D286">
        <v>11268</v>
      </c>
      <c r="E286">
        <v>746</v>
      </c>
    </row>
    <row r="287" spans="1:5" x14ac:dyDescent="0.35">
      <c r="A287" s="1">
        <v>45463</v>
      </c>
      <c r="B287" t="s">
        <v>1396</v>
      </c>
      <c r="C287">
        <v>987.8</v>
      </c>
      <c r="D287">
        <v>44666</v>
      </c>
      <c r="E287">
        <v>1247</v>
      </c>
    </row>
    <row r="288" spans="1:5" x14ac:dyDescent="0.35">
      <c r="A288" s="1">
        <v>45464</v>
      </c>
      <c r="B288" t="s">
        <v>1397</v>
      </c>
      <c r="C288">
        <v>786.68</v>
      </c>
      <c r="D288">
        <v>20145</v>
      </c>
      <c r="E288">
        <v>564</v>
      </c>
    </row>
    <row r="289" spans="1:5" x14ac:dyDescent="0.35">
      <c r="A289" s="1">
        <v>45464</v>
      </c>
      <c r="B289" t="s">
        <v>1396</v>
      </c>
      <c r="C289">
        <v>1071.17</v>
      </c>
      <c r="D289">
        <v>10768</v>
      </c>
      <c r="E289">
        <v>731</v>
      </c>
    </row>
    <row r="290" spans="1:5" x14ac:dyDescent="0.35">
      <c r="A290" s="1">
        <v>45465</v>
      </c>
      <c r="B290" t="s">
        <v>1395</v>
      </c>
      <c r="C290">
        <v>234.85</v>
      </c>
      <c r="D290">
        <v>43672</v>
      </c>
      <c r="E290">
        <v>40</v>
      </c>
    </row>
    <row r="291" spans="1:5" x14ac:dyDescent="0.35">
      <c r="A291" s="1">
        <v>45465</v>
      </c>
      <c r="B291" t="s">
        <v>1398</v>
      </c>
      <c r="C291">
        <v>433.03</v>
      </c>
      <c r="D291">
        <v>13018</v>
      </c>
      <c r="E291">
        <v>186</v>
      </c>
    </row>
    <row r="292" spans="1:5" x14ac:dyDescent="0.35">
      <c r="A292" s="1">
        <v>45465</v>
      </c>
      <c r="B292" t="s">
        <v>1396</v>
      </c>
      <c r="C292">
        <v>508.54</v>
      </c>
      <c r="D292">
        <v>8231</v>
      </c>
      <c r="E292">
        <v>670</v>
      </c>
    </row>
    <row r="293" spans="1:5" x14ac:dyDescent="0.35">
      <c r="A293" s="1">
        <v>45466</v>
      </c>
      <c r="B293" t="s">
        <v>1397</v>
      </c>
      <c r="C293">
        <v>1004.37</v>
      </c>
      <c r="D293">
        <v>21135</v>
      </c>
      <c r="E293">
        <v>1151</v>
      </c>
    </row>
    <row r="294" spans="1:5" x14ac:dyDescent="0.35">
      <c r="A294" s="1">
        <v>45466</v>
      </c>
      <c r="B294" t="s">
        <v>1396</v>
      </c>
      <c r="C294">
        <v>270.81</v>
      </c>
      <c r="D294">
        <v>11015</v>
      </c>
      <c r="E294">
        <v>347</v>
      </c>
    </row>
    <row r="295" spans="1:5" x14ac:dyDescent="0.35">
      <c r="A295" s="1">
        <v>45467</v>
      </c>
      <c r="B295" t="s">
        <v>1397</v>
      </c>
      <c r="C295">
        <v>827.25</v>
      </c>
      <c r="D295">
        <v>44159</v>
      </c>
      <c r="E295">
        <v>1675</v>
      </c>
    </row>
    <row r="296" spans="1:5" x14ac:dyDescent="0.35">
      <c r="A296" s="1">
        <v>45468</v>
      </c>
      <c r="B296" t="s">
        <v>1398</v>
      </c>
      <c r="C296">
        <v>384.02</v>
      </c>
      <c r="D296">
        <v>20850</v>
      </c>
      <c r="E296">
        <v>1492</v>
      </c>
    </row>
    <row r="297" spans="1:5" x14ac:dyDescent="0.35">
      <c r="A297" s="1">
        <v>45468</v>
      </c>
      <c r="B297" t="s">
        <v>1396</v>
      </c>
      <c r="C297">
        <v>200.38</v>
      </c>
      <c r="D297">
        <v>26283</v>
      </c>
      <c r="E297">
        <v>1084</v>
      </c>
    </row>
    <row r="298" spans="1:5" x14ac:dyDescent="0.35">
      <c r="A298" s="1">
        <v>45469</v>
      </c>
      <c r="B298" t="s">
        <v>1395</v>
      </c>
      <c r="C298">
        <v>682.5</v>
      </c>
      <c r="D298">
        <v>21029</v>
      </c>
      <c r="E298">
        <v>644</v>
      </c>
    </row>
    <row r="299" spans="1:5" x14ac:dyDescent="0.35">
      <c r="A299" s="1">
        <v>45469</v>
      </c>
      <c r="B299" t="s">
        <v>1397</v>
      </c>
      <c r="C299">
        <v>242.01</v>
      </c>
      <c r="D299">
        <v>10318</v>
      </c>
      <c r="E299">
        <v>1565</v>
      </c>
    </row>
    <row r="300" spans="1:5" x14ac:dyDescent="0.35">
      <c r="A300" s="1">
        <v>45469</v>
      </c>
      <c r="B300" t="s">
        <v>1396</v>
      </c>
      <c r="C300">
        <v>220.95</v>
      </c>
      <c r="D300">
        <v>38591</v>
      </c>
      <c r="E300">
        <v>1285</v>
      </c>
    </row>
    <row r="301" spans="1:5" x14ac:dyDescent="0.35">
      <c r="A301" s="1">
        <v>45470</v>
      </c>
      <c r="B301" t="s">
        <v>1397</v>
      </c>
      <c r="C301">
        <v>1908.84</v>
      </c>
      <c r="D301">
        <v>86758</v>
      </c>
      <c r="E301">
        <v>2082</v>
      </c>
    </row>
    <row r="302" spans="1:5" x14ac:dyDescent="0.35">
      <c r="A302" s="1">
        <v>45470</v>
      </c>
      <c r="B302" t="s">
        <v>1396</v>
      </c>
      <c r="C302">
        <v>339.8</v>
      </c>
      <c r="D302">
        <v>32585</v>
      </c>
      <c r="E302">
        <v>648</v>
      </c>
    </row>
    <row r="303" spans="1:5" x14ac:dyDescent="0.35">
      <c r="A303" s="1">
        <v>45471</v>
      </c>
      <c r="B303" t="s">
        <v>1395</v>
      </c>
      <c r="C303">
        <v>258.62</v>
      </c>
      <c r="D303">
        <v>11388</v>
      </c>
      <c r="E303">
        <v>1189</v>
      </c>
    </row>
    <row r="304" spans="1:5" x14ac:dyDescent="0.35">
      <c r="A304" s="1">
        <v>45471</v>
      </c>
      <c r="B304" t="s">
        <v>1398</v>
      </c>
      <c r="C304">
        <v>772.29</v>
      </c>
      <c r="D304">
        <v>11920</v>
      </c>
      <c r="E304">
        <v>873</v>
      </c>
    </row>
    <row r="305" spans="1:5" x14ac:dyDescent="0.35">
      <c r="A305" s="1">
        <v>45471</v>
      </c>
      <c r="B305" t="s">
        <v>1396</v>
      </c>
      <c r="C305">
        <v>240.88</v>
      </c>
      <c r="D305">
        <v>11124</v>
      </c>
      <c r="E305">
        <v>1637</v>
      </c>
    </row>
    <row r="306" spans="1:5" x14ac:dyDescent="0.35">
      <c r="A306" s="1">
        <v>45473</v>
      </c>
      <c r="B306" t="s">
        <v>1398</v>
      </c>
      <c r="C306">
        <v>1094.55</v>
      </c>
      <c r="D306">
        <v>20021</v>
      </c>
      <c r="E306">
        <v>603</v>
      </c>
    </row>
    <row r="307" spans="1:5" x14ac:dyDescent="0.35">
      <c r="A307" s="1">
        <v>45473</v>
      </c>
      <c r="B307" t="s">
        <v>1397</v>
      </c>
      <c r="C307">
        <v>964.18</v>
      </c>
      <c r="D307">
        <v>7178</v>
      </c>
      <c r="E307">
        <v>794</v>
      </c>
    </row>
    <row r="308" spans="1:5" x14ac:dyDescent="0.35">
      <c r="A308" s="1">
        <v>45474</v>
      </c>
      <c r="B308" t="s">
        <v>1395</v>
      </c>
      <c r="C308">
        <v>1045.67</v>
      </c>
      <c r="D308">
        <v>23753</v>
      </c>
      <c r="E308">
        <v>589</v>
      </c>
    </row>
    <row r="309" spans="1:5" x14ac:dyDescent="0.35">
      <c r="A309" s="1">
        <v>45475</v>
      </c>
      <c r="B309" t="s">
        <v>1395</v>
      </c>
      <c r="C309">
        <v>1993.6</v>
      </c>
      <c r="D309">
        <v>33393</v>
      </c>
      <c r="E309">
        <v>2125</v>
      </c>
    </row>
    <row r="310" spans="1:5" x14ac:dyDescent="0.35">
      <c r="A310" s="1">
        <v>45475</v>
      </c>
      <c r="B310" t="s">
        <v>1397</v>
      </c>
      <c r="C310">
        <v>610.02</v>
      </c>
      <c r="D310">
        <v>9132</v>
      </c>
      <c r="E310">
        <v>389</v>
      </c>
    </row>
    <row r="311" spans="1:5" x14ac:dyDescent="0.35">
      <c r="A311" s="1">
        <v>45475</v>
      </c>
      <c r="B311" t="s">
        <v>1396</v>
      </c>
      <c r="C311">
        <v>557.5</v>
      </c>
      <c r="D311">
        <v>43405</v>
      </c>
      <c r="E311">
        <v>1641</v>
      </c>
    </row>
    <row r="312" spans="1:5" x14ac:dyDescent="0.35">
      <c r="A312" s="1">
        <v>45476</v>
      </c>
      <c r="B312" t="s">
        <v>1395</v>
      </c>
      <c r="C312">
        <v>1146.4100000000001</v>
      </c>
      <c r="D312">
        <v>37656</v>
      </c>
      <c r="E312">
        <v>1069</v>
      </c>
    </row>
    <row r="313" spans="1:5" x14ac:dyDescent="0.35">
      <c r="A313" s="1">
        <v>45476</v>
      </c>
      <c r="B313" t="s">
        <v>1397</v>
      </c>
      <c r="C313">
        <v>167.57</v>
      </c>
      <c r="D313">
        <v>7721</v>
      </c>
      <c r="E313">
        <v>413</v>
      </c>
    </row>
    <row r="314" spans="1:5" x14ac:dyDescent="0.35">
      <c r="A314" s="1">
        <v>45477</v>
      </c>
      <c r="B314" t="s">
        <v>1395</v>
      </c>
      <c r="C314">
        <v>3319.7</v>
      </c>
      <c r="D314">
        <v>65758</v>
      </c>
      <c r="E314">
        <v>3058</v>
      </c>
    </row>
    <row r="315" spans="1:5" x14ac:dyDescent="0.35">
      <c r="A315" s="1">
        <v>45477</v>
      </c>
      <c r="B315" t="s">
        <v>1397</v>
      </c>
      <c r="C315">
        <v>134.56</v>
      </c>
      <c r="D315">
        <v>35046</v>
      </c>
      <c r="E315">
        <v>952</v>
      </c>
    </row>
    <row r="316" spans="1:5" x14ac:dyDescent="0.35">
      <c r="A316" s="1">
        <v>45478</v>
      </c>
      <c r="B316" t="s">
        <v>1395</v>
      </c>
      <c r="C316">
        <v>479.63</v>
      </c>
      <c r="D316">
        <v>27925</v>
      </c>
      <c r="E316">
        <v>1230</v>
      </c>
    </row>
    <row r="317" spans="1:5" x14ac:dyDescent="0.35">
      <c r="A317" s="1">
        <v>45478</v>
      </c>
      <c r="B317" t="s">
        <v>1398</v>
      </c>
      <c r="C317">
        <v>2310.7399999999998</v>
      </c>
      <c r="D317">
        <v>53372</v>
      </c>
      <c r="E317">
        <v>2381</v>
      </c>
    </row>
    <row r="318" spans="1:5" x14ac:dyDescent="0.35">
      <c r="A318" s="1">
        <v>45479</v>
      </c>
      <c r="B318" t="s">
        <v>1398</v>
      </c>
      <c r="C318">
        <v>927.13</v>
      </c>
      <c r="D318">
        <v>6783</v>
      </c>
      <c r="E318">
        <v>64</v>
      </c>
    </row>
    <row r="319" spans="1:5" x14ac:dyDescent="0.35">
      <c r="A319" s="1">
        <v>45479</v>
      </c>
      <c r="B319" t="s">
        <v>1397</v>
      </c>
      <c r="C319">
        <v>276.64</v>
      </c>
      <c r="D319">
        <v>9468</v>
      </c>
      <c r="E319">
        <v>567</v>
      </c>
    </row>
    <row r="320" spans="1:5" x14ac:dyDescent="0.35">
      <c r="A320" s="1">
        <v>45480</v>
      </c>
      <c r="B320" t="s">
        <v>1398</v>
      </c>
      <c r="C320">
        <v>385.33</v>
      </c>
      <c r="D320">
        <v>21917</v>
      </c>
      <c r="E320">
        <v>1544</v>
      </c>
    </row>
    <row r="321" spans="1:5" x14ac:dyDescent="0.35">
      <c r="A321" s="1">
        <v>45480</v>
      </c>
      <c r="B321" t="s">
        <v>1397</v>
      </c>
      <c r="C321">
        <v>138.24</v>
      </c>
      <c r="D321">
        <v>7917</v>
      </c>
      <c r="E321">
        <v>1289</v>
      </c>
    </row>
    <row r="322" spans="1:5" x14ac:dyDescent="0.35">
      <c r="A322" s="1">
        <v>45480</v>
      </c>
      <c r="B322" t="s">
        <v>1396</v>
      </c>
      <c r="C322">
        <v>1142.79</v>
      </c>
      <c r="D322">
        <v>23449</v>
      </c>
      <c r="E322">
        <v>1221</v>
      </c>
    </row>
    <row r="323" spans="1:5" x14ac:dyDescent="0.35">
      <c r="A323" s="1">
        <v>45482</v>
      </c>
      <c r="B323" t="s">
        <v>1398</v>
      </c>
      <c r="C323">
        <v>109.56</v>
      </c>
      <c r="D323">
        <v>42999</v>
      </c>
      <c r="E323">
        <v>655</v>
      </c>
    </row>
    <row r="324" spans="1:5" x14ac:dyDescent="0.35">
      <c r="A324" s="1">
        <v>45483</v>
      </c>
      <c r="B324" t="s">
        <v>1395</v>
      </c>
      <c r="C324">
        <v>1075.81</v>
      </c>
      <c r="D324">
        <v>36801</v>
      </c>
      <c r="E324">
        <v>420</v>
      </c>
    </row>
    <row r="325" spans="1:5" x14ac:dyDescent="0.35">
      <c r="A325" s="1">
        <v>45483</v>
      </c>
      <c r="B325" t="s">
        <v>1397</v>
      </c>
      <c r="C325">
        <v>691.51</v>
      </c>
      <c r="D325">
        <v>25960</v>
      </c>
      <c r="E325">
        <v>1576</v>
      </c>
    </row>
    <row r="326" spans="1:5" x14ac:dyDescent="0.35">
      <c r="A326" s="1">
        <v>45483</v>
      </c>
      <c r="B326" t="s">
        <v>1396</v>
      </c>
      <c r="C326">
        <v>217.41</v>
      </c>
      <c r="D326">
        <v>36810</v>
      </c>
      <c r="E326">
        <v>873</v>
      </c>
    </row>
    <row r="327" spans="1:5" x14ac:dyDescent="0.35">
      <c r="A327" s="1">
        <v>45484</v>
      </c>
      <c r="B327" t="s">
        <v>1395</v>
      </c>
      <c r="C327">
        <v>1003.13</v>
      </c>
      <c r="D327">
        <v>39883</v>
      </c>
      <c r="E327">
        <v>1363</v>
      </c>
    </row>
    <row r="328" spans="1:5" x14ac:dyDescent="0.35">
      <c r="A328" s="1">
        <v>45484</v>
      </c>
      <c r="B328" t="s">
        <v>1397</v>
      </c>
      <c r="C328">
        <v>2139.16</v>
      </c>
      <c r="D328">
        <v>59875</v>
      </c>
      <c r="E328">
        <v>1898</v>
      </c>
    </row>
    <row r="329" spans="1:5" x14ac:dyDescent="0.35">
      <c r="A329" s="1">
        <v>45484</v>
      </c>
      <c r="B329" t="s">
        <v>1396</v>
      </c>
      <c r="C329">
        <v>470.09</v>
      </c>
      <c r="D329">
        <v>44817</v>
      </c>
      <c r="E329">
        <v>1741</v>
      </c>
    </row>
    <row r="330" spans="1:5" x14ac:dyDescent="0.35">
      <c r="A330" s="1">
        <v>45485</v>
      </c>
      <c r="B330" t="s">
        <v>1396</v>
      </c>
      <c r="C330">
        <v>142.29</v>
      </c>
      <c r="D330">
        <v>37343</v>
      </c>
      <c r="E330">
        <v>302</v>
      </c>
    </row>
    <row r="331" spans="1:5" x14ac:dyDescent="0.35">
      <c r="A331" s="1">
        <v>45487</v>
      </c>
      <c r="B331" t="s">
        <v>1398</v>
      </c>
      <c r="C331">
        <v>1410.13</v>
      </c>
      <c r="D331">
        <v>51579</v>
      </c>
      <c r="E331">
        <v>493</v>
      </c>
    </row>
    <row r="332" spans="1:5" x14ac:dyDescent="0.35">
      <c r="A332" s="1">
        <v>45487</v>
      </c>
      <c r="B332" t="s">
        <v>1397</v>
      </c>
      <c r="C332">
        <v>902.01</v>
      </c>
      <c r="D332">
        <v>57079</v>
      </c>
      <c r="E332">
        <v>1225</v>
      </c>
    </row>
    <row r="333" spans="1:5" x14ac:dyDescent="0.35">
      <c r="A333" s="1">
        <v>45489</v>
      </c>
      <c r="B333" t="s">
        <v>1396</v>
      </c>
      <c r="C333">
        <v>969.88</v>
      </c>
      <c r="D333">
        <v>44522</v>
      </c>
      <c r="E333">
        <v>1662</v>
      </c>
    </row>
    <row r="334" spans="1:5" x14ac:dyDescent="0.35">
      <c r="A334" s="1">
        <v>45490</v>
      </c>
      <c r="B334" t="s">
        <v>1395</v>
      </c>
      <c r="C334">
        <v>720.48</v>
      </c>
      <c r="D334">
        <v>39489</v>
      </c>
      <c r="E334">
        <v>1701</v>
      </c>
    </row>
    <row r="335" spans="1:5" x14ac:dyDescent="0.35">
      <c r="A335" s="1">
        <v>45490</v>
      </c>
      <c r="B335" t="s">
        <v>1397</v>
      </c>
      <c r="C335">
        <v>629.73</v>
      </c>
      <c r="D335">
        <v>27209</v>
      </c>
      <c r="E335">
        <v>887</v>
      </c>
    </row>
    <row r="336" spans="1:5" x14ac:dyDescent="0.35">
      <c r="A336" s="1">
        <v>45490</v>
      </c>
      <c r="B336" t="s">
        <v>1396</v>
      </c>
      <c r="C336">
        <v>1212.55</v>
      </c>
      <c r="D336">
        <v>77072</v>
      </c>
      <c r="E336">
        <v>1703</v>
      </c>
    </row>
    <row r="337" spans="1:5" x14ac:dyDescent="0.35">
      <c r="A337" s="1">
        <v>45491</v>
      </c>
      <c r="B337" t="s">
        <v>1397</v>
      </c>
      <c r="C337">
        <v>491.42</v>
      </c>
      <c r="D337">
        <v>11171</v>
      </c>
      <c r="E337">
        <v>1648</v>
      </c>
    </row>
    <row r="338" spans="1:5" x14ac:dyDescent="0.35">
      <c r="A338" s="1">
        <v>45493</v>
      </c>
      <c r="B338" t="s">
        <v>1395</v>
      </c>
      <c r="C338">
        <v>730.68</v>
      </c>
      <c r="D338">
        <v>6081</v>
      </c>
      <c r="E338">
        <v>920</v>
      </c>
    </row>
    <row r="339" spans="1:5" x14ac:dyDescent="0.35">
      <c r="A339" s="1">
        <v>45494</v>
      </c>
      <c r="B339" t="s">
        <v>1397</v>
      </c>
      <c r="C339">
        <v>321.14</v>
      </c>
      <c r="D339">
        <v>7348</v>
      </c>
      <c r="E339">
        <v>797</v>
      </c>
    </row>
    <row r="340" spans="1:5" x14ac:dyDescent="0.35">
      <c r="A340" s="1">
        <v>45494</v>
      </c>
      <c r="B340" t="s">
        <v>1396</v>
      </c>
      <c r="C340">
        <v>83.9</v>
      </c>
      <c r="D340">
        <v>29961</v>
      </c>
      <c r="E340">
        <v>383</v>
      </c>
    </row>
    <row r="341" spans="1:5" x14ac:dyDescent="0.35">
      <c r="A341" s="1">
        <v>45495</v>
      </c>
      <c r="B341" t="s">
        <v>1395</v>
      </c>
      <c r="C341">
        <v>1385</v>
      </c>
      <c r="D341">
        <v>49985</v>
      </c>
      <c r="E341">
        <v>981</v>
      </c>
    </row>
    <row r="342" spans="1:5" x14ac:dyDescent="0.35">
      <c r="A342" s="1">
        <v>45495</v>
      </c>
      <c r="B342" t="s">
        <v>1397</v>
      </c>
      <c r="C342">
        <v>796.99</v>
      </c>
      <c r="D342">
        <v>18358</v>
      </c>
      <c r="E342">
        <v>262</v>
      </c>
    </row>
    <row r="343" spans="1:5" x14ac:dyDescent="0.35">
      <c r="A343" s="1">
        <v>45495</v>
      </c>
      <c r="B343" t="s">
        <v>1396</v>
      </c>
      <c r="C343">
        <v>264.26</v>
      </c>
      <c r="D343">
        <v>20970</v>
      </c>
      <c r="E343">
        <v>106</v>
      </c>
    </row>
    <row r="344" spans="1:5" x14ac:dyDescent="0.35">
      <c r="A344" s="1">
        <v>45497</v>
      </c>
      <c r="B344" t="s">
        <v>1395</v>
      </c>
      <c r="C344">
        <v>1058.54</v>
      </c>
      <c r="D344">
        <v>20501</v>
      </c>
      <c r="E344">
        <v>1614</v>
      </c>
    </row>
    <row r="345" spans="1:5" x14ac:dyDescent="0.35">
      <c r="A345" s="1">
        <v>45498</v>
      </c>
      <c r="B345" t="s">
        <v>1395</v>
      </c>
      <c r="C345">
        <v>312.68</v>
      </c>
      <c r="D345">
        <v>10598</v>
      </c>
      <c r="E345">
        <v>462</v>
      </c>
    </row>
    <row r="346" spans="1:5" x14ac:dyDescent="0.35">
      <c r="A346" s="1">
        <v>45499</v>
      </c>
      <c r="B346" t="s">
        <v>1397</v>
      </c>
      <c r="C346">
        <v>989.82</v>
      </c>
      <c r="D346">
        <v>24612</v>
      </c>
      <c r="E346">
        <v>1027</v>
      </c>
    </row>
    <row r="347" spans="1:5" x14ac:dyDescent="0.35">
      <c r="A347" s="1">
        <v>45499</v>
      </c>
      <c r="B347" t="s">
        <v>1396</v>
      </c>
      <c r="C347">
        <v>1389.1</v>
      </c>
      <c r="D347">
        <v>54853</v>
      </c>
      <c r="E347">
        <v>1185</v>
      </c>
    </row>
    <row r="348" spans="1:5" x14ac:dyDescent="0.35">
      <c r="A348" s="1">
        <v>45501</v>
      </c>
      <c r="B348" t="s">
        <v>1395</v>
      </c>
      <c r="C348">
        <v>210.74</v>
      </c>
      <c r="D348">
        <v>4438</v>
      </c>
      <c r="E348">
        <v>653</v>
      </c>
    </row>
    <row r="349" spans="1:5" x14ac:dyDescent="0.35">
      <c r="A349" s="1">
        <v>45501</v>
      </c>
      <c r="B349" t="s">
        <v>1397</v>
      </c>
      <c r="C349">
        <v>830.73</v>
      </c>
      <c r="D349">
        <v>5431</v>
      </c>
      <c r="E349">
        <v>1646</v>
      </c>
    </row>
    <row r="350" spans="1:5" x14ac:dyDescent="0.35">
      <c r="A350" s="1">
        <v>45501</v>
      </c>
      <c r="B350" t="s">
        <v>1396</v>
      </c>
      <c r="C350">
        <v>210.06</v>
      </c>
      <c r="D350">
        <v>21846</v>
      </c>
      <c r="E350">
        <v>525</v>
      </c>
    </row>
    <row r="351" spans="1:5" x14ac:dyDescent="0.35">
      <c r="A351" s="1">
        <v>45502</v>
      </c>
      <c r="B351" t="s">
        <v>1396</v>
      </c>
      <c r="C351">
        <v>996.84</v>
      </c>
      <c r="D351">
        <v>6833</v>
      </c>
      <c r="E351">
        <v>286</v>
      </c>
    </row>
    <row r="352" spans="1:5" x14ac:dyDescent="0.35">
      <c r="A352" s="1">
        <v>45503</v>
      </c>
      <c r="B352" t="s">
        <v>1397</v>
      </c>
      <c r="C352">
        <v>366.43</v>
      </c>
      <c r="D352">
        <v>38485</v>
      </c>
      <c r="E352">
        <v>1241</v>
      </c>
    </row>
    <row r="353" spans="1:5" x14ac:dyDescent="0.35">
      <c r="A353" s="1">
        <v>45503</v>
      </c>
      <c r="B353" t="s">
        <v>1396</v>
      </c>
      <c r="C353">
        <v>2700.96</v>
      </c>
      <c r="D353">
        <v>74474</v>
      </c>
      <c r="E353">
        <v>2500</v>
      </c>
    </row>
    <row r="354" spans="1:5" x14ac:dyDescent="0.35">
      <c r="A354" s="1">
        <v>45504</v>
      </c>
      <c r="B354" t="s">
        <v>1395</v>
      </c>
      <c r="C354">
        <v>1115.6199999999999</v>
      </c>
      <c r="D354">
        <v>40588</v>
      </c>
      <c r="E354">
        <v>282</v>
      </c>
    </row>
    <row r="355" spans="1:5" x14ac:dyDescent="0.35">
      <c r="A355" s="1">
        <v>45504</v>
      </c>
      <c r="B355" t="s">
        <v>1396</v>
      </c>
      <c r="C355">
        <v>1660.8</v>
      </c>
      <c r="D355">
        <v>57103</v>
      </c>
      <c r="E355">
        <v>3328</v>
      </c>
    </row>
    <row r="356" spans="1:5" x14ac:dyDescent="0.35">
      <c r="A356" s="1">
        <v>45505</v>
      </c>
      <c r="B356" t="s">
        <v>1398</v>
      </c>
      <c r="C356">
        <v>1124.01</v>
      </c>
      <c r="D356">
        <v>4381</v>
      </c>
      <c r="E356">
        <v>1742</v>
      </c>
    </row>
    <row r="357" spans="1:5" x14ac:dyDescent="0.35">
      <c r="A357" s="1">
        <v>45505</v>
      </c>
      <c r="B357" t="s">
        <v>1396</v>
      </c>
      <c r="C357">
        <v>221.6</v>
      </c>
      <c r="D357">
        <v>26671</v>
      </c>
      <c r="E357">
        <v>406</v>
      </c>
    </row>
    <row r="358" spans="1:5" x14ac:dyDescent="0.35">
      <c r="A358" s="1">
        <v>45506</v>
      </c>
      <c r="B358" t="s">
        <v>1398</v>
      </c>
      <c r="C358">
        <v>2260.66</v>
      </c>
      <c r="D358">
        <v>70616</v>
      </c>
      <c r="E358">
        <v>2187</v>
      </c>
    </row>
    <row r="359" spans="1:5" x14ac:dyDescent="0.35">
      <c r="A359" s="1">
        <v>45507</v>
      </c>
      <c r="B359" t="s">
        <v>1395</v>
      </c>
      <c r="C359">
        <v>907.52</v>
      </c>
      <c r="D359">
        <v>33211</v>
      </c>
      <c r="E359">
        <v>948</v>
      </c>
    </row>
    <row r="360" spans="1:5" x14ac:dyDescent="0.35">
      <c r="A360" s="1">
        <v>45508</v>
      </c>
      <c r="B360" t="s">
        <v>1395</v>
      </c>
      <c r="C360">
        <v>1837.66</v>
      </c>
      <c r="D360">
        <v>34189</v>
      </c>
      <c r="E360">
        <v>1253</v>
      </c>
    </row>
    <row r="361" spans="1:5" x14ac:dyDescent="0.35">
      <c r="A361" s="1">
        <v>45508</v>
      </c>
      <c r="B361" t="s">
        <v>1398</v>
      </c>
      <c r="C361">
        <v>609.66999999999996</v>
      </c>
      <c r="D361">
        <v>37217</v>
      </c>
      <c r="E361">
        <v>1450</v>
      </c>
    </row>
    <row r="362" spans="1:5" x14ac:dyDescent="0.35">
      <c r="A362" s="1">
        <v>45509</v>
      </c>
      <c r="B362" t="s">
        <v>1398</v>
      </c>
      <c r="C362">
        <v>342.7</v>
      </c>
      <c r="D362">
        <v>17237</v>
      </c>
      <c r="E362">
        <v>1789</v>
      </c>
    </row>
    <row r="363" spans="1:5" x14ac:dyDescent="0.35">
      <c r="A363" s="1">
        <v>45510</v>
      </c>
      <c r="B363" t="s">
        <v>1398</v>
      </c>
      <c r="C363">
        <v>843.23</v>
      </c>
      <c r="D363">
        <v>25038</v>
      </c>
      <c r="E363">
        <v>945</v>
      </c>
    </row>
    <row r="364" spans="1:5" x14ac:dyDescent="0.35">
      <c r="A364" s="1">
        <v>45510</v>
      </c>
      <c r="B364" t="s">
        <v>1397</v>
      </c>
      <c r="C364">
        <v>1315.12</v>
      </c>
      <c r="D364">
        <v>71915</v>
      </c>
      <c r="E364">
        <v>1647</v>
      </c>
    </row>
    <row r="365" spans="1:5" x14ac:dyDescent="0.35">
      <c r="A365" s="1">
        <v>45511</v>
      </c>
      <c r="B365" t="s">
        <v>1397</v>
      </c>
      <c r="C365">
        <v>1612.17</v>
      </c>
      <c r="D365">
        <v>37470</v>
      </c>
      <c r="E365">
        <v>2085</v>
      </c>
    </row>
    <row r="366" spans="1:5" x14ac:dyDescent="0.35">
      <c r="A366" s="1">
        <v>45512</v>
      </c>
      <c r="B366" t="s">
        <v>1395</v>
      </c>
      <c r="C366">
        <v>437.86</v>
      </c>
      <c r="D366">
        <v>59827</v>
      </c>
      <c r="E366">
        <v>1510</v>
      </c>
    </row>
    <row r="367" spans="1:5" x14ac:dyDescent="0.35">
      <c r="A367" s="1">
        <v>45512</v>
      </c>
      <c r="B367" t="s">
        <v>1396</v>
      </c>
      <c r="C367">
        <v>690.53</v>
      </c>
      <c r="D367">
        <v>35583</v>
      </c>
      <c r="E367">
        <v>865</v>
      </c>
    </row>
    <row r="368" spans="1:5" x14ac:dyDescent="0.35">
      <c r="A368" s="1">
        <v>45513</v>
      </c>
      <c r="B368" t="s">
        <v>1395</v>
      </c>
      <c r="C368">
        <v>906.28</v>
      </c>
      <c r="D368">
        <v>26421</v>
      </c>
      <c r="E368">
        <v>1692</v>
      </c>
    </row>
    <row r="369" spans="1:5" x14ac:dyDescent="0.35">
      <c r="A369" s="1">
        <v>45513</v>
      </c>
      <c r="B369" t="s">
        <v>1396</v>
      </c>
      <c r="C369">
        <v>1113.03</v>
      </c>
      <c r="D369">
        <v>13613</v>
      </c>
      <c r="E369">
        <v>1446</v>
      </c>
    </row>
    <row r="370" spans="1:5" x14ac:dyDescent="0.35">
      <c r="A370" s="1">
        <v>45515</v>
      </c>
      <c r="B370" t="s">
        <v>1395</v>
      </c>
      <c r="C370">
        <v>329.81</v>
      </c>
      <c r="D370">
        <v>40592</v>
      </c>
      <c r="E370">
        <v>850</v>
      </c>
    </row>
    <row r="371" spans="1:5" x14ac:dyDescent="0.35">
      <c r="A371" s="1">
        <v>45515</v>
      </c>
      <c r="B371" t="s">
        <v>1396</v>
      </c>
      <c r="C371">
        <v>796.56</v>
      </c>
      <c r="D371">
        <v>13416</v>
      </c>
      <c r="E371">
        <v>1478</v>
      </c>
    </row>
    <row r="372" spans="1:5" x14ac:dyDescent="0.35">
      <c r="A372" s="1">
        <v>45516</v>
      </c>
      <c r="B372" t="s">
        <v>1396</v>
      </c>
      <c r="C372">
        <v>504.38</v>
      </c>
      <c r="D372">
        <v>4019</v>
      </c>
      <c r="E372">
        <v>1000</v>
      </c>
    </row>
    <row r="373" spans="1:5" x14ac:dyDescent="0.35">
      <c r="A373" s="1">
        <v>45517</v>
      </c>
      <c r="B373" t="s">
        <v>1398</v>
      </c>
      <c r="C373">
        <v>1188.24</v>
      </c>
      <c r="D373">
        <v>8711</v>
      </c>
      <c r="E373">
        <v>1537</v>
      </c>
    </row>
    <row r="374" spans="1:5" x14ac:dyDescent="0.35">
      <c r="A374" s="1">
        <v>45517</v>
      </c>
      <c r="B374" t="s">
        <v>1396</v>
      </c>
      <c r="C374">
        <v>439.89</v>
      </c>
      <c r="D374">
        <v>14243</v>
      </c>
      <c r="E374">
        <v>1046</v>
      </c>
    </row>
    <row r="375" spans="1:5" x14ac:dyDescent="0.35">
      <c r="A375" s="1">
        <v>45519</v>
      </c>
      <c r="B375" t="s">
        <v>1395</v>
      </c>
      <c r="C375">
        <v>1692.1</v>
      </c>
      <c r="D375">
        <v>59642</v>
      </c>
      <c r="E375">
        <v>2178</v>
      </c>
    </row>
    <row r="376" spans="1:5" x14ac:dyDescent="0.35">
      <c r="A376" s="1">
        <v>45519</v>
      </c>
      <c r="B376" t="s">
        <v>1396</v>
      </c>
      <c r="C376">
        <v>434.47</v>
      </c>
      <c r="D376">
        <v>57616</v>
      </c>
      <c r="E376">
        <v>1094</v>
      </c>
    </row>
    <row r="377" spans="1:5" x14ac:dyDescent="0.35">
      <c r="A377" s="1">
        <v>45520</v>
      </c>
      <c r="B377" t="s">
        <v>1395</v>
      </c>
      <c r="C377">
        <v>352.79</v>
      </c>
      <c r="D377">
        <v>32478</v>
      </c>
      <c r="E377">
        <v>569</v>
      </c>
    </row>
    <row r="378" spans="1:5" x14ac:dyDescent="0.35">
      <c r="A378" s="1">
        <v>45520</v>
      </c>
      <c r="B378" t="s">
        <v>1398</v>
      </c>
      <c r="C378">
        <v>89.85</v>
      </c>
      <c r="D378">
        <v>42578</v>
      </c>
      <c r="E378">
        <v>1293</v>
      </c>
    </row>
    <row r="379" spans="1:5" x14ac:dyDescent="0.35">
      <c r="A379" s="1">
        <v>45521</v>
      </c>
      <c r="B379" t="s">
        <v>1398</v>
      </c>
      <c r="C379">
        <v>1845.08</v>
      </c>
      <c r="D379">
        <v>29161</v>
      </c>
      <c r="E379">
        <v>2098</v>
      </c>
    </row>
    <row r="380" spans="1:5" x14ac:dyDescent="0.35">
      <c r="A380" s="1">
        <v>45521</v>
      </c>
      <c r="B380" t="s">
        <v>1396</v>
      </c>
      <c r="C380">
        <v>719.58</v>
      </c>
      <c r="D380">
        <v>37020</v>
      </c>
      <c r="E380">
        <v>1067</v>
      </c>
    </row>
    <row r="381" spans="1:5" x14ac:dyDescent="0.35">
      <c r="A381" s="1">
        <v>45522</v>
      </c>
      <c r="B381" t="s">
        <v>1398</v>
      </c>
      <c r="C381">
        <v>1005.7</v>
      </c>
      <c r="D381">
        <v>8010</v>
      </c>
      <c r="E381">
        <v>484</v>
      </c>
    </row>
    <row r="382" spans="1:5" x14ac:dyDescent="0.35">
      <c r="A382" s="1">
        <v>45522</v>
      </c>
      <c r="B382" t="s">
        <v>1397</v>
      </c>
      <c r="C382">
        <v>1276.3699999999999</v>
      </c>
      <c r="D382">
        <v>43673</v>
      </c>
      <c r="E382">
        <v>274</v>
      </c>
    </row>
    <row r="383" spans="1:5" x14ac:dyDescent="0.35">
      <c r="A383" s="1">
        <v>45522</v>
      </c>
      <c r="B383" t="s">
        <v>1396</v>
      </c>
      <c r="C383">
        <v>1852.37</v>
      </c>
      <c r="D383">
        <v>54225</v>
      </c>
      <c r="E383">
        <v>1583</v>
      </c>
    </row>
    <row r="384" spans="1:5" x14ac:dyDescent="0.35">
      <c r="A384" s="1">
        <v>45523</v>
      </c>
      <c r="B384" t="s">
        <v>1395</v>
      </c>
      <c r="C384">
        <v>162.05000000000001</v>
      </c>
      <c r="D384">
        <v>16532</v>
      </c>
      <c r="E384">
        <v>34</v>
      </c>
    </row>
    <row r="385" spans="1:5" x14ac:dyDescent="0.35">
      <c r="A385" s="1">
        <v>45523</v>
      </c>
      <c r="B385" t="s">
        <v>1398</v>
      </c>
      <c r="C385">
        <v>208.91</v>
      </c>
      <c r="D385">
        <v>41487</v>
      </c>
      <c r="E385">
        <v>1463</v>
      </c>
    </row>
    <row r="386" spans="1:5" x14ac:dyDescent="0.35">
      <c r="A386" s="1">
        <v>45523</v>
      </c>
      <c r="B386" t="s">
        <v>1397</v>
      </c>
      <c r="C386">
        <v>318.64999999999998</v>
      </c>
      <c r="D386">
        <v>15284</v>
      </c>
      <c r="E386">
        <v>308</v>
      </c>
    </row>
    <row r="387" spans="1:5" x14ac:dyDescent="0.35">
      <c r="A387" s="1">
        <v>45524</v>
      </c>
      <c r="B387" t="s">
        <v>1395</v>
      </c>
      <c r="C387">
        <v>1247.5899999999999</v>
      </c>
      <c r="D387">
        <v>25870</v>
      </c>
      <c r="E387">
        <v>1204</v>
      </c>
    </row>
    <row r="388" spans="1:5" x14ac:dyDescent="0.35">
      <c r="A388" s="1">
        <v>45525</v>
      </c>
      <c r="B388" t="s">
        <v>1395</v>
      </c>
      <c r="C388">
        <v>1190.6099999999999</v>
      </c>
      <c r="D388">
        <v>30036</v>
      </c>
      <c r="E388">
        <v>444</v>
      </c>
    </row>
    <row r="389" spans="1:5" x14ac:dyDescent="0.35">
      <c r="A389" s="1">
        <v>45526</v>
      </c>
      <c r="B389" t="s">
        <v>1398</v>
      </c>
      <c r="C389">
        <v>1171.73</v>
      </c>
      <c r="D389">
        <v>34189</v>
      </c>
      <c r="E389">
        <v>1709</v>
      </c>
    </row>
    <row r="390" spans="1:5" x14ac:dyDescent="0.35">
      <c r="A390" s="1">
        <v>45527</v>
      </c>
      <c r="B390" t="s">
        <v>1397</v>
      </c>
      <c r="C390">
        <v>228.39</v>
      </c>
      <c r="D390">
        <v>14352</v>
      </c>
      <c r="E390">
        <v>1514</v>
      </c>
    </row>
    <row r="391" spans="1:5" x14ac:dyDescent="0.35">
      <c r="A391" s="1">
        <v>45528</v>
      </c>
      <c r="B391" t="s">
        <v>1397</v>
      </c>
      <c r="C391">
        <v>944.84</v>
      </c>
      <c r="D391">
        <v>34958</v>
      </c>
      <c r="E391">
        <v>1110</v>
      </c>
    </row>
    <row r="392" spans="1:5" x14ac:dyDescent="0.35">
      <c r="A392" s="1">
        <v>45529</v>
      </c>
      <c r="B392" t="s">
        <v>1395</v>
      </c>
      <c r="C392">
        <v>164.78</v>
      </c>
      <c r="D392">
        <v>13449</v>
      </c>
      <c r="E392">
        <v>110</v>
      </c>
    </row>
    <row r="393" spans="1:5" x14ac:dyDescent="0.35">
      <c r="A393" s="1">
        <v>45530</v>
      </c>
      <c r="B393" t="s">
        <v>1397</v>
      </c>
      <c r="C393">
        <v>517.49</v>
      </c>
      <c r="D393">
        <v>37122</v>
      </c>
      <c r="E393">
        <v>763</v>
      </c>
    </row>
    <row r="394" spans="1:5" x14ac:dyDescent="0.35">
      <c r="A394" s="1">
        <v>45531</v>
      </c>
      <c r="B394" t="s">
        <v>1398</v>
      </c>
      <c r="C394">
        <v>753.74</v>
      </c>
      <c r="D394">
        <v>7650</v>
      </c>
      <c r="E394">
        <v>164</v>
      </c>
    </row>
    <row r="395" spans="1:5" x14ac:dyDescent="0.35">
      <c r="A395" s="1">
        <v>45532</v>
      </c>
      <c r="B395" t="s">
        <v>1398</v>
      </c>
      <c r="C395">
        <v>473.02</v>
      </c>
      <c r="D395">
        <v>39383</v>
      </c>
      <c r="E395">
        <v>932</v>
      </c>
    </row>
    <row r="396" spans="1:5" x14ac:dyDescent="0.35">
      <c r="A396" s="1">
        <v>45532</v>
      </c>
      <c r="B396" t="s">
        <v>1397</v>
      </c>
      <c r="C396">
        <v>667.19</v>
      </c>
      <c r="D396">
        <v>9044</v>
      </c>
      <c r="E396">
        <v>912</v>
      </c>
    </row>
    <row r="397" spans="1:5" x14ac:dyDescent="0.35">
      <c r="A397" s="1">
        <v>45532</v>
      </c>
      <c r="B397" t="s">
        <v>1396</v>
      </c>
      <c r="C397">
        <v>2113.61</v>
      </c>
      <c r="D397">
        <v>11521</v>
      </c>
      <c r="E397">
        <v>2926</v>
      </c>
    </row>
    <row r="398" spans="1:5" x14ac:dyDescent="0.35">
      <c r="A398" s="1">
        <v>45533</v>
      </c>
      <c r="B398" t="s">
        <v>1395</v>
      </c>
      <c r="C398">
        <v>833.37</v>
      </c>
      <c r="D398">
        <v>11009</v>
      </c>
      <c r="E398">
        <v>40</v>
      </c>
    </row>
    <row r="399" spans="1:5" x14ac:dyDescent="0.35">
      <c r="A399" s="1">
        <v>45533</v>
      </c>
      <c r="B399" t="s">
        <v>1397</v>
      </c>
      <c r="C399">
        <v>931.87</v>
      </c>
      <c r="D399">
        <v>17254</v>
      </c>
      <c r="E399">
        <v>356</v>
      </c>
    </row>
    <row r="400" spans="1:5" x14ac:dyDescent="0.35">
      <c r="A400" s="1">
        <v>45534</v>
      </c>
      <c r="B400" t="s">
        <v>1395</v>
      </c>
      <c r="C400">
        <v>248.03</v>
      </c>
      <c r="D400">
        <v>28409</v>
      </c>
      <c r="E400">
        <v>324</v>
      </c>
    </row>
    <row r="401" spans="1:5" x14ac:dyDescent="0.35">
      <c r="A401" s="1">
        <v>45534</v>
      </c>
      <c r="B401" t="s">
        <v>1396</v>
      </c>
      <c r="C401">
        <v>221.28</v>
      </c>
      <c r="D401">
        <v>35784</v>
      </c>
      <c r="E401">
        <v>316</v>
      </c>
    </row>
    <row r="402" spans="1:5" x14ac:dyDescent="0.35">
      <c r="A402" s="1">
        <v>45535</v>
      </c>
      <c r="B402" t="s">
        <v>1395</v>
      </c>
      <c r="C402">
        <v>782.26</v>
      </c>
      <c r="D402">
        <v>13231</v>
      </c>
      <c r="E402">
        <v>199</v>
      </c>
    </row>
    <row r="403" spans="1:5" x14ac:dyDescent="0.35">
      <c r="A403" s="1">
        <v>45536</v>
      </c>
      <c r="B403" t="s">
        <v>1396</v>
      </c>
      <c r="C403">
        <v>55.37</v>
      </c>
      <c r="D403">
        <v>36981</v>
      </c>
      <c r="E403">
        <v>438</v>
      </c>
    </row>
    <row r="404" spans="1:5" x14ac:dyDescent="0.35">
      <c r="A404" s="1">
        <v>45537</v>
      </c>
      <c r="B404" t="s">
        <v>1398</v>
      </c>
      <c r="C404">
        <v>1293.8800000000001</v>
      </c>
      <c r="D404">
        <v>68260</v>
      </c>
      <c r="E404">
        <v>1806</v>
      </c>
    </row>
    <row r="405" spans="1:5" x14ac:dyDescent="0.35">
      <c r="A405" s="1">
        <v>45537</v>
      </c>
      <c r="B405" t="s">
        <v>1397</v>
      </c>
      <c r="C405">
        <v>694.56</v>
      </c>
      <c r="D405">
        <v>19921</v>
      </c>
      <c r="E405">
        <v>619</v>
      </c>
    </row>
    <row r="406" spans="1:5" x14ac:dyDescent="0.35">
      <c r="A406" s="1">
        <v>45537</v>
      </c>
      <c r="B406" t="s">
        <v>1396</v>
      </c>
      <c r="C406">
        <v>540.21</v>
      </c>
      <c r="D406">
        <v>9075</v>
      </c>
      <c r="E406">
        <v>1034</v>
      </c>
    </row>
    <row r="407" spans="1:5" x14ac:dyDescent="0.35">
      <c r="A407" s="1">
        <v>45538</v>
      </c>
      <c r="B407" t="s">
        <v>1395</v>
      </c>
      <c r="C407">
        <v>627.11</v>
      </c>
      <c r="D407">
        <v>11107</v>
      </c>
      <c r="E407">
        <v>930</v>
      </c>
    </row>
    <row r="408" spans="1:5" x14ac:dyDescent="0.35">
      <c r="A408" s="1">
        <v>45540</v>
      </c>
      <c r="B408" t="s">
        <v>1397</v>
      </c>
      <c r="C408">
        <v>994.17</v>
      </c>
      <c r="D408">
        <v>35768</v>
      </c>
      <c r="E408">
        <v>1650</v>
      </c>
    </row>
    <row r="409" spans="1:5" x14ac:dyDescent="0.35">
      <c r="A409" s="1">
        <v>45541</v>
      </c>
      <c r="B409" t="s">
        <v>1395</v>
      </c>
      <c r="C409">
        <v>1461.63</v>
      </c>
      <c r="D409">
        <v>75578</v>
      </c>
      <c r="E409">
        <v>548</v>
      </c>
    </row>
    <row r="410" spans="1:5" x14ac:dyDescent="0.35">
      <c r="A410" s="1">
        <v>45541</v>
      </c>
      <c r="B410" t="s">
        <v>1398</v>
      </c>
      <c r="C410">
        <v>122.29</v>
      </c>
      <c r="D410">
        <v>26211</v>
      </c>
      <c r="E410">
        <v>509</v>
      </c>
    </row>
    <row r="411" spans="1:5" x14ac:dyDescent="0.35">
      <c r="A411" s="1">
        <v>45542</v>
      </c>
      <c r="B411" t="s">
        <v>1397</v>
      </c>
      <c r="C411">
        <v>1508.76</v>
      </c>
      <c r="D411">
        <v>15895</v>
      </c>
      <c r="E411">
        <v>2476</v>
      </c>
    </row>
    <row r="412" spans="1:5" x14ac:dyDescent="0.35">
      <c r="A412" s="1">
        <v>45542</v>
      </c>
      <c r="B412" t="s">
        <v>1396</v>
      </c>
      <c r="C412">
        <v>1384.13</v>
      </c>
      <c r="D412">
        <v>53435</v>
      </c>
      <c r="E412">
        <v>1328</v>
      </c>
    </row>
    <row r="413" spans="1:5" x14ac:dyDescent="0.35">
      <c r="A413" s="1">
        <v>45543</v>
      </c>
      <c r="B413" t="s">
        <v>1398</v>
      </c>
      <c r="C413">
        <v>112.68</v>
      </c>
      <c r="D413">
        <v>2250</v>
      </c>
      <c r="E413">
        <v>905</v>
      </c>
    </row>
    <row r="414" spans="1:5" x14ac:dyDescent="0.35">
      <c r="A414" s="1">
        <v>45543</v>
      </c>
      <c r="B414" t="s">
        <v>1397</v>
      </c>
      <c r="C414">
        <v>327.02999999999997</v>
      </c>
      <c r="D414">
        <v>20229</v>
      </c>
      <c r="E414">
        <v>133</v>
      </c>
    </row>
    <row r="415" spans="1:5" x14ac:dyDescent="0.35">
      <c r="A415" s="1">
        <v>45544</v>
      </c>
      <c r="B415" t="s">
        <v>1395</v>
      </c>
      <c r="C415">
        <v>626.79999999999995</v>
      </c>
      <c r="D415">
        <v>76732</v>
      </c>
      <c r="E415">
        <v>1092</v>
      </c>
    </row>
    <row r="416" spans="1:5" x14ac:dyDescent="0.35">
      <c r="A416" s="1">
        <v>45544</v>
      </c>
      <c r="B416" t="s">
        <v>1398</v>
      </c>
      <c r="C416">
        <v>2023.83</v>
      </c>
      <c r="D416">
        <v>61490</v>
      </c>
      <c r="E416">
        <v>837</v>
      </c>
    </row>
    <row r="417" spans="1:5" x14ac:dyDescent="0.35">
      <c r="A417" s="1">
        <v>45545</v>
      </c>
      <c r="B417" t="s">
        <v>1395</v>
      </c>
      <c r="C417">
        <v>708.62</v>
      </c>
      <c r="D417">
        <v>19556</v>
      </c>
      <c r="E417">
        <v>1617</v>
      </c>
    </row>
    <row r="418" spans="1:5" x14ac:dyDescent="0.35">
      <c r="A418" s="1">
        <v>45545</v>
      </c>
      <c r="B418" t="s">
        <v>1396</v>
      </c>
      <c r="C418">
        <v>837.4</v>
      </c>
      <c r="D418">
        <v>29238</v>
      </c>
      <c r="E418">
        <v>1484</v>
      </c>
    </row>
    <row r="419" spans="1:5" x14ac:dyDescent="0.35">
      <c r="A419" s="1">
        <v>45546</v>
      </c>
      <c r="B419" t="s">
        <v>1398</v>
      </c>
      <c r="C419">
        <v>841.43</v>
      </c>
      <c r="D419">
        <v>33500</v>
      </c>
      <c r="E419">
        <v>707</v>
      </c>
    </row>
    <row r="420" spans="1:5" x14ac:dyDescent="0.35">
      <c r="A420" s="1">
        <v>45546</v>
      </c>
      <c r="B420" t="s">
        <v>1397</v>
      </c>
      <c r="C420">
        <v>348.34</v>
      </c>
      <c r="D420">
        <v>29431</v>
      </c>
      <c r="E420">
        <v>858</v>
      </c>
    </row>
    <row r="421" spans="1:5" x14ac:dyDescent="0.35">
      <c r="A421" s="1">
        <v>45546</v>
      </c>
      <c r="B421" t="s">
        <v>1396</v>
      </c>
      <c r="C421">
        <v>415.45</v>
      </c>
      <c r="D421">
        <v>59685</v>
      </c>
      <c r="E421">
        <v>2709</v>
      </c>
    </row>
    <row r="422" spans="1:5" x14ac:dyDescent="0.35">
      <c r="A422" s="1">
        <v>45547</v>
      </c>
      <c r="B422" t="s">
        <v>1395</v>
      </c>
      <c r="C422">
        <v>659.92</v>
      </c>
      <c r="D422">
        <v>5183</v>
      </c>
      <c r="E422">
        <v>1163</v>
      </c>
    </row>
    <row r="423" spans="1:5" x14ac:dyDescent="0.35">
      <c r="A423" s="1">
        <v>45547</v>
      </c>
      <c r="B423" t="s">
        <v>1396</v>
      </c>
      <c r="C423">
        <v>791.64</v>
      </c>
      <c r="D423">
        <v>23710</v>
      </c>
      <c r="E423">
        <v>1188</v>
      </c>
    </row>
    <row r="424" spans="1:5" x14ac:dyDescent="0.35">
      <c r="A424" s="1">
        <v>45548</v>
      </c>
      <c r="B424" t="s">
        <v>1396</v>
      </c>
      <c r="C424">
        <v>1590.85</v>
      </c>
      <c r="D424">
        <v>34444</v>
      </c>
      <c r="E424">
        <v>1673</v>
      </c>
    </row>
    <row r="425" spans="1:5" x14ac:dyDescent="0.35">
      <c r="A425" s="1">
        <v>45549</v>
      </c>
      <c r="B425" t="s">
        <v>1395</v>
      </c>
      <c r="C425">
        <v>1006.1</v>
      </c>
      <c r="D425">
        <v>35954</v>
      </c>
      <c r="E425">
        <v>343</v>
      </c>
    </row>
    <row r="426" spans="1:5" x14ac:dyDescent="0.35">
      <c r="A426" s="1">
        <v>45549</v>
      </c>
      <c r="B426" t="s">
        <v>1397</v>
      </c>
      <c r="C426">
        <v>242.07</v>
      </c>
      <c r="D426">
        <v>4996</v>
      </c>
      <c r="E426">
        <v>640</v>
      </c>
    </row>
    <row r="427" spans="1:5" x14ac:dyDescent="0.35">
      <c r="A427" s="1">
        <v>45551</v>
      </c>
      <c r="B427" t="s">
        <v>1395</v>
      </c>
      <c r="C427">
        <v>499.02</v>
      </c>
      <c r="D427">
        <v>32810</v>
      </c>
      <c r="E427">
        <v>119</v>
      </c>
    </row>
    <row r="428" spans="1:5" x14ac:dyDescent="0.35">
      <c r="A428" s="1">
        <v>45551</v>
      </c>
      <c r="B428" t="s">
        <v>1398</v>
      </c>
      <c r="C428">
        <v>683.07</v>
      </c>
      <c r="D428">
        <v>26814</v>
      </c>
      <c r="E428">
        <v>855</v>
      </c>
    </row>
    <row r="429" spans="1:5" x14ac:dyDescent="0.35">
      <c r="A429" s="1">
        <v>45553</v>
      </c>
      <c r="B429" t="s">
        <v>1395</v>
      </c>
      <c r="C429">
        <v>1542.3</v>
      </c>
      <c r="D429">
        <v>23345</v>
      </c>
      <c r="E429">
        <v>2173</v>
      </c>
    </row>
    <row r="430" spans="1:5" x14ac:dyDescent="0.35">
      <c r="A430" s="1">
        <v>45553</v>
      </c>
      <c r="B430" t="s">
        <v>1398</v>
      </c>
      <c r="C430">
        <v>1733.11</v>
      </c>
      <c r="D430">
        <v>39815</v>
      </c>
      <c r="E430">
        <v>2106</v>
      </c>
    </row>
    <row r="431" spans="1:5" x14ac:dyDescent="0.35">
      <c r="A431" s="1">
        <v>45554</v>
      </c>
      <c r="B431" t="s">
        <v>1398</v>
      </c>
      <c r="C431">
        <v>235.1</v>
      </c>
      <c r="D431">
        <v>16469</v>
      </c>
      <c r="E431">
        <v>1293</v>
      </c>
    </row>
    <row r="432" spans="1:5" x14ac:dyDescent="0.35">
      <c r="A432" s="1">
        <v>45554</v>
      </c>
      <c r="B432" t="s">
        <v>1397</v>
      </c>
      <c r="C432">
        <v>1019.54</v>
      </c>
      <c r="D432">
        <v>37901</v>
      </c>
      <c r="E432">
        <v>1792</v>
      </c>
    </row>
    <row r="433" spans="1:5" x14ac:dyDescent="0.35">
      <c r="A433" s="1">
        <v>45555</v>
      </c>
      <c r="B433" t="s">
        <v>1395</v>
      </c>
      <c r="C433">
        <v>205.93</v>
      </c>
      <c r="D433">
        <v>28974</v>
      </c>
      <c r="E433">
        <v>151</v>
      </c>
    </row>
    <row r="434" spans="1:5" x14ac:dyDescent="0.35">
      <c r="A434" s="1">
        <v>45556</v>
      </c>
      <c r="B434" t="s">
        <v>1397</v>
      </c>
      <c r="C434">
        <v>641.46</v>
      </c>
      <c r="D434">
        <v>35340</v>
      </c>
      <c r="E434">
        <v>942</v>
      </c>
    </row>
    <row r="435" spans="1:5" x14ac:dyDescent="0.35">
      <c r="A435" s="1">
        <v>45557</v>
      </c>
      <c r="B435" t="s">
        <v>1397</v>
      </c>
      <c r="C435">
        <v>1022.82</v>
      </c>
      <c r="D435">
        <v>18423</v>
      </c>
      <c r="E435">
        <v>432</v>
      </c>
    </row>
    <row r="436" spans="1:5" x14ac:dyDescent="0.35">
      <c r="A436" s="1">
        <v>45558</v>
      </c>
      <c r="B436" t="s">
        <v>1396</v>
      </c>
      <c r="C436">
        <v>855.97</v>
      </c>
      <c r="D436">
        <v>26411</v>
      </c>
      <c r="E436">
        <v>968</v>
      </c>
    </row>
    <row r="437" spans="1:5" x14ac:dyDescent="0.35">
      <c r="A437" s="1">
        <v>45559</v>
      </c>
      <c r="B437" t="s">
        <v>1395</v>
      </c>
      <c r="C437">
        <v>1195.51</v>
      </c>
      <c r="D437">
        <v>44867</v>
      </c>
      <c r="E437">
        <v>2386</v>
      </c>
    </row>
    <row r="438" spans="1:5" x14ac:dyDescent="0.35">
      <c r="A438" s="1">
        <v>45559</v>
      </c>
      <c r="B438" t="s">
        <v>1397</v>
      </c>
      <c r="C438">
        <v>857.41</v>
      </c>
      <c r="D438">
        <v>5000</v>
      </c>
      <c r="E438">
        <v>366</v>
      </c>
    </row>
    <row r="439" spans="1:5" x14ac:dyDescent="0.35">
      <c r="A439" s="1">
        <v>45559</v>
      </c>
      <c r="B439" t="s">
        <v>1396</v>
      </c>
      <c r="C439">
        <v>475.93</v>
      </c>
      <c r="D439">
        <v>4846</v>
      </c>
      <c r="E439">
        <v>1458</v>
      </c>
    </row>
    <row r="440" spans="1:5" x14ac:dyDescent="0.35">
      <c r="A440" s="1">
        <v>45560</v>
      </c>
      <c r="B440" t="s">
        <v>1395</v>
      </c>
      <c r="C440">
        <v>505.13</v>
      </c>
      <c r="D440">
        <v>22334</v>
      </c>
      <c r="E440">
        <v>1557</v>
      </c>
    </row>
    <row r="441" spans="1:5" x14ac:dyDescent="0.35">
      <c r="A441" s="1">
        <v>45560</v>
      </c>
      <c r="B441" t="s">
        <v>1398</v>
      </c>
      <c r="C441">
        <v>468.48</v>
      </c>
      <c r="D441">
        <v>20539</v>
      </c>
      <c r="E441">
        <v>823</v>
      </c>
    </row>
    <row r="442" spans="1:5" x14ac:dyDescent="0.35">
      <c r="A442" s="1">
        <v>45561</v>
      </c>
      <c r="B442" t="s">
        <v>1397</v>
      </c>
      <c r="C442">
        <v>102.23</v>
      </c>
      <c r="D442">
        <v>27903</v>
      </c>
      <c r="E442">
        <v>1257</v>
      </c>
    </row>
    <row r="443" spans="1:5" x14ac:dyDescent="0.35">
      <c r="A443" s="1">
        <v>45562</v>
      </c>
      <c r="B443" t="s">
        <v>1398</v>
      </c>
      <c r="C443">
        <v>887.04</v>
      </c>
      <c r="D443">
        <v>16594</v>
      </c>
      <c r="E443">
        <v>1739</v>
      </c>
    </row>
    <row r="444" spans="1:5" x14ac:dyDescent="0.35">
      <c r="A444" s="1">
        <v>45563</v>
      </c>
      <c r="B444" t="s">
        <v>1395</v>
      </c>
      <c r="C444">
        <v>751.87</v>
      </c>
      <c r="D444">
        <v>12755</v>
      </c>
      <c r="E444">
        <v>931</v>
      </c>
    </row>
    <row r="445" spans="1:5" x14ac:dyDescent="0.35">
      <c r="A445" s="1">
        <v>45563</v>
      </c>
      <c r="B445" t="s">
        <v>1396</v>
      </c>
      <c r="C445">
        <v>313.91000000000003</v>
      </c>
      <c r="D445">
        <v>33596</v>
      </c>
      <c r="E445">
        <v>1647</v>
      </c>
    </row>
    <row r="446" spans="1:5" x14ac:dyDescent="0.35">
      <c r="A446" s="1">
        <v>45564</v>
      </c>
      <c r="B446" t="s">
        <v>1397</v>
      </c>
      <c r="C446">
        <v>736.39</v>
      </c>
      <c r="D446">
        <v>13034</v>
      </c>
      <c r="E446">
        <v>692</v>
      </c>
    </row>
    <row r="447" spans="1:5" x14ac:dyDescent="0.35">
      <c r="A447" s="1">
        <v>45564</v>
      </c>
      <c r="B447" t="s">
        <v>1396</v>
      </c>
      <c r="C447">
        <v>63.63</v>
      </c>
      <c r="D447">
        <v>36695</v>
      </c>
      <c r="E447">
        <v>1509</v>
      </c>
    </row>
    <row r="448" spans="1:5" x14ac:dyDescent="0.35">
      <c r="A448" s="1">
        <v>45565</v>
      </c>
      <c r="B448" t="s">
        <v>1395</v>
      </c>
      <c r="C448">
        <v>1360.97</v>
      </c>
      <c r="D448">
        <v>18194</v>
      </c>
      <c r="E448">
        <v>2627</v>
      </c>
    </row>
    <row r="449" spans="1:5" x14ac:dyDescent="0.35">
      <c r="A449" s="1">
        <v>45565</v>
      </c>
      <c r="B449" t="s">
        <v>1397</v>
      </c>
      <c r="C449">
        <v>404.69</v>
      </c>
      <c r="D449">
        <v>25569</v>
      </c>
      <c r="E449">
        <v>1080</v>
      </c>
    </row>
    <row r="450" spans="1:5" x14ac:dyDescent="0.35">
      <c r="A450" s="1">
        <v>45565</v>
      </c>
      <c r="B450" t="s">
        <v>1396</v>
      </c>
      <c r="C450">
        <v>1092.51</v>
      </c>
      <c r="D450">
        <v>25494</v>
      </c>
      <c r="E450">
        <v>1068</v>
      </c>
    </row>
    <row r="451" spans="1:5" x14ac:dyDescent="0.35">
      <c r="A451" s="1">
        <v>45566</v>
      </c>
      <c r="B451" t="s">
        <v>1395</v>
      </c>
      <c r="C451">
        <v>952.52</v>
      </c>
      <c r="D451">
        <v>57954</v>
      </c>
      <c r="E451">
        <v>1901</v>
      </c>
    </row>
    <row r="452" spans="1:5" x14ac:dyDescent="0.35">
      <c r="A452" s="1">
        <v>45566</v>
      </c>
      <c r="B452" t="s">
        <v>1396</v>
      </c>
      <c r="C452">
        <v>708.62</v>
      </c>
      <c r="D452">
        <v>17443</v>
      </c>
      <c r="E452">
        <v>1005</v>
      </c>
    </row>
    <row r="453" spans="1:5" x14ac:dyDescent="0.35">
      <c r="A453" s="1">
        <v>45567</v>
      </c>
      <c r="B453" t="s">
        <v>1395</v>
      </c>
      <c r="C453">
        <v>770.97</v>
      </c>
      <c r="D453">
        <v>15813</v>
      </c>
      <c r="E453">
        <v>1402</v>
      </c>
    </row>
    <row r="454" spans="1:5" x14ac:dyDescent="0.35">
      <c r="A454" s="1">
        <v>45567</v>
      </c>
      <c r="B454" t="s">
        <v>1396</v>
      </c>
      <c r="C454">
        <v>327.11</v>
      </c>
      <c r="D454">
        <v>16768</v>
      </c>
      <c r="E454">
        <v>645</v>
      </c>
    </row>
    <row r="455" spans="1:5" x14ac:dyDescent="0.35">
      <c r="A455" s="1">
        <v>45568</v>
      </c>
      <c r="B455" t="s">
        <v>1395</v>
      </c>
      <c r="C455">
        <v>1892.73</v>
      </c>
      <c r="D455">
        <v>87051</v>
      </c>
      <c r="E455">
        <v>1211</v>
      </c>
    </row>
    <row r="456" spans="1:5" x14ac:dyDescent="0.35">
      <c r="A456" s="1">
        <v>45568</v>
      </c>
      <c r="B456" t="s">
        <v>1397</v>
      </c>
      <c r="C456">
        <v>2438.46</v>
      </c>
      <c r="D456">
        <v>50554</v>
      </c>
      <c r="E456">
        <v>3629</v>
      </c>
    </row>
    <row r="457" spans="1:5" x14ac:dyDescent="0.35">
      <c r="A457" s="1">
        <v>45569</v>
      </c>
      <c r="B457" t="s">
        <v>1396</v>
      </c>
      <c r="C457">
        <v>1166.31</v>
      </c>
      <c r="D457">
        <v>40648</v>
      </c>
      <c r="E457">
        <v>495</v>
      </c>
    </row>
    <row r="458" spans="1:5" x14ac:dyDescent="0.35">
      <c r="A458" s="1">
        <v>45570</v>
      </c>
      <c r="B458" t="s">
        <v>1397</v>
      </c>
      <c r="C458">
        <v>673.35</v>
      </c>
      <c r="D458">
        <v>4726</v>
      </c>
      <c r="E458">
        <v>1586</v>
      </c>
    </row>
    <row r="459" spans="1:5" x14ac:dyDescent="0.35">
      <c r="A459" s="1">
        <v>45570</v>
      </c>
      <c r="B459" t="s">
        <v>1396</v>
      </c>
      <c r="C459">
        <v>1107.3599999999999</v>
      </c>
      <c r="D459">
        <v>56121</v>
      </c>
      <c r="E459">
        <v>1594</v>
      </c>
    </row>
    <row r="460" spans="1:5" x14ac:dyDescent="0.35">
      <c r="A460" s="1">
        <v>45571</v>
      </c>
      <c r="B460" t="s">
        <v>1397</v>
      </c>
      <c r="C460">
        <v>1154.1500000000001</v>
      </c>
      <c r="D460">
        <v>11442</v>
      </c>
      <c r="E460">
        <v>640</v>
      </c>
    </row>
    <row r="461" spans="1:5" x14ac:dyDescent="0.35">
      <c r="A461" s="1">
        <v>45572</v>
      </c>
      <c r="B461" t="s">
        <v>1398</v>
      </c>
      <c r="C461">
        <v>708.61</v>
      </c>
      <c r="D461">
        <v>11820</v>
      </c>
      <c r="E461">
        <v>366</v>
      </c>
    </row>
    <row r="462" spans="1:5" x14ac:dyDescent="0.35">
      <c r="A462" s="1">
        <v>45573</v>
      </c>
      <c r="B462" t="s">
        <v>1398</v>
      </c>
      <c r="C462">
        <v>517.94000000000005</v>
      </c>
      <c r="D462">
        <v>33175</v>
      </c>
      <c r="E462">
        <v>1007</v>
      </c>
    </row>
    <row r="463" spans="1:5" x14ac:dyDescent="0.35">
      <c r="A463" s="1">
        <v>45573</v>
      </c>
      <c r="B463" t="s">
        <v>1397</v>
      </c>
      <c r="C463">
        <v>1345.04</v>
      </c>
      <c r="D463">
        <v>76866</v>
      </c>
      <c r="E463">
        <v>2934</v>
      </c>
    </row>
    <row r="464" spans="1:5" x14ac:dyDescent="0.35">
      <c r="A464" s="1">
        <v>45574</v>
      </c>
      <c r="B464" t="s">
        <v>1398</v>
      </c>
      <c r="C464">
        <v>544.58000000000004</v>
      </c>
      <c r="D464">
        <v>16974</v>
      </c>
      <c r="E464">
        <v>877</v>
      </c>
    </row>
    <row r="465" spans="1:5" x14ac:dyDescent="0.35">
      <c r="A465" s="1">
        <v>45574</v>
      </c>
      <c r="B465" t="s">
        <v>1397</v>
      </c>
      <c r="C465">
        <v>1120.8800000000001</v>
      </c>
      <c r="D465">
        <v>56319</v>
      </c>
      <c r="E465">
        <v>2559</v>
      </c>
    </row>
    <row r="466" spans="1:5" x14ac:dyDescent="0.35">
      <c r="A466" s="1">
        <v>45575</v>
      </c>
      <c r="B466" t="s">
        <v>1395</v>
      </c>
      <c r="C466">
        <v>1016.92</v>
      </c>
      <c r="D466">
        <v>36247</v>
      </c>
      <c r="E466">
        <v>887</v>
      </c>
    </row>
    <row r="467" spans="1:5" x14ac:dyDescent="0.35">
      <c r="A467" s="1">
        <v>45575</v>
      </c>
      <c r="B467" t="s">
        <v>1396</v>
      </c>
      <c r="C467">
        <v>389.47</v>
      </c>
      <c r="D467">
        <v>14857</v>
      </c>
      <c r="E467">
        <v>705</v>
      </c>
    </row>
    <row r="468" spans="1:5" x14ac:dyDescent="0.35">
      <c r="A468" s="1">
        <v>45576</v>
      </c>
      <c r="B468" t="s">
        <v>1398</v>
      </c>
      <c r="C468">
        <v>191.72</v>
      </c>
      <c r="D468">
        <v>2329</v>
      </c>
      <c r="E468">
        <v>1202</v>
      </c>
    </row>
    <row r="469" spans="1:5" x14ac:dyDescent="0.35">
      <c r="A469" s="1">
        <v>45576</v>
      </c>
      <c r="B469" t="s">
        <v>1397</v>
      </c>
      <c r="C469">
        <v>199.58</v>
      </c>
      <c r="D469">
        <v>40272</v>
      </c>
      <c r="E469">
        <v>1762</v>
      </c>
    </row>
    <row r="470" spans="1:5" x14ac:dyDescent="0.35">
      <c r="A470" s="1">
        <v>45577</v>
      </c>
      <c r="B470" t="s">
        <v>1395</v>
      </c>
      <c r="C470">
        <v>999.8</v>
      </c>
      <c r="D470">
        <v>41597</v>
      </c>
      <c r="E470">
        <v>1297</v>
      </c>
    </row>
    <row r="471" spans="1:5" x14ac:dyDescent="0.35">
      <c r="A471" s="1">
        <v>45577</v>
      </c>
      <c r="B471" t="s">
        <v>1397</v>
      </c>
      <c r="C471">
        <v>153.85</v>
      </c>
      <c r="D471">
        <v>27858</v>
      </c>
      <c r="E471">
        <v>58</v>
      </c>
    </row>
    <row r="472" spans="1:5" x14ac:dyDescent="0.35">
      <c r="A472" s="1">
        <v>45578</v>
      </c>
      <c r="B472" t="s">
        <v>1398</v>
      </c>
      <c r="C472">
        <v>1138.96</v>
      </c>
      <c r="D472">
        <v>23996</v>
      </c>
      <c r="E472">
        <v>1370</v>
      </c>
    </row>
    <row r="473" spans="1:5" x14ac:dyDescent="0.35">
      <c r="A473" s="1">
        <v>45578</v>
      </c>
      <c r="B473" t="s">
        <v>1396</v>
      </c>
      <c r="C473">
        <v>790.02</v>
      </c>
      <c r="D473">
        <v>23527</v>
      </c>
      <c r="E473">
        <v>1695</v>
      </c>
    </row>
    <row r="474" spans="1:5" x14ac:dyDescent="0.35">
      <c r="A474" s="1">
        <v>45579</v>
      </c>
      <c r="B474" t="s">
        <v>1395</v>
      </c>
      <c r="C474">
        <v>416.98</v>
      </c>
      <c r="D474">
        <v>32570</v>
      </c>
      <c r="E474">
        <v>280</v>
      </c>
    </row>
    <row r="475" spans="1:5" x14ac:dyDescent="0.35">
      <c r="A475" s="1">
        <v>45579</v>
      </c>
      <c r="B475" t="s">
        <v>1397</v>
      </c>
      <c r="C475">
        <v>514.58000000000004</v>
      </c>
      <c r="D475">
        <v>82946</v>
      </c>
      <c r="E475">
        <v>3245</v>
      </c>
    </row>
    <row r="476" spans="1:5" x14ac:dyDescent="0.35">
      <c r="A476" s="1">
        <v>45580</v>
      </c>
      <c r="B476" t="s">
        <v>1395</v>
      </c>
      <c r="C476">
        <v>948.88</v>
      </c>
      <c r="D476">
        <v>44806</v>
      </c>
      <c r="E476">
        <v>1573</v>
      </c>
    </row>
    <row r="477" spans="1:5" x14ac:dyDescent="0.35">
      <c r="A477" s="1">
        <v>45580</v>
      </c>
      <c r="B477" t="s">
        <v>1398</v>
      </c>
      <c r="C477">
        <v>1914.64</v>
      </c>
      <c r="D477">
        <v>37320</v>
      </c>
      <c r="E477">
        <v>1704</v>
      </c>
    </row>
    <row r="478" spans="1:5" x14ac:dyDescent="0.35">
      <c r="A478" s="1">
        <v>45580</v>
      </c>
      <c r="B478" t="s">
        <v>1396</v>
      </c>
      <c r="C478">
        <v>1161.83</v>
      </c>
      <c r="D478">
        <v>23731</v>
      </c>
      <c r="E478">
        <v>1660</v>
      </c>
    </row>
    <row r="479" spans="1:5" x14ac:dyDescent="0.35">
      <c r="A479" s="1">
        <v>45581</v>
      </c>
      <c r="B479" t="s">
        <v>1398</v>
      </c>
      <c r="C479">
        <v>245.48</v>
      </c>
      <c r="D479">
        <v>7175</v>
      </c>
      <c r="E479">
        <v>1278</v>
      </c>
    </row>
    <row r="480" spans="1:5" x14ac:dyDescent="0.35">
      <c r="A480" s="1">
        <v>45581</v>
      </c>
      <c r="B480" t="s">
        <v>1397</v>
      </c>
      <c r="C480">
        <v>753.66</v>
      </c>
      <c r="D480">
        <v>28047</v>
      </c>
      <c r="E480">
        <v>1576</v>
      </c>
    </row>
    <row r="481" spans="1:5" x14ac:dyDescent="0.35">
      <c r="A481" s="1">
        <v>45581</v>
      </c>
      <c r="B481" t="s">
        <v>1396</v>
      </c>
      <c r="C481">
        <v>956.55</v>
      </c>
      <c r="D481">
        <v>5172</v>
      </c>
      <c r="E481">
        <v>124</v>
      </c>
    </row>
    <row r="482" spans="1:5" x14ac:dyDescent="0.35">
      <c r="A482" s="1">
        <v>45582</v>
      </c>
      <c r="B482" t="s">
        <v>1395</v>
      </c>
      <c r="C482">
        <v>2438.9</v>
      </c>
      <c r="D482">
        <v>73926</v>
      </c>
      <c r="E482">
        <v>3664</v>
      </c>
    </row>
    <row r="483" spans="1:5" x14ac:dyDescent="0.35">
      <c r="A483" s="1">
        <v>45582</v>
      </c>
      <c r="B483" t="s">
        <v>1397</v>
      </c>
      <c r="C483">
        <v>978.85</v>
      </c>
      <c r="D483">
        <v>30069</v>
      </c>
      <c r="E483">
        <v>375</v>
      </c>
    </row>
    <row r="484" spans="1:5" x14ac:dyDescent="0.35">
      <c r="A484" s="1">
        <v>45583</v>
      </c>
      <c r="B484" t="s">
        <v>1396</v>
      </c>
      <c r="C484">
        <v>473.16</v>
      </c>
      <c r="D484">
        <v>40706</v>
      </c>
      <c r="E484">
        <v>3250</v>
      </c>
    </row>
    <row r="485" spans="1:5" x14ac:dyDescent="0.35">
      <c r="A485" s="1">
        <v>45584</v>
      </c>
      <c r="B485" t="s">
        <v>1398</v>
      </c>
      <c r="C485">
        <v>1026.43</v>
      </c>
      <c r="D485">
        <v>44536</v>
      </c>
      <c r="E485">
        <v>698</v>
      </c>
    </row>
    <row r="486" spans="1:5" x14ac:dyDescent="0.35">
      <c r="A486" s="1">
        <v>45585</v>
      </c>
      <c r="B486" t="s">
        <v>1395</v>
      </c>
      <c r="C486">
        <v>269.39999999999998</v>
      </c>
      <c r="D486">
        <v>30903</v>
      </c>
      <c r="E486">
        <v>672</v>
      </c>
    </row>
    <row r="487" spans="1:5" x14ac:dyDescent="0.35">
      <c r="A487" s="1">
        <v>45585</v>
      </c>
      <c r="B487" t="s">
        <v>1398</v>
      </c>
      <c r="C487">
        <v>665.43</v>
      </c>
      <c r="D487">
        <v>4444</v>
      </c>
      <c r="E487">
        <v>388</v>
      </c>
    </row>
    <row r="488" spans="1:5" x14ac:dyDescent="0.35">
      <c r="A488" s="1">
        <v>45585</v>
      </c>
      <c r="B488" t="s">
        <v>1396</v>
      </c>
      <c r="C488">
        <v>221.52</v>
      </c>
      <c r="D488">
        <v>7903</v>
      </c>
      <c r="E488">
        <v>1626</v>
      </c>
    </row>
    <row r="489" spans="1:5" x14ac:dyDescent="0.35">
      <c r="A489" s="1">
        <v>45586</v>
      </c>
      <c r="B489" t="s">
        <v>1397</v>
      </c>
      <c r="C489">
        <v>714.1</v>
      </c>
      <c r="D489">
        <v>23015</v>
      </c>
      <c r="E489">
        <v>515</v>
      </c>
    </row>
    <row r="490" spans="1:5" x14ac:dyDescent="0.35">
      <c r="A490" s="1">
        <v>45587</v>
      </c>
      <c r="B490" t="s">
        <v>1395</v>
      </c>
      <c r="C490">
        <v>620.57000000000005</v>
      </c>
      <c r="D490">
        <v>35474</v>
      </c>
      <c r="E490">
        <v>767</v>
      </c>
    </row>
    <row r="491" spans="1:5" x14ac:dyDescent="0.35">
      <c r="A491" s="1">
        <v>45587</v>
      </c>
      <c r="B491" t="s">
        <v>1398</v>
      </c>
      <c r="C491">
        <v>227.94</v>
      </c>
      <c r="D491">
        <v>33600</v>
      </c>
      <c r="E491">
        <v>489</v>
      </c>
    </row>
    <row r="492" spans="1:5" x14ac:dyDescent="0.35">
      <c r="A492" s="1">
        <v>45587</v>
      </c>
      <c r="B492" t="s">
        <v>1397</v>
      </c>
      <c r="C492">
        <v>798.8</v>
      </c>
      <c r="D492">
        <v>39495</v>
      </c>
      <c r="E492">
        <v>883</v>
      </c>
    </row>
    <row r="493" spans="1:5" x14ac:dyDescent="0.35">
      <c r="A493" s="1">
        <v>45588</v>
      </c>
      <c r="B493" t="s">
        <v>1398</v>
      </c>
      <c r="C493">
        <v>1769.68</v>
      </c>
      <c r="D493">
        <v>50654</v>
      </c>
      <c r="E493">
        <v>1255</v>
      </c>
    </row>
    <row r="494" spans="1:5" x14ac:dyDescent="0.35">
      <c r="A494" s="1">
        <v>45588</v>
      </c>
      <c r="B494" t="s">
        <v>1397</v>
      </c>
      <c r="C494">
        <v>892.21</v>
      </c>
      <c r="D494">
        <v>7906</v>
      </c>
      <c r="E494">
        <v>634</v>
      </c>
    </row>
    <row r="495" spans="1:5" x14ac:dyDescent="0.35">
      <c r="A495" s="1">
        <v>45588</v>
      </c>
      <c r="B495" t="s">
        <v>1396</v>
      </c>
      <c r="C495">
        <v>833.3</v>
      </c>
      <c r="D495">
        <v>38994</v>
      </c>
      <c r="E495">
        <v>1346</v>
      </c>
    </row>
    <row r="496" spans="1:5" x14ac:dyDescent="0.35">
      <c r="A496" s="1">
        <v>45589</v>
      </c>
      <c r="B496" t="s">
        <v>1395</v>
      </c>
      <c r="C496">
        <v>593.04999999999995</v>
      </c>
      <c r="D496">
        <v>14749</v>
      </c>
      <c r="E496">
        <v>1054</v>
      </c>
    </row>
    <row r="497" spans="1:5" x14ac:dyDescent="0.35">
      <c r="A497" s="1">
        <v>45589</v>
      </c>
      <c r="B497" t="s">
        <v>1398</v>
      </c>
      <c r="C497">
        <v>246.88</v>
      </c>
      <c r="D497">
        <v>42925</v>
      </c>
      <c r="E497">
        <v>1505</v>
      </c>
    </row>
    <row r="498" spans="1:5" x14ac:dyDescent="0.35">
      <c r="A498" s="1">
        <v>45589</v>
      </c>
      <c r="B498" t="s">
        <v>1396</v>
      </c>
      <c r="C498">
        <v>2078.85</v>
      </c>
      <c r="D498">
        <v>41348</v>
      </c>
      <c r="E498">
        <v>397</v>
      </c>
    </row>
    <row r="499" spans="1:5" x14ac:dyDescent="0.35">
      <c r="A499" s="1">
        <v>45590</v>
      </c>
      <c r="B499" t="s">
        <v>1398</v>
      </c>
      <c r="C499">
        <v>766.69</v>
      </c>
      <c r="D499">
        <v>35476</v>
      </c>
      <c r="E499">
        <v>571</v>
      </c>
    </row>
    <row r="500" spans="1:5" x14ac:dyDescent="0.35">
      <c r="A500" s="1">
        <v>45590</v>
      </c>
      <c r="B500" t="s">
        <v>1396</v>
      </c>
      <c r="C500">
        <v>979.96</v>
      </c>
      <c r="D500">
        <v>72436</v>
      </c>
      <c r="E500">
        <v>1557</v>
      </c>
    </row>
    <row r="501" spans="1:5" x14ac:dyDescent="0.35">
      <c r="A501" s="1">
        <v>45591</v>
      </c>
      <c r="B501" t="s">
        <v>1395</v>
      </c>
      <c r="C501">
        <v>228.72</v>
      </c>
      <c r="D501">
        <v>12772</v>
      </c>
      <c r="E501">
        <v>950</v>
      </c>
    </row>
    <row r="502" spans="1:5" x14ac:dyDescent="0.35">
      <c r="A502" s="1">
        <v>45592</v>
      </c>
      <c r="B502" t="s">
        <v>1395</v>
      </c>
      <c r="C502">
        <v>65.86</v>
      </c>
      <c r="D502">
        <v>16138</v>
      </c>
      <c r="E502">
        <v>111</v>
      </c>
    </row>
    <row r="503" spans="1:5" x14ac:dyDescent="0.35">
      <c r="A503" s="1">
        <v>45592</v>
      </c>
      <c r="B503" t="s">
        <v>1398</v>
      </c>
      <c r="C503">
        <v>2382.0700000000002</v>
      </c>
      <c r="D503">
        <v>98991</v>
      </c>
      <c r="E503">
        <v>1426</v>
      </c>
    </row>
    <row r="504" spans="1:5" x14ac:dyDescent="0.35">
      <c r="A504" s="1">
        <v>45593</v>
      </c>
      <c r="B504" t="s">
        <v>1397</v>
      </c>
      <c r="C504">
        <v>203.96</v>
      </c>
      <c r="D504">
        <v>34841</v>
      </c>
      <c r="E504">
        <v>1075</v>
      </c>
    </row>
    <row r="505" spans="1:5" x14ac:dyDescent="0.35">
      <c r="A505" s="1">
        <v>45594</v>
      </c>
      <c r="B505" t="s">
        <v>1398</v>
      </c>
      <c r="C505">
        <v>794.35</v>
      </c>
      <c r="D505">
        <v>28928</v>
      </c>
      <c r="E505">
        <v>75</v>
      </c>
    </row>
    <row r="506" spans="1:5" x14ac:dyDescent="0.35">
      <c r="A506" s="1">
        <v>45595</v>
      </c>
      <c r="B506" t="s">
        <v>1398</v>
      </c>
      <c r="C506">
        <v>647.36</v>
      </c>
      <c r="D506">
        <v>31167</v>
      </c>
      <c r="E506">
        <v>49</v>
      </c>
    </row>
    <row r="507" spans="1:5" x14ac:dyDescent="0.35">
      <c r="A507" s="1">
        <v>45596</v>
      </c>
      <c r="B507" t="s">
        <v>1396</v>
      </c>
      <c r="C507">
        <v>582.12</v>
      </c>
      <c r="D507">
        <v>38327</v>
      </c>
      <c r="E507">
        <v>1651</v>
      </c>
    </row>
    <row r="508" spans="1:5" x14ac:dyDescent="0.35">
      <c r="A508" s="1">
        <v>45597</v>
      </c>
      <c r="B508" t="s">
        <v>1398</v>
      </c>
      <c r="C508">
        <v>83.7</v>
      </c>
      <c r="D508">
        <v>20411</v>
      </c>
      <c r="E508">
        <v>149</v>
      </c>
    </row>
    <row r="509" spans="1:5" x14ac:dyDescent="0.35">
      <c r="A509" s="1">
        <v>45597</v>
      </c>
      <c r="B509" t="s">
        <v>1397</v>
      </c>
      <c r="C509">
        <v>1043.28</v>
      </c>
      <c r="D509">
        <v>2808</v>
      </c>
      <c r="E509">
        <v>627</v>
      </c>
    </row>
    <row r="510" spans="1:5" x14ac:dyDescent="0.35">
      <c r="A510" s="1">
        <v>45597</v>
      </c>
      <c r="B510" t="s">
        <v>1396</v>
      </c>
      <c r="C510">
        <v>1648.11</v>
      </c>
      <c r="D510">
        <v>61898</v>
      </c>
      <c r="E510">
        <v>2649</v>
      </c>
    </row>
    <row r="511" spans="1:5" x14ac:dyDescent="0.35">
      <c r="A511" s="1">
        <v>45598</v>
      </c>
      <c r="B511" t="s">
        <v>1395</v>
      </c>
      <c r="C511">
        <v>1060.29</v>
      </c>
      <c r="D511">
        <v>20576</v>
      </c>
      <c r="E511">
        <v>205</v>
      </c>
    </row>
    <row r="512" spans="1:5" x14ac:dyDescent="0.35">
      <c r="A512" s="1">
        <v>45600</v>
      </c>
      <c r="B512" t="s">
        <v>1398</v>
      </c>
      <c r="C512">
        <v>942.57</v>
      </c>
      <c r="D512">
        <v>14681</v>
      </c>
      <c r="E512">
        <v>632</v>
      </c>
    </row>
    <row r="513" spans="1:5" x14ac:dyDescent="0.35">
      <c r="A513" s="1">
        <v>45601</v>
      </c>
      <c r="B513" t="s">
        <v>1398</v>
      </c>
      <c r="C513">
        <v>830.92</v>
      </c>
      <c r="D513">
        <v>26311</v>
      </c>
      <c r="E513">
        <v>791</v>
      </c>
    </row>
    <row r="514" spans="1:5" x14ac:dyDescent="0.35">
      <c r="A514" s="1">
        <v>45601</v>
      </c>
      <c r="B514" t="s">
        <v>1397</v>
      </c>
      <c r="C514">
        <v>1018.91</v>
      </c>
      <c r="D514">
        <v>38937</v>
      </c>
      <c r="E514">
        <v>114</v>
      </c>
    </row>
    <row r="515" spans="1:5" x14ac:dyDescent="0.35">
      <c r="A515" s="1">
        <v>45601</v>
      </c>
      <c r="B515" t="s">
        <v>1396</v>
      </c>
      <c r="C515">
        <v>1164.26</v>
      </c>
      <c r="D515">
        <v>23389</v>
      </c>
      <c r="E515">
        <v>90</v>
      </c>
    </row>
    <row r="516" spans="1:5" x14ac:dyDescent="0.35">
      <c r="A516" s="1">
        <v>45602</v>
      </c>
      <c r="B516" t="s">
        <v>1396</v>
      </c>
      <c r="C516">
        <v>230.67</v>
      </c>
      <c r="D516">
        <v>8636</v>
      </c>
      <c r="E516">
        <v>708</v>
      </c>
    </row>
    <row r="517" spans="1:5" x14ac:dyDescent="0.35">
      <c r="A517" s="1">
        <v>45603</v>
      </c>
      <c r="B517" t="s">
        <v>1398</v>
      </c>
      <c r="C517">
        <v>490.17</v>
      </c>
      <c r="D517">
        <v>44492</v>
      </c>
      <c r="E517">
        <v>1940</v>
      </c>
    </row>
    <row r="518" spans="1:5" x14ac:dyDescent="0.35">
      <c r="A518" s="1">
        <v>45603</v>
      </c>
      <c r="B518" t="s">
        <v>1397</v>
      </c>
      <c r="C518">
        <v>945.82</v>
      </c>
      <c r="D518">
        <v>3757</v>
      </c>
      <c r="E518">
        <v>1766</v>
      </c>
    </row>
    <row r="519" spans="1:5" x14ac:dyDescent="0.35">
      <c r="A519" s="1">
        <v>45603</v>
      </c>
      <c r="B519" t="s">
        <v>1396</v>
      </c>
      <c r="C519">
        <v>267.88</v>
      </c>
      <c r="D519">
        <v>27287</v>
      </c>
      <c r="E519">
        <v>1029</v>
      </c>
    </row>
    <row r="520" spans="1:5" x14ac:dyDescent="0.35">
      <c r="A520" s="1">
        <v>45604</v>
      </c>
      <c r="B520" t="s">
        <v>1395</v>
      </c>
      <c r="C520">
        <v>197.96</v>
      </c>
      <c r="D520">
        <v>8336</v>
      </c>
      <c r="E520">
        <v>836</v>
      </c>
    </row>
    <row r="521" spans="1:5" x14ac:dyDescent="0.35">
      <c r="A521" s="1">
        <v>45605</v>
      </c>
      <c r="B521" t="s">
        <v>1398</v>
      </c>
      <c r="C521">
        <v>785.59</v>
      </c>
      <c r="D521">
        <v>8822</v>
      </c>
      <c r="E521">
        <v>1046</v>
      </c>
    </row>
    <row r="522" spans="1:5" x14ac:dyDescent="0.35">
      <c r="A522" s="1">
        <v>45605</v>
      </c>
      <c r="B522" t="s">
        <v>1397</v>
      </c>
      <c r="C522">
        <v>848.08</v>
      </c>
      <c r="D522">
        <v>34191</v>
      </c>
      <c r="E522">
        <v>439</v>
      </c>
    </row>
    <row r="523" spans="1:5" x14ac:dyDescent="0.35">
      <c r="A523" s="1">
        <v>45606</v>
      </c>
      <c r="B523" t="s">
        <v>1395</v>
      </c>
      <c r="C523">
        <v>1059.42</v>
      </c>
      <c r="D523">
        <v>36827</v>
      </c>
      <c r="E523">
        <v>1060</v>
      </c>
    </row>
    <row r="524" spans="1:5" x14ac:dyDescent="0.35">
      <c r="A524" s="1">
        <v>45606</v>
      </c>
      <c r="B524" t="s">
        <v>1396</v>
      </c>
      <c r="C524">
        <v>778.51</v>
      </c>
      <c r="D524">
        <v>28436</v>
      </c>
      <c r="E524">
        <v>908</v>
      </c>
    </row>
    <row r="525" spans="1:5" x14ac:dyDescent="0.35">
      <c r="A525" s="1">
        <v>45607</v>
      </c>
      <c r="B525" t="s">
        <v>1396</v>
      </c>
      <c r="C525">
        <v>1038.96</v>
      </c>
      <c r="D525">
        <v>7681</v>
      </c>
      <c r="E525">
        <v>235</v>
      </c>
    </row>
    <row r="526" spans="1:5" x14ac:dyDescent="0.35">
      <c r="A526" s="1">
        <v>45608</v>
      </c>
      <c r="B526" t="s">
        <v>1395</v>
      </c>
      <c r="C526">
        <v>2742.26</v>
      </c>
      <c r="D526">
        <v>112275</v>
      </c>
      <c r="E526">
        <v>3256</v>
      </c>
    </row>
    <row r="527" spans="1:5" x14ac:dyDescent="0.35">
      <c r="A527" s="1">
        <v>45608</v>
      </c>
      <c r="B527" t="s">
        <v>1396</v>
      </c>
      <c r="C527">
        <v>2297.56</v>
      </c>
      <c r="D527">
        <v>93990</v>
      </c>
      <c r="E527">
        <v>1702</v>
      </c>
    </row>
    <row r="528" spans="1:5" x14ac:dyDescent="0.35">
      <c r="A528" s="1">
        <v>45609</v>
      </c>
      <c r="B528" t="s">
        <v>1396</v>
      </c>
      <c r="C528">
        <v>1848.85</v>
      </c>
      <c r="D528">
        <v>49404</v>
      </c>
      <c r="E528">
        <v>2427</v>
      </c>
    </row>
    <row r="529" spans="1:5" x14ac:dyDescent="0.35">
      <c r="A529" s="1">
        <v>45610</v>
      </c>
      <c r="B529" t="s">
        <v>1395</v>
      </c>
      <c r="C529">
        <v>750.34</v>
      </c>
      <c r="D529">
        <v>19527</v>
      </c>
      <c r="E529">
        <v>89</v>
      </c>
    </row>
    <row r="530" spans="1:5" x14ac:dyDescent="0.35">
      <c r="A530" s="1">
        <v>45610</v>
      </c>
      <c r="B530" t="s">
        <v>1398</v>
      </c>
      <c r="C530">
        <v>2267.9</v>
      </c>
      <c r="D530">
        <v>72684</v>
      </c>
      <c r="E530">
        <v>2928</v>
      </c>
    </row>
    <row r="531" spans="1:5" x14ac:dyDescent="0.35">
      <c r="A531" s="1">
        <v>45610</v>
      </c>
      <c r="B531" t="s">
        <v>1396</v>
      </c>
      <c r="C531">
        <v>122.23</v>
      </c>
      <c r="D531">
        <v>34756</v>
      </c>
      <c r="E531">
        <v>1252</v>
      </c>
    </row>
    <row r="532" spans="1:5" x14ac:dyDescent="0.35">
      <c r="A532" s="1">
        <v>45612</v>
      </c>
      <c r="B532" t="s">
        <v>1396</v>
      </c>
      <c r="C532">
        <v>732.88</v>
      </c>
      <c r="D532">
        <v>14815</v>
      </c>
      <c r="E532">
        <v>967</v>
      </c>
    </row>
    <row r="533" spans="1:5" x14ac:dyDescent="0.35">
      <c r="A533" s="1">
        <v>45613</v>
      </c>
      <c r="B533" t="s">
        <v>1398</v>
      </c>
      <c r="C533">
        <v>1009.22</v>
      </c>
      <c r="D533">
        <v>18900</v>
      </c>
      <c r="E533">
        <v>684</v>
      </c>
    </row>
    <row r="534" spans="1:5" x14ac:dyDescent="0.35">
      <c r="A534" s="1">
        <v>45614</v>
      </c>
      <c r="B534" t="s">
        <v>1398</v>
      </c>
      <c r="C534">
        <v>1172.8499999999999</v>
      </c>
      <c r="D534">
        <v>41697</v>
      </c>
      <c r="E534">
        <v>1789</v>
      </c>
    </row>
    <row r="535" spans="1:5" x14ac:dyDescent="0.35">
      <c r="A535" s="1">
        <v>45615</v>
      </c>
      <c r="B535" t="s">
        <v>1397</v>
      </c>
      <c r="C535">
        <v>125.8</v>
      </c>
      <c r="D535">
        <v>8193</v>
      </c>
      <c r="E535">
        <v>1172</v>
      </c>
    </row>
    <row r="536" spans="1:5" x14ac:dyDescent="0.35">
      <c r="A536" s="1">
        <v>45616</v>
      </c>
      <c r="B536" t="s">
        <v>1395</v>
      </c>
      <c r="C536">
        <v>55.42</v>
      </c>
      <c r="D536">
        <v>19925</v>
      </c>
      <c r="E536">
        <v>458</v>
      </c>
    </row>
    <row r="537" spans="1:5" x14ac:dyDescent="0.35">
      <c r="A537" s="1">
        <v>45616</v>
      </c>
      <c r="B537" t="s">
        <v>1397</v>
      </c>
      <c r="C537">
        <v>1439.12</v>
      </c>
      <c r="D537">
        <v>72677</v>
      </c>
      <c r="E537">
        <v>2150</v>
      </c>
    </row>
    <row r="538" spans="1:5" x14ac:dyDescent="0.35">
      <c r="A538" s="1">
        <v>45617</v>
      </c>
      <c r="B538" t="s">
        <v>1398</v>
      </c>
      <c r="C538">
        <v>764.02</v>
      </c>
      <c r="D538">
        <v>10963</v>
      </c>
      <c r="E538">
        <v>1316</v>
      </c>
    </row>
    <row r="539" spans="1:5" x14ac:dyDescent="0.35">
      <c r="A539" s="1">
        <v>45617</v>
      </c>
      <c r="B539" t="s">
        <v>1397</v>
      </c>
      <c r="C539">
        <v>1237.83</v>
      </c>
      <c r="D539">
        <v>64950</v>
      </c>
      <c r="E539">
        <v>1965</v>
      </c>
    </row>
    <row r="540" spans="1:5" x14ac:dyDescent="0.35">
      <c r="A540" s="1">
        <v>45617</v>
      </c>
      <c r="B540" t="s">
        <v>1396</v>
      </c>
      <c r="C540">
        <v>1178.2</v>
      </c>
      <c r="D540">
        <v>18623</v>
      </c>
      <c r="E540">
        <v>1560</v>
      </c>
    </row>
    <row r="541" spans="1:5" x14ac:dyDescent="0.35">
      <c r="A541" s="1">
        <v>45618</v>
      </c>
      <c r="B541" t="s">
        <v>1395</v>
      </c>
      <c r="C541">
        <v>657.53</v>
      </c>
      <c r="D541">
        <v>2790</v>
      </c>
      <c r="E541">
        <v>769</v>
      </c>
    </row>
    <row r="542" spans="1:5" x14ac:dyDescent="0.35">
      <c r="A542" s="1">
        <v>45618</v>
      </c>
      <c r="B542" t="s">
        <v>1398</v>
      </c>
      <c r="C542">
        <v>110.36</v>
      </c>
      <c r="D542">
        <v>29086</v>
      </c>
      <c r="E542">
        <v>706</v>
      </c>
    </row>
    <row r="543" spans="1:5" x14ac:dyDescent="0.35">
      <c r="A543" s="1">
        <v>45618</v>
      </c>
      <c r="B543" t="s">
        <v>1397</v>
      </c>
      <c r="C543">
        <v>2247.25</v>
      </c>
      <c r="D543">
        <v>71888</v>
      </c>
      <c r="E543">
        <v>2211</v>
      </c>
    </row>
    <row r="544" spans="1:5" x14ac:dyDescent="0.35">
      <c r="A544" s="1">
        <v>45619</v>
      </c>
      <c r="B544" t="s">
        <v>1395</v>
      </c>
      <c r="C544">
        <v>244.47</v>
      </c>
      <c r="D544">
        <v>67636</v>
      </c>
      <c r="E544">
        <v>1389</v>
      </c>
    </row>
    <row r="545" spans="1:5" x14ac:dyDescent="0.35">
      <c r="A545" s="1">
        <v>45619</v>
      </c>
      <c r="B545" t="s">
        <v>1398</v>
      </c>
      <c r="C545">
        <v>369.09</v>
      </c>
      <c r="D545">
        <v>22310</v>
      </c>
      <c r="E545">
        <v>191</v>
      </c>
    </row>
    <row r="546" spans="1:5" x14ac:dyDescent="0.35">
      <c r="A546" s="1">
        <v>45620</v>
      </c>
      <c r="B546" t="s">
        <v>1396</v>
      </c>
      <c r="C546">
        <v>1428.76</v>
      </c>
      <c r="D546">
        <v>77705</v>
      </c>
      <c r="E546">
        <v>1629</v>
      </c>
    </row>
    <row r="547" spans="1:5" x14ac:dyDescent="0.35">
      <c r="A547" s="1">
        <v>45621</v>
      </c>
      <c r="B547" t="s">
        <v>1395</v>
      </c>
      <c r="C547">
        <v>406.69</v>
      </c>
      <c r="D547">
        <v>30671</v>
      </c>
      <c r="E547">
        <v>1524</v>
      </c>
    </row>
    <row r="548" spans="1:5" x14ac:dyDescent="0.35">
      <c r="A548" s="1">
        <v>45621</v>
      </c>
      <c r="B548" t="s">
        <v>1398</v>
      </c>
      <c r="C548">
        <v>575.26</v>
      </c>
      <c r="D548">
        <v>21400</v>
      </c>
      <c r="E548">
        <v>570</v>
      </c>
    </row>
    <row r="549" spans="1:5" x14ac:dyDescent="0.35">
      <c r="A549" s="1">
        <v>45621</v>
      </c>
      <c r="B549" t="s">
        <v>1396</v>
      </c>
      <c r="C549">
        <v>953.68</v>
      </c>
      <c r="D549">
        <v>22888</v>
      </c>
      <c r="E549">
        <v>1456</v>
      </c>
    </row>
    <row r="550" spans="1:5" x14ac:dyDescent="0.35">
      <c r="A550" s="1">
        <v>45622</v>
      </c>
      <c r="B550" t="s">
        <v>1395</v>
      </c>
      <c r="C550">
        <v>1353.45</v>
      </c>
      <c r="D550">
        <v>52562</v>
      </c>
      <c r="E550">
        <v>2391</v>
      </c>
    </row>
    <row r="551" spans="1:5" x14ac:dyDescent="0.35">
      <c r="A551" s="1">
        <v>45622</v>
      </c>
      <c r="B551" t="s">
        <v>1398</v>
      </c>
      <c r="C551">
        <v>688.15</v>
      </c>
      <c r="D551">
        <v>34089</v>
      </c>
      <c r="E551">
        <v>621</v>
      </c>
    </row>
    <row r="552" spans="1:5" x14ac:dyDescent="0.35">
      <c r="A552" s="1">
        <v>45622</v>
      </c>
      <c r="B552" t="s">
        <v>1397</v>
      </c>
      <c r="C552">
        <v>586.1</v>
      </c>
      <c r="D552">
        <v>59254</v>
      </c>
      <c r="E552">
        <v>514</v>
      </c>
    </row>
    <row r="553" spans="1:5" x14ac:dyDescent="0.35">
      <c r="A553" s="1">
        <v>45623</v>
      </c>
      <c r="B553" t="s">
        <v>1396</v>
      </c>
      <c r="C553">
        <v>323.23</v>
      </c>
      <c r="D553">
        <v>20850</v>
      </c>
      <c r="E553">
        <v>1449</v>
      </c>
    </row>
    <row r="554" spans="1:5" x14ac:dyDescent="0.35">
      <c r="A554" s="1">
        <v>45624</v>
      </c>
      <c r="B554" t="s">
        <v>1398</v>
      </c>
      <c r="C554">
        <v>629.48</v>
      </c>
      <c r="D554">
        <v>43738</v>
      </c>
      <c r="E554">
        <v>690</v>
      </c>
    </row>
    <row r="555" spans="1:5" x14ac:dyDescent="0.35">
      <c r="A555" s="1">
        <v>45624</v>
      </c>
      <c r="B555" t="s">
        <v>1397</v>
      </c>
      <c r="C555">
        <v>960.09</v>
      </c>
      <c r="D555">
        <v>11017</v>
      </c>
      <c r="E555">
        <v>108</v>
      </c>
    </row>
    <row r="556" spans="1:5" x14ac:dyDescent="0.35">
      <c r="A556" s="1">
        <v>45625</v>
      </c>
      <c r="B556" t="s">
        <v>1398</v>
      </c>
      <c r="C556">
        <v>919.3</v>
      </c>
      <c r="D556">
        <v>20824</v>
      </c>
      <c r="E556">
        <v>687</v>
      </c>
    </row>
    <row r="557" spans="1:5" x14ac:dyDescent="0.35">
      <c r="A557" s="1">
        <v>45626</v>
      </c>
      <c r="B557" t="s">
        <v>1395</v>
      </c>
      <c r="C557">
        <v>168.04</v>
      </c>
      <c r="D557">
        <v>29023</v>
      </c>
      <c r="E557">
        <v>103</v>
      </c>
    </row>
    <row r="558" spans="1:5" x14ac:dyDescent="0.35">
      <c r="A558" s="1">
        <v>45626</v>
      </c>
      <c r="B558" t="s">
        <v>1398</v>
      </c>
      <c r="C558">
        <v>863.06</v>
      </c>
      <c r="D558">
        <v>20746</v>
      </c>
      <c r="E558">
        <v>2562</v>
      </c>
    </row>
    <row r="559" spans="1:5" x14ac:dyDescent="0.35">
      <c r="A559" s="1">
        <v>45626</v>
      </c>
      <c r="B559" t="s">
        <v>1397</v>
      </c>
      <c r="C559">
        <v>186.43</v>
      </c>
      <c r="D559">
        <v>37209</v>
      </c>
      <c r="E559">
        <v>834</v>
      </c>
    </row>
    <row r="560" spans="1:5" x14ac:dyDescent="0.35">
      <c r="A560" s="1">
        <v>45627</v>
      </c>
      <c r="B560" t="s">
        <v>1397</v>
      </c>
      <c r="C560">
        <v>266.61</v>
      </c>
      <c r="D560">
        <v>35901</v>
      </c>
      <c r="E560">
        <v>1597</v>
      </c>
    </row>
    <row r="561" spans="1:5" x14ac:dyDescent="0.35">
      <c r="A561" s="1">
        <v>45627</v>
      </c>
      <c r="B561" t="s">
        <v>1396</v>
      </c>
      <c r="C561">
        <v>1451.1</v>
      </c>
      <c r="D561">
        <v>44082</v>
      </c>
      <c r="E561">
        <v>2602</v>
      </c>
    </row>
    <row r="562" spans="1:5" x14ac:dyDescent="0.35">
      <c r="A562" s="1">
        <v>45628</v>
      </c>
      <c r="B562" t="s">
        <v>1395</v>
      </c>
      <c r="C562">
        <v>937.23</v>
      </c>
      <c r="D562">
        <v>23791</v>
      </c>
      <c r="E562">
        <v>303</v>
      </c>
    </row>
    <row r="563" spans="1:5" x14ac:dyDescent="0.35">
      <c r="A563" s="1">
        <v>45628</v>
      </c>
      <c r="B563" t="s">
        <v>1396</v>
      </c>
      <c r="C563">
        <v>634.94000000000005</v>
      </c>
      <c r="D563">
        <v>85741</v>
      </c>
      <c r="E563">
        <v>526</v>
      </c>
    </row>
    <row r="564" spans="1:5" x14ac:dyDescent="0.35">
      <c r="A564" s="1">
        <v>45629</v>
      </c>
      <c r="B564" t="s">
        <v>1397</v>
      </c>
      <c r="C564">
        <v>1133.74</v>
      </c>
      <c r="D564">
        <v>53762</v>
      </c>
      <c r="E564">
        <v>2261</v>
      </c>
    </row>
    <row r="565" spans="1:5" x14ac:dyDescent="0.35">
      <c r="A565" s="1">
        <v>45630</v>
      </c>
      <c r="B565" t="s">
        <v>1397</v>
      </c>
      <c r="C565">
        <v>2004.28</v>
      </c>
      <c r="D565">
        <v>122350</v>
      </c>
      <c r="E565">
        <v>4850</v>
      </c>
    </row>
    <row r="566" spans="1:5" x14ac:dyDescent="0.35">
      <c r="A566" s="1">
        <v>45630</v>
      </c>
      <c r="B566" t="s">
        <v>1396</v>
      </c>
      <c r="C566">
        <v>608.51</v>
      </c>
      <c r="D566">
        <v>30969</v>
      </c>
      <c r="E566">
        <v>878</v>
      </c>
    </row>
    <row r="567" spans="1:5" x14ac:dyDescent="0.35">
      <c r="A567" s="1">
        <v>45631</v>
      </c>
      <c r="B567" t="s">
        <v>1398</v>
      </c>
      <c r="C567">
        <v>322.29000000000002</v>
      </c>
      <c r="D567">
        <v>19104</v>
      </c>
      <c r="E567">
        <v>1772</v>
      </c>
    </row>
    <row r="568" spans="1:5" x14ac:dyDescent="0.35">
      <c r="A568" s="1">
        <v>45631</v>
      </c>
      <c r="B568" t="s">
        <v>1397</v>
      </c>
      <c r="C568">
        <v>1126.4100000000001</v>
      </c>
      <c r="D568">
        <v>62152</v>
      </c>
      <c r="E568">
        <v>1754</v>
      </c>
    </row>
    <row r="569" spans="1:5" x14ac:dyDescent="0.35">
      <c r="A569" s="1">
        <v>45632</v>
      </c>
      <c r="B569" t="s">
        <v>1395</v>
      </c>
      <c r="C569">
        <v>1115.46</v>
      </c>
      <c r="D569">
        <v>27398</v>
      </c>
      <c r="E569">
        <v>883</v>
      </c>
    </row>
    <row r="570" spans="1:5" x14ac:dyDescent="0.35">
      <c r="A570" s="1">
        <v>45632</v>
      </c>
      <c r="B570" t="s">
        <v>1397</v>
      </c>
      <c r="C570">
        <v>1268.9100000000001</v>
      </c>
      <c r="D570">
        <v>79176</v>
      </c>
      <c r="E570">
        <v>964</v>
      </c>
    </row>
    <row r="571" spans="1:5" x14ac:dyDescent="0.35">
      <c r="A571" s="1">
        <v>45633</v>
      </c>
      <c r="B571" t="s">
        <v>1395</v>
      </c>
      <c r="C571">
        <v>1083.74</v>
      </c>
      <c r="D571">
        <v>32490</v>
      </c>
      <c r="E571">
        <v>619</v>
      </c>
    </row>
    <row r="572" spans="1:5" x14ac:dyDescent="0.35">
      <c r="A572" s="1">
        <v>45633</v>
      </c>
      <c r="B572" t="s">
        <v>1396</v>
      </c>
      <c r="C572">
        <v>808.18</v>
      </c>
      <c r="D572">
        <v>3030</v>
      </c>
      <c r="E572">
        <v>43</v>
      </c>
    </row>
    <row r="573" spans="1:5" x14ac:dyDescent="0.35">
      <c r="A573" s="1">
        <v>45634</v>
      </c>
      <c r="B573" t="s">
        <v>1395</v>
      </c>
      <c r="C573">
        <v>928.99</v>
      </c>
      <c r="D573">
        <v>29026</v>
      </c>
      <c r="E573">
        <v>311</v>
      </c>
    </row>
    <row r="574" spans="1:5" x14ac:dyDescent="0.35">
      <c r="A574" s="1">
        <v>45635</v>
      </c>
      <c r="B574" t="s">
        <v>1395</v>
      </c>
      <c r="C574">
        <v>338.29</v>
      </c>
      <c r="D574">
        <v>14937</v>
      </c>
      <c r="E574">
        <v>1516</v>
      </c>
    </row>
    <row r="575" spans="1:5" x14ac:dyDescent="0.35">
      <c r="A575" s="1">
        <v>45635</v>
      </c>
      <c r="B575" t="s">
        <v>1398</v>
      </c>
      <c r="C575">
        <v>766.35</v>
      </c>
      <c r="D575">
        <v>66421</v>
      </c>
      <c r="E575">
        <v>822</v>
      </c>
    </row>
    <row r="576" spans="1:5" x14ac:dyDescent="0.35">
      <c r="A576" s="1">
        <v>45635</v>
      </c>
      <c r="B576" t="s">
        <v>1396</v>
      </c>
      <c r="C576">
        <v>656.87</v>
      </c>
      <c r="D576">
        <v>43884</v>
      </c>
      <c r="E576">
        <v>671</v>
      </c>
    </row>
    <row r="577" spans="1:5" x14ac:dyDescent="0.35">
      <c r="A577" s="1">
        <v>45636</v>
      </c>
      <c r="B577" t="s">
        <v>1395</v>
      </c>
      <c r="C577">
        <v>665.06</v>
      </c>
      <c r="D577">
        <v>44036</v>
      </c>
      <c r="E577">
        <v>1505</v>
      </c>
    </row>
    <row r="578" spans="1:5" x14ac:dyDescent="0.35">
      <c r="A578" s="1">
        <v>45636</v>
      </c>
      <c r="B578" t="s">
        <v>1398</v>
      </c>
      <c r="C578">
        <v>410.16</v>
      </c>
      <c r="D578">
        <v>17635</v>
      </c>
      <c r="E578">
        <v>655</v>
      </c>
    </row>
    <row r="579" spans="1:5" x14ac:dyDescent="0.35">
      <c r="A579" s="1">
        <v>45636</v>
      </c>
      <c r="B579" t="s">
        <v>1397</v>
      </c>
      <c r="C579">
        <v>1106.48</v>
      </c>
      <c r="D579">
        <v>40677</v>
      </c>
      <c r="E579">
        <v>203</v>
      </c>
    </row>
    <row r="580" spans="1:5" x14ac:dyDescent="0.35">
      <c r="A580" s="1">
        <v>45638</v>
      </c>
      <c r="B580" t="s">
        <v>1398</v>
      </c>
      <c r="C580">
        <v>494.39</v>
      </c>
      <c r="D580">
        <v>53483</v>
      </c>
      <c r="E580">
        <v>2314</v>
      </c>
    </row>
    <row r="581" spans="1:5" x14ac:dyDescent="0.35">
      <c r="A581" s="1">
        <v>45638</v>
      </c>
      <c r="B581" t="s">
        <v>1397</v>
      </c>
      <c r="C581">
        <v>1151</v>
      </c>
      <c r="D581">
        <v>2730</v>
      </c>
      <c r="E581">
        <v>1163</v>
      </c>
    </row>
    <row r="582" spans="1:5" x14ac:dyDescent="0.35">
      <c r="A582" s="1">
        <v>45638</v>
      </c>
      <c r="B582" t="s">
        <v>1396</v>
      </c>
      <c r="C582">
        <v>722.16</v>
      </c>
      <c r="D582">
        <v>2481</v>
      </c>
      <c r="E582">
        <v>1077</v>
      </c>
    </row>
    <row r="583" spans="1:5" x14ac:dyDescent="0.35">
      <c r="A583" s="1">
        <v>45639</v>
      </c>
      <c r="B583" t="s">
        <v>1398</v>
      </c>
      <c r="C583">
        <v>1621.29</v>
      </c>
      <c r="D583">
        <v>27779</v>
      </c>
      <c r="E583">
        <v>2111</v>
      </c>
    </row>
    <row r="584" spans="1:5" x14ac:dyDescent="0.35">
      <c r="A584" s="1">
        <v>45639</v>
      </c>
      <c r="B584" t="s">
        <v>1397</v>
      </c>
      <c r="C584">
        <v>1059.57</v>
      </c>
      <c r="D584">
        <v>32333</v>
      </c>
      <c r="E584">
        <v>942</v>
      </c>
    </row>
    <row r="585" spans="1:5" x14ac:dyDescent="0.35">
      <c r="A585" s="1">
        <v>45639</v>
      </c>
      <c r="B585" t="s">
        <v>1396</v>
      </c>
      <c r="C585">
        <v>376.77</v>
      </c>
      <c r="D585">
        <v>41498</v>
      </c>
      <c r="E585">
        <v>337</v>
      </c>
    </row>
    <row r="586" spans="1:5" x14ac:dyDescent="0.35">
      <c r="A586" s="1">
        <v>45641</v>
      </c>
      <c r="B586" t="s">
        <v>1395</v>
      </c>
      <c r="C586">
        <v>1145.96</v>
      </c>
      <c r="D586">
        <v>32252</v>
      </c>
      <c r="E586">
        <v>1480</v>
      </c>
    </row>
    <row r="587" spans="1:5" x14ac:dyDescent="0.35">
      <c r="A587" s="1">
        <v>45642</v>
      </c>
      <c r="B587" t="s">
        <v>1395</v>
      </c>
      <c r="C587">
        <v>801.8</v>
      </c>
      <c r="D587">
        <v>44591</v>
      </c>
      <c r="E587">
        <v>1585</v>
      </c>
    </row>
    <row r="588" spans="1:5" x14ac:dyDescent="0.35">
      <c r="A588" s="1">
        <v>45642</v>
      </c>
      <c r="B588" t="s">
        <v>1397</v>
      </c>
      <c r="C588">
        <v>1160.71</v>
      </c>
      <c r="D588">
        <v>5525</v>
      </c>
      <c r="E588">
        <v>56</v>
      </c>
    </row>
    <row r="589" spans="1:5" x14ac:dyDescent="0.35">
      <c r="A589" s="1">
        <v>45642</v>
      </c>
      <c r="B589" t="s">
        <v>1396</v>
      </c>
      <c r="C589">
        <v>1177.94</v>
      </c>
      <c r="D589">
        <v>33361</v>
      </c>
      <c r="E589">
        <v>1323</v>
      </c>
    </row>
    <row r="590" spans="1:5" x14ac:dyDescent="0.35">
      <c r="A590" s="1">
        <v>45643</v>
      </c>
      <c r="B590" t="s">
        <v>1398</v>
      </c>
      <c r="C590">
        <v>237.05</v>
      </c>
      <c r="D590">
        <v>6830</v>
      </c>
      <c r="E590">
        <v>1666</v>
      </c>
    </row>
    <row r="591" spans="1:5" x14ac:dyDescent="0.35">
      <c r="A591" s="1">
        <v>45643</v>
      </c>
      <c r="B591" t="s">
        <v>1396</v>
      </c>
      <c r="C591">
        <v>127.2</v>
      </c>
      <c r="D591">
        <v>7594</v>
      </c>
      <c r="E591">
        <v>220</v>
      </c>
    </row>
    <row r="592" spans="1:5" x14ac:dyDescent="0.35">
      <c r="A592" s="1">
        <v>45644</v>
      </c>
      <c r="B592" t="s">
        <v>1395</v>
      </c>
      <c r="C592">
        <v>1740.19</v>
      </c>
      <c r="D592">
        <v>71400</v>
      </c>
      <c r="E592">
        <v>1642</v>
      </c>
    </row>
    <row r="593" spans="1:5" x14ac:dyDescent="0.35">
      <c r="A593" s="1">
        <v>45644</v>
      </c>
      <c r="B593" t="s">
        <v>1398</v>
      </c>
      <c r="C593">
        <v>1064.47</v>
      </c>
      <c r="D593">
        <v>21783</v>
      </c>
      <c r="E593">
        <v>355</v>
      </c>
    </row>
    <row r="594" spans="1:5" x14ac:dyDescent="0.35">
      <c r="A594" s="1">
        <v>45645</v>
      </c>
      <c r="B594" t="s">
        <v>1397</v>
      </c>
      <c r="C594">
        <v>299.86</v>
      </c>
      <c r="D594">
        <v>31143</v>
      </c>
      <c r="E594">
        <v>513</v>
      </c>
    </row>
    <row r="595" spans="1:5" x14ac:dyDescent="0.35">
      <c r="A595" s="1">
        <v>45646</v>
      </c>
      <c r="B595" t="s">
        <v>1398</v>
      </c>
      <c r="C595">
        <v>879.36</v>
      </c>
      <c r="D595">
        <v>4863</v>
      </c>
      <c r="E595">
        <v>871</v>
      </c>
    </row>
    <row r="596" spans="1:5" x14ac:dyDescent="0.35">
      <c r="A596" s="1">
        <v>45646</v>
      </c>
      <c r="B596" t="s">
        <v>1397</v>
      </c>
      <c r="C596">
        <v>751.59</v>
      </c>
      <c r="D596">
        <v>14600</v>
      </c>
      <c r="E596">
        <v>534</v>
      </c>
    </row>
    <row r="597" spans="1:5" x14ac:dyDescent="0.35">
      <c r="A597" s="1">
        <v>45646</v>
      </c>
      <c r="B597" t="s">
        <v>1396</v>
      </c>
      <c r="C597">
        <v>1147.6400000000001</v>
      </c>
      <c r="D597">
        <v>61593</v>
      </c>
      <c r="E597">
        <v>2042</v>
      </c>
    </row>
    <row r="598" spans="1:5" x14ac:dyDescent="0.35">
      <c r="A598" s="1">
        <v>45647</v>
      </c>
      <c r="B598" t="s">
        <v>1397</v>
      </c>
      <c r="C598">
        <v>408.91</v>
      </c>
      <c r="D598">
        <v>8731</v>
      </c>
      <c r="E598">
        <v>815</v>
      </c>
    </row>
    <row r="599" spans="1:5" x14ac:dyDescent="0.35">
      <c r="A599" s="1">
        <v>45647</v>
      </c>
      <c r="B599" t="s">
        <v>1396</v>
      </c>
      <c r="C599">
        <v>1162.93</v>
      </c>
      <c r="D599">
        <v>17887</v>
      </c>
      <c r="E599">
        <v>697</v>
      </c>
    </row>
    <row r="600" spans="1:5" x14ac:dyDescent="0.35">
      <c r="A600" s="1">
        <v>45648</v>
      </c>
      <c r="B600" t="s">
        <v>1395</v>
      </c>
      <c r="C600">
        <v>148.56</v>
      </c>
      <c r="D600">
        <v>24530</v>
      </c>
      <c r="E600">
        <v>1685</v>
      </c>
    </row>
    <row r="601" spans="1:5" x14ac:dyDescent="0.35">
      <c r="A601" s="1">
        <v>45648</v>
      </c>
      <c r="B601" t="s">
        <v>1396</v>
      </c>
      <c r="C601">
        <v>416.75</v>
      </c>
      <c r="D601">
        <v>21678</v>
      </c>
      <c r="E601">
        <v>121</v>
      </c>
    </row>
    <row r="602" spans="1:5" x14ac:dyDescent="0.35">
      <c r="A602" s="1">
        <v>45649</v>
      </c>
      <c r="B602" t="s">
        <v>1397</v>
      </c>
      <c r="C602">
        <v>1101.08</v>
      </c>
      <c r="D602">
        <v>3848</v>
      </c>
      <c r="E602">
        <v>1470</v>
      </c>
    </row>
    <row r="603" spans="1:5" x14ac:dyDescent="0.35">
      <c r="A603" s="1">
        <v>45650</v>
      </c>
      <c r="B603" t="s">
        <v>1395</v>
      </c>
      <c r="C603">
        <v>461.36</v>
      </c>
      <c r="D603">
        <v>34953</v>
      </c>
      <c r="E603">
        <v>247</v>
      </c>
    </row>
    <row r="604" spans="1:5" x14ac:dyDescent="0.35">
      <c r="A604" s="1">
        <v>45650</v>
      </c>
      <c r="B604" t="s">
        <v>1398</v>
      </c>
      <c r="C604">
        <v>708.94</v>
      </c>
      <c r="D604">
        <v>43290</v>
      </c>
      <c r="E604">
        <v>2321</v>
      </c>
    </row>
    <row r="605" spans="1:5" x14ac:dyDescent="0.35">
      <c r="A605" s="1">
        <v>45650</v>
      </c>
      <c r="B605" t="s">
        <v>1397</v>
      </c>
      <c r="C605">
        <v>1214.92</v>
      </c>
      <c r="D605">
        <v>66875</v>
      </c>
      <c r="E605">
        <v>913</v>
      </c>
    </row>
    <row r="606" spans="1:5" x14ac:dyDescent="0.35">
      <c r="A606" s="1">
        <v>45650</v>
      </c>
      <c r="B606" t="s">
        <v>1396</v>
      </c>
      <c r="C606">
        <v>179.4</v>
      </c>
      <c r="D606">
        <v>11806</v>
      </c>
      <c r="E606">
        <v>333</v>
      </c>
    </row>
    <row r="607" spans="1:5" x14ac:dyDescent="0.35">
      <c r="A607" s="1">
        <v>45651</v>
      </c>
      <c r="B607" t="s">
        <v>1395</v>
      </c>
      <c r="C607">
        <v>1030.71</v>
      </c>
      <c r="D607">
        <v>44658</v>
      </c>
      <c r="E607">
        <v>1604</v>
      </c>
    </row>
    <row r="608" spans="1:5" x14ac:dyDescent="0.35">
      <c r="A608" s="1">
        <v>45651</v>
      </c>
      <c r="B608" t="s">
        <v>1398</v>
      </c>
      <c r="C608">
        <v>286.32</v>
      </c>
      <c r="D608">
        <v>43308</v>
      </c>
      <c r="E608">
        <v>49</v>
      </c>
    </row>
    <row r="609" spans="1:5" x14ac:dyDescent="0.35">
      <c r="A609" s="1">
        <v>45652</v>
      </c>
      <c r="B609" t="s">
        <v>1395</v>
      </c>
      <c r="C609">
        <v>843.29</v>
      </c>
      <c r="D609">
        <v>68318</v>
      </c>
      <c r="E609">
        <v>700</v>
      </c>
    </row>
    <row r="610" spans="1:5" x14ac:dyDescent="0.35">
      <c r="A610" s="1">
        <v>45652</v>
      </c>
      <c r="B610" t="s">
        <v>1398</v>
      </c>
      <c r="C610">
        <v>1930.89</v>
      </c>
      <c r="D610">
        <v>94124</v>
      </c>
      <c r="E610">
        <v>3033</v>
      </c>
    </row>
    <row r="611" spans="1:5" x14ac:dyDescent="0.35">
      <c r="A611" s="1">
        <v>45652</v>
      </c>
      <c r="B611" t="s">
        <v>1397</v>
      </c>
      <c r="C611">
        <v>382.73</v>
      </c>
      <c r="D611">
        <v>19520</v>
      </c>
      <c r="E611">
        <v>1787</v>
      </c>
    </row>
    <row r="612" spans="1:5" x14ac:dyDescent="0.35">
      <c r="A612" s="1">
        <v>45653</v>
      </c>
      <c r="B612" t="s">
        <v>1396</v>
      </c>
      <c r="C612">
        <v>565.89</v>
      </c>
      <c r="D612">
        <v>2344</v>
      </c>
      <c r="E612">
        <v>192</v>
      </c>
    </row>
    <row r="613" spans="1:5" x14ac:dyDescent="0.35">
      <c r="A613" s="1">
        <v>45654</v>
      </c>
      <c r="B613" t="s">
        <v>1398</v>
      </c>
      <c r="C613">
        <v>976.64</v>
      </c>
      <c r="D613">
        <v>5776</v>
      </c>
      <c r="E613">
        <v>1181</v>
      </c>
    </row>
    <row r="614" spans="1:5" x14ac:dyDescent="0.35">
      <c r="A614" s="1">
        <v>45654</v>
      </c>
      <c r="B614" t="s">
        <v>1397</v>
      </c>
      <c r="C614">
        <v>563.62</v>
      </c>
      <c r="D614">
        <v>19380</v>
      </c>
      <c r="E614">
        <v>459</v>
      </c>
    </row>
    <row r="615" spans="1:5" x14ac:dyDescent="0.35">
      <c r="A615" s="1">
        <v>45655</v>
      </c>
      <c r="B615" t="s">
        <v>1395</v>
      </c>
      <c r="C615">
        <v>1000.86</v>
      </c>
      <c r="D615">
        <v>63332</v>
      </c>
      <c r="E615">
        <v>2370</v>
      </c>
    </row>
    <row r="616" spans="1:5" x14ac:dyDescent="0.35">
      <c r="A616" s="1">
        <v>45656</v>
      </c>
      <c r="B616" t="s">
        <v>1398</v>
      </c>
      <c r="C616">
        <v>900.6</v>
      </c>
      <c r="D616">
        <v>22753</v>
      </c>
      <c r="E616">
        <v>768</v>
      </c>
    </row>
    <row r="617" spans="1:5" x14ac:dyDescent="0.35">
      <c r="A617" s="1">
        <v>45656</v>
      </c>
      <c r="B617" t="s">
        <v>1397</v>
      </c>
      <c r="C617">
        <v>156.97999999999999</v>
      </c>
      <c r="D617">
        <v>17169</v>
      </c>
      <c r="E617">
        <v>1761</v>
      </c>
    </row>
    <row r="618" spans="1:5" x14ac:dyDescent="0.35">
      <c r="A618" s="1">
        <v>45656</v>
      </c>
      <c r="B618" t="s">
        <v>1396</v>
      </c>
      <c r="C618">
        <v>134.51</v>
      </c>
      <c r="D618">
        <v>7294</v>
      </c>
      <c r="E618">
        <v>689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6"/>
  <sheetViews>
    <sheetView workbookViewId="0"/>
  </sheetViews>
  <sheetFormatPr defaultRowHeight="14.5" x14ac:dyDescent="0.35"/>
  <cols>
    <col min="1" max="1" width="11.453125" customWidth="1"/>
    <col min="2" max="2" width="9.81640625" customWidth="1"/>
    <col min="3" max="3" width="12.7265625" customWidth="1"/>
    <col min="4" max="4" width="17" customWidth="1"/>
  </cols>
  <sheetData>
    <row r="1" spans="1:4" x14ac:dyDescent="0.35">
      <c r="A1" t="s">
        <v>1399</v>
      </c>
      <c r="B1" t="s">
        <v>6</v>
      </c>
      <c r="C1" t="s">
        <v>7</v>
      </c>
      <c r="D1" t="s">
        <v>8</v>
      </c>
    </row>
    <row r="2" spans="1:4" x14ac:dyDescent="0.35">
      <c r="A2" s="1">
        <v>45292</v>
      </c>
      <c r="B2">
        <v>904</v>
      </c>
      <c r="C2">
        <v>1808</v>
      </c>
      <c r="D2">
        <v>1.3599999999999999E-2</v>
      </c>
    </row>
    <row r="3" spans="1:4" x14ac:dyDescent="0.35">
      <c r="A3" s="1">
        <v>45293</v>
      </c>
      <c r="B3">
        <v>531</v>
      </c>
      <c r="C3">
        <v>1593</v>
      </c>
      <c r="D3">
        <v>2.6100000000000002E-2</v>
      </c>
    </row>
    <row r="4" spans="1:4" x14ac:dyDescent="0.35">
      <c r="A4" s="1">
        <v>45294</v>
      </c>
      <c r="B4">
        <v>1004</v>
      </c>
      <c r="C4">
        <v>2008</v>
      </c>
      <c r="D4">
        <v>5.4600000000000003E-2</v>
      </c>
    </row>
    <row r="5" spans="1:4" x14ac:dyDescent="0.35">
      <c r="A5" s="1">
        <v>45295</v>
      </c>
      <c r="B5">
        <v>1163</v>
      </c>
      <c r="C5">
        <v>6978</v>
      </c>
      <c r="D5">
        <v>1.7500000000000002E-2</v>
      </c>
    </row>
    <row r="6" spans="1:4" x14ac:dyDescent="0.35">
      <c r="A6" s="1">
        <v>45296</v>
      </c>
      <c r="B6">
        <v>682</v>
      </c>
      <c r="C6">
        <v>1364</v>
      </c>
      <c r="D6">
        <v>1.3899999999999999E-2</v>
      </c>
    </row>
    <row r="7" spans="1:4" x14ac:dyDescent="0.35">
      <c r="A7" s="1">
        <v>45297</v>
      </c>
      <c r="B7">
        <v>473</v>
      </c>
      <c r="C7">
        <v>1419</v>
      </c>
      <c r="D7">
        <v>4.3799999999999999E-2</v>
      </c>
    </row>
    <row r="8" spans="1:4" x14ac:dyDescent="0.35">
      <c r="A8" s="1">
        <v>45298</v>
      </c>
      <c r="B8">
        <v>277</v>
      </c>
      <c r="C8">
        <v>1662</v>
      </c>
      <c r="D8">
        <v>2.4500000000000001E-2</v>
      </c>
    </row>
    <row r="9" spans="1:4" x14ac:dyDescent="0.35">
      <c r="A9" s="1">
        <v>45299</v>
      </c>
      <c r="B9">
        <v>915</v>
      </c>
      <c r="C9">
        <v>5490</v>
      </c>
      <c r="D9">
        <v>3.8399999999999997E-2</v>
      </c>
    </row>
    <row r="10" spans="1:4" x14ac:dyDescent="0.35">
      <c r="A10" s="1">
        <v>45300</v>
      </c>
      <c r="B10">
        <v>709</v>
      </c>
      <c r="C10">
        <v>4254</v>
      </c>
      <c r="D10">
        <v>2.9499999999999998E-2</v>
      </c>
    </row>
    <row r="11" spans="1:4" x14ac:dyDescent="0.35">
      <c r="A11" s="1">
        <v>45301</v>
      </c>
      <c r="B11">
        <v>1140</v>
      </c>
      <c r="C11">
        <v>2280</v>
      </c>
      <c r="D11">
        <v>5.9799999999999999E-2</v>
      </c>
    </row>
    <row r="12" spans="1:4" x14ac:dyDescent="0.35">
      <c r="A12" s="1">
        <v>45302</v>
      </c>
      <c r="B12">
        <v>413</v>
      </c>
      <c r="C12">
        <v>2065</v>
      </c>
      <c r="D12">
        <v>3.3399999999999999E-2</v>
      </c>
    </row>
    <row r="13" spans="1:4" x14ac:dyDescent="0.35">
      <c r="A13" s="1">
        <v>45303</v>
      </c>
      <c r="B13">
        <v>409</v>
      </c>
      <c r="C13">
        <v>1227</v>
      </c>
      <c r="D13">
        <v>7.2300000000000003E-2</v>
      </c>
    </row>
    <row r="14" spans="1:4" x14ac:dyDescent="0.35">
      <c r="A14" s="1">
        <v>45304</v>
      </c>
      <c r="B14">
        <v>594</v>
      </c>
      <c r="C14">
        <v>1188</v>
      </c>
      <c r="D14">
        <v>1.78E-2</v>
      </c>
    </row>
    <row r="15" spans="1:4" x14ac:dyDescent="0.35">
      <c r="A15" s="1">
        <v>45305</v>
      </c>
      <c r="B15">
        <v>349</v>
      </c>
      <c r="C15">
        <v>1396</v>
      </c>
      <c r="D15">
        <v>6.54E-2</v>
      </c>
    </row>
    <row r="16" spans="1:4" x14ac:dyDescent="0.35">
      <c r="A16" s="1">
        <v>45306</v>
      </c>
      <c r="B16">
        <v>868</v>
      </c>
      <c r="C16">
        <v>3472</v>
      </c>
      <c r="D16">
        <v>6.2799999999999995E-2</v>
      </c>
    </row>
    <row r="17" spans="1:4" x14ac:dyDescent="0.35">
      <c r="A17" s="1">
        <v>45307</v>
      </c>
      <c r="B17">
        <v>997</v>
      </c>
      <c r="C17">
        <v>4985</v>
      </c>
      <c r="D17">
        <v>4.58E-2</v>
      </c>
    </row>
    <row r="18" spans="1:4" x14ac:dyDescent="0.35">
      <c r="A18" s="1">
        <v>45308</v>
      </c>
      <c r="B18">
        <v>1194</v>
      </c>
      <c r="C18">
        <v>5970</v>
      </c>
      <c r="D18">
        <v>1.7000000000000001E-2</v>
      </c>
    </row>
    <row r="19" spans="1:4" x14ac:dyDescent="0.35">
      <c r="A19" s="1">
        <v>45309</v>
      </c>
      <c r="B19">
        <v>550</v>
      </c>
      <c r="C19">
        <v>3300</v>
      </c>
      <c r="D19">
        <v>6.7799999999999999E-2</v>
      </c>
    </row>
    <row r="20" spans="1:4" x14ac:dyDescent="0.35">
      <c r="A20" s="1">
        <v>45310</v>
      </c>
      <c r="B20">
        <v>620</v>
      </c>
      <c r="C20">
        <v>3720</v>
      </c>
      <c r="D20">
        <v>2.41E-2</v>
      </c>
    </row>
    <row r="21" spans="1:4" x14ac:dyDescent="0.35">
      <c r="A21" s="1">
        <v>45311</v>
      </c>
      <c r="B21">
        <v>321</v>
      </c>
      <c r="C21">
        <v>642</v>
      </c>
      <c r="D21">
        <v>5.3699999999999998E-2</v>
      </c>
    </row>
    <row r="22" spans="1:4" x14ac:dyDescent="0.35">
      <c r="A22" s="1">
        <v>45312</v>
      </c>
      <c r="B22">
        <v>1041</v>
      </c>
      <c r="C22">
        <v>4164</v>
      </c>
      <c r="D22">
        <v>7.4099999999999999E-2</v>
      </c>
    </row>
    <row r="23" spans="1:4" x14ac:dyDescent="0.35">
      <c r="A23" s="1">
        <v>45313</v>
      </c>
      <c r="B23">
        <v>1125</v>
      </c>
      <c r="C23">
        <v>3375</v>
      </c>
      <c r="D23">
        <v>6.6600000000000006E-2</v>
      </c>
    </row>
    <row r="24" spans="1:4" x14ac:dyDescent="0.35">
      <c r="A24" s="1">
        <v>45314</v>
      </c>
      <c r="B24">
        <v>639</v>
      </c>
      <c r="C24">
        <v>2556</v>
      </c>
      <c r="D24">
        <v>4.0599999999999997E-2</v>
      </c>
    </row>
    <row r="25" spans="1:4" x14ac:dyDescent="0.35">
      <c r="A25" s="1">
        <v>45315</v>
      </c>
      <c r="B25">
        <v>1104</v>
      </c>
      <c r="C25">
        <v>4416</v>
      </c>
      <c r="D25">
        <v>2.2200000000000001E-2</v>
      </c>
    </row>
    <row r="26" spans="1:4" x14ac:dyDescent="0.35">
      <c r="A26" s="1">
        <v>45316</v>
      </c>
      <c r="B26">
        <v>613</v>
      </c>
      <c r="C26">
        <v>1839</v>
      </c>
      <c r="D26">
        <v>5.4199999999999998E-2</v>
      </c>
    </row>
    <row r="27" spans="1:4" x14ac:dyDescent="0.35">
      <c r="A27" s="1">
        <v>45317</v>
      </c>
      <c r="B27">
        <v>968</v>
      </c>
      <c r="C27">
        <v>1936</v>
      </c>
      <c r="D27">
        <v>5.04E-2</v>
      </c>
    </row>
    <row r="28" spans="1:4" x14ac:dyDescent="0.35">
      <c r="A28" s="1">
        <v>45318</v>
      </c>
      <c r="B28">
        <v>425</v>
      </c>
      <c r="C28">
        <v>2550</v>
      </c>
      <c r="D28">
        <v>5.79E-2</v>
      </c>
    </row>
    <row r="29" spans="1:4" x14ac:dyDescent="0.35">
      <c r="A29" s="1">
        <v>45319</v>
      </c>
      <c r="B29">
        <v>417</v>
      </c>
      <c r="C29">
        <v>2085</v>
      </c>
      <c r="D29">
        <v>3.5900000000000001E-2</v>
      </c>
    </row>
    <row r="30" spans="1:4" x14ac:dyDescent="0.35">
      <c r="A30" s="1">
        <v>45320</v>
      </c>
      <c r="B30">
        <v>1197</v>
      </c>
      <c r="C30">
        <v>7182</v>
      </c>
      <c r="D30">
        <v>2.58E-2</v>
      </c>
    </row>
    <row r="31" spans="1:4" x14ac:dyDescent="0.35">
      <c r="A31" s="1">
        <v>45321</v>
      </c>
      <c r="B31">
        <v>582</v>
      </c>
      <c r="C31">
        <v>1164</v>
      </c>
      <c r="D31">
        <v>2.64E-2</v>
      </c>
    </row>
    <row r="32" spans="1:4" x14ac:dyDescent="0.35">
      <c r="A32" s="1">
        <v>45322</v>
      </c>
      <c r="B32">
        <v>282</v>
      </c>
      <c r="C32">
        <v>1128</v>
      </c>
      <c r="D32">
        <v>3.73E-2</v>
      </c>
    </row>
    <row r="33" spans="1:4" x14ac:dyDescent="0.35">
      <c r="A33" s="1">
        <v>45323</v>
      </c>
      <c r="B33">
        <v>317</v>
      </c>
      <c r="C33">
        <v>951</v>
      </c>
      <c r="D33">
        <v>6.9500000000000006E-2</v>
      </c>
    </row>
    <row r="34" spans="1:4" x14ac:dyDescent="0.35">
      <c r="A34" s="1">
        <v>45324</v>
      </c>
      <c r="B34">
        <v>830</v>
      </c>
      <c r="C34">
        <v>3320</v>
      </c>
      <c r="D34">
        <v>2.5399999999999999E-2</v>
      </c>
    </row>
    <row r="35" spans="1:4" x14ac:dyDescent="0.35">
      <c r="A35" s="1">
        <v>45325</v>
      </c>
      <c r="B35">
        <v>761</v>
      </c>
      <c r="C35">
        <v>3805</v>
      </c>
      <c r="D35">
        <v>6.7699999999999996E-2</v>
      </c>
    </row>
    <row r="36" spans="1:4" x14ac:dyDescent="0.35">
      <c r="A36" s="1">
        <v>45326</v>
      </c>
      <c r="B36">
        <v>908</v>
      </c>
      <c r="C36">
        <v>4540</v>
      </c>
      <c r="D36">
        <v>2.1000000000000001E-2</v>
      </c>
    </row>
    <row r="37" spans="1:4" x14ac:dyDescent="0.35">
      <c r="A37" s="1">
        <v>45327</v>
      </c>
      <c r="B37">
        <v>392</v>
      </c>
      <c r="C37">
        <v>1176</v>
      </c>
      <c r="D37">
        <v>5.8900000000000001E-2</v>
      </c>
    </row>
    <row r="38" spans="1:4" x14ac:dyDescent="0.35">
      <c r="A38" s="1">
        <v>45328</v>
      </c>
      <c r="B38">
        <v>801</v>
      </c>
      <c r="C38">
        <v>3204</v>
      </c>
      <c r="D38">
        <v>5.91E-2</v>
      </c>
    </row>
    <row r="39" spans="1:4" x14ac:dyDescent="0.35">
      <c r="A39" s="1">
        <v>45329</v>
      </c>
      <c r="B39">
        <v>688</v>
      </c>
      <c r="C39">
        <v>4128</v>
      </c>
      <c r="D39">
        <v>3.7199999999999997E-2</v>
      </c>
    </row>
    <row r="40" spans="1:4" x14ac:dyDescent="0.35">
      <c r="A40" s="1">
        <v>45330</v>
      </c>
      <c r="B40">
        <v>474</v>
      </c>
      <c r="C40">
        <v>1422</v>
      </c>
      <c r="D40">
        <v>4.41E-2</v>
      </c>
    </row>
    <row r="41" spans="1:4" x14ac:dyDescent="0.35">
      <c r="A41" s="1">
        <v>45331</v>
      </c>
      <c r="B41">
        <v>343</v>
      </c>
      <c r="C41">
        <v>686</v>
      </c>
      <c r="D41">
        <v>6.6199999999999995E-2</v>
      </c>
    </row>
    <row r="42" spans="1:4" x14ac:dyDescent="0.35">
      <c r="A42" s="1">
        <v>45332</v>
      </c>
      <c r="B42">
        <v>406</v>
      </c>
      <c r="C42">
        <v>1218</v>
      </c>
      <c r="D42">
        <v>6.1899999999999997E-2</v>
      </c>
    </row>
    <row r="43" spans="1:4" x14ac:dyDescent="0.35">
      <c r="A43" s="1">
        <v>45333</v>
      </c>
      <c r="B43">
        <v>682</v>
      </c>
      <c r="C43">
        <v>4092</v>
      </c>
      <c r="D43">
        <v>1.6E-2</v>
      </c>
    </row>
    <row r="44" spans="1:4" x14ac:dyDescent="0.35">
      <c r="A44" s="1">
        <v>45334</v>
      </c>
      <c r="B44">
        <v>640</v>
      </c>
      <c r="C44">
        <v>3840</v>
      </c>
      <c r="D44">
        <v>7.4800000000000005E-2</v>
      </c>
    </row>
    <row r="45" spans="1:4" x14ac:dyDescent="0.35">
      <c r="A45" s="1">
        <v>45335</v>
      </c>
      <c r="B45">
        <v>791</v>
      </c>
      <c r="C45">
        <v>3164</v>
      </c>
      <c r="D45">
        <v>7.3200000000000001E-2</v>
      </c>
    </row>
    <row r="46" spans="1:4" x14ac:dyDescent="0.35">
      <c r="A46" s="1">
        <v>45336</v>
      </c>
      <c r="B46">
        <v>1131</v>
      </c>
      <c r="C46">
        <v>2262</v>
      </c>
      <c r="D46">
        <v>5.4899999999999997E-2</v>
      </c>
    </row>
    <row r="47" spans="1:4" x14ac:dyDescent="0.35">
      <c r="A47" s="1">
        <v>45337</v>
      </c>
      <c r="B47">
        <v>367</v>
      </c>
      <c r="C47">
        <v>2202</v>
      </c>
      <c r="D47">
        <v>5.9299999999999999E-2</v>
      </c>
    </row>
    <row r="48" spans="1:4" x14ac:dyDescent="0.35">
      <c r="A48" s="1">
        <v>45338</v>
      </c>
      <c r="B48">
        <v>1037</v>
      </c>
      <c r="C48">
        <v>4148</v>
      </c>
      <c r="D48">
        <v>1.9E-2</v>
      </c>
    </row>
    <row r="49" spans="1:4" x14ac:dyDescent="0.35">
      <c r="A49" s="1">
        <v>45339</v>
      </c>
      <c r="B49">
        <v>695</v>
      </c>
      <c r="C49">
        <v>2085</v>
      </c>
      <c r="D49">
        <v>4.0599999999999997E-2</v>
      </c>
    </row>
    <row r="50" spans="1:4" x14ac:dyDescent="0.35">
      <c r="A50" s="1">
        <v>45340</v>
      </c>
      <c r="B50">
        <v>989</v>
      </c>
      <c r="C50">
        <v>3956</v>
      </c>
      <c r="D50">
        <v>7.3200000000000001E-2</v>
      </c>
    </row>
    <row r="51" spans="1:4" x14ac:dyDescent="0.35">
      <c r="A51" s="1">
        <v>45341</v>
      </c>
      <c r="B51">
        <v>1030</v>
      </c>
      <c r="C51">
        <v>3090</v>
      </c>
      <c r="D51">
        <v>4.3999999999999997E-2</v>
      </c>
    </row>
    <row r="52" spans="1:4" x14ac:dyDescent="0.35">
      <c r="A52" s="1">
        <v>45342</v>
      </c>
      <c r="B52">
        <v>358</v>
      </c>
      <c r="C52">
        <v>1432</v>
      </c>
      <c r="D52">
        <v>6.5000000000000002E-2</v>
      </c>
    </row>
    <row r="53" spans="1:4" x14ac:dyDescent="0.35">
      <c r="A53" s="1">
        <v>45343</v>
      </c>
      <c r="B53">
        <v>769</v>
      </c>
      <c r="C53">
        <v>4614</v>
      </c>
      <c r="D53">
        <v>2.4500000000000001E-2</v>
      </c>
    </row>
    <row r="54" spans="1:4" x14ac:dyDescent="0.35">
      <c r="A54" s="1">
        <v>45344</v>
      </c>
      <c r="B54">
        <v>632</v>
      </c>
      <c r="C54">
        <v>1896</v>
      </c>
      <c r="D54">
        <v>4.5999999999999999E-2</v>
      </c>
    </row>
    <row r="55" spans="1:4" x14ac:dyDescent="0.35">
      <c r="A55" s="1">
        <v>45345</v>
      </c>
      <c r="B55">
        <v>1047</v>
      </c>
      <c r="C55">
        <v>6282</v>
      </c>
      <c r="D55">
        <v>6.9900000000000004E-2</v>
      </c>
    </row>
    <row r="56" spans="1:4" x14ac:dyDescent="0.35">
      <c r="A56" s="1">
        <v>45346</v>
      </c>
      <c r="B56">
        <v>863</v>
      </c>
      <c r="C56">
        <v>3452</v>
      </c>
      <c r="D56">
        <v>4.2799999999999998E-2</v>
      </c>
    </row>
    <row r="57" spans="1:4" x14ac:dyDescent="0.35">
      <c r="A57" s="1">
        <v>45347</v>
      </c>
      <c r="B57">
        <v>364</v>
      </c>
      <c r="C57">
        <v>1456</v>
      </c>
      <c r="D57">
        <v>6.7400000000000002E-2</v>
      </c>
    </row>
    <row r="58" spans="1:4" x14ac:dyDescent="0.35">
      <c r="A58" s="1">
        <v>45348</v>
      </c>
      <c r="B58">
        <v>1101</v>
      </c>
      <c r="C58">
        <v>4404</v>
      </c>
      <c r="D58">
        <v>2.7099999999999999E-2</v>
      </c>
    </row>
    <row r="59" spans="1:4" x14ac:dyDescent="0.35">
      <c r="A59" s="1">
        <v>45349</v>
      </c>
      <c r="B59">
        <v>496</v>
      </c>
      <c r="C59">
        <v>2976</v>
      </c>
      <c r="D59">
        <v>7.17E-2</v>
      </c>
    </row>
    <row r="60" spans="1:4" x14ac:dyDescent="0.35">
      <c r="A60" s="1">
        <v>45350</v>
      </c>
      <c r="B60">
        <v>337</v>
      </c>
      <c r="C60">
        <v>1685</v>
      </c>
      <c r="D60">
        <v>6.3399999999999998E-2</v>
      </c>
    </row>
    <row r="61" spans="1:4" x14ac:dyDescent="0.35">
      <c r="A61" s="1">
        <v>45351</v>
      </c>
      <c r="B61">
        <v>1028</v>
      </c>
      <c r="C61">
        <v>6168</v>
      </c>
      <c r="D61">
        <v>6.0199999999999997E-2</v>
      </c>
    </row>
    <row r="62" spans="1:4" x14ac:dyDescent="0.35">
      <c r="A62" s="1">
        <v>45352</v>
      </c>
      <c r="B62">
        <v>381</v>
      </c>
      <c r="C62">
        <v>1905</v>
      </c>
      <c r="D62">
        <v>7.17E-2</v>
      </c>
    </row>
    <row r="63" spans="1:4" x14ac:dyDescent="0.35">
      <c r="A63" s="1">
        <v>45353</v>
      </c>
      <c r="B63">
        <v>419</v>
      </c>
      <c r="C63">
        <v>1676</v>
      </c>
      <c r="D63">
        <v>4.5199999999999997E-2</v>
      </c>
    </row>
    <row r="64" spans="1:4" x14ac:dyDescent="0.35">
      <c r="A64" s="1">
        <v>45354</v>
      </c>
      <c r="B64">
        <v>871</v>
      </c>
      <c r="C64">
        <v>4355</v>
      </c>
      <c r="D64">
        <v>7.2800000000000004E-2</v>
      </c>
    </row>
    <row r="65" spans="1:4" x14ac:dyDescent="0.35">
      <c r="A65" s="1">
        <v>45355</v>
      </c>
      <c r="B65">
        <v>802</v>
      </c>
      <c r="C65">
        <v>2406</v>
      </c>
      <c r="D65">
        <v>5.6899999999999999E-2</v>
      </c>
    </row>
    <row r="66" spans="1:4" x14ac:dyDescent="0.35">
      <c r="A66" s="1">
        <v>45356</v>
      </c>
      <c r="B66">
        <v>658</v>
      </c>
      <c r="C66">
        <v>2632</v>
      </c>
      <c r="D66">
        <v>3.9600000000000003E-2</v>
      </c>
    </row>
    <row r="67" spans="1:4" x14ac:dyDescent="0.35">
      <c r="A67" s="1">
        <v>45357</v>
      </c>
      <c r="B67">
        <v>779</v>
      </c>
      <c r="C67">
        <v>3895</v>
      </c>
      <c r="D67">
        <v>1.9599999999999999E-2</v>
      </c>
    </row>
    <row r="68" spans="1:4" x14ac:dyDescent="0.35">
      <c r="A68" s="1">
        <v>45358</v>
      </c>
      <c r="B68">
        <v>480</v>
      </c>
      <c r="C68">
        <v>960</v>
      </c>
      <c r="D68">
        <v>3.3300000000000003E-2</v>
      </c>
    </row>
    <row r="69" spans="1:4" x14ac:dyDescent="0.35">
      <c r="A69" s="1">
        <v>45359</v>
      </c>
      <c r="B69">
        <v>852</v>
      </c>
      <c r="C69">
        <v>5112</v>
      </c>
      <c r="D69">
        <v>2.6499999999999999E-2</v>
      </c>
    </row>
    <row r="70" spans="1:4" x14ac:dyDescent="0.35">
      <c r="A70" s="1">
        <v>45360</v>
      </c>
      <c r="B70">
        <v>475</v>
      </c>
      <c r="C70">
        <v>950</v>
      </c>
      <c r="D70">
        <v>1.6500000000000001E-2</v>
      </c>
    </row>
    <row r="71" spans="1:4" x14ac:dyDescent="0.35">
      <c r="A71" s="1">
        <v>45361</v>
      </c>
      <c r="B71">
        <v>896</v>
      </c>
      <c r="C71">
        <v>1792</v>
      </c>
      <c r="D71">
        <v>2.64E-2</v>
      </c>
    </row>
    <row r="72" spans="1:4" x14ac:dyDescent="0.35">
      <c r="A72" s="1">
        <v>45362</v>
      </c>
      <c r="B72">
        <v>1177</v>
      </c>
      <c r="C72">
        <v>2354</v>
      </c>
      <c r="D72">
        <v>6.6199999999999995E-2</v>
      </c>
    </row>
    <row r="73" spans="1:4" x14ac:dyDescent="0.35">
      <c r="A73" s="1">
        <v>45363</v>
      </c>
      <c r="B73">
        <v>322</v>
      </c>
      <c r="C73">
        <v>1932</v>
      </c>
      <c r="D73">
        <v>2.7E-2</v>
      </c>
    </row>
    <row r="74" spans="1:4" x14ac:dyDescent="0.35">
      <c r="A74" s="1">
        <v>45364</v>
      </c>
      <c r="B74">
        <v>935</v>
      </c>
      <c r="C74">
        <v>4675</v>
      </c>
      <c r="D74">
        <v>2.5499999999999998E-2</v>
      </c>
    </row>
    <row r="75" spans="1:4" x14ac:dyDescent="0.35">
      <c r="A75" s="1">
        <v>45365</v>
      </c>
      <c r="B75">
        <v>385</v>
      </c>
      <c r="C75">
        <v>2310</v>
      </c>
      <c r="D75">
        <v>4.8300000000000003E-2</v>
      </c>
    </row>
    <row r="76" spans="1:4" x14ac:dyDescent="0.35">
      <c r="A76" s="1">
        <v>45366</v>
      </c>
      <c r="B76">
        <v>498</v>
      </c>
      <c r="C76">
        <v>2490</v>
      </c>
      <c r="D76">
        <v>6.2899999999999998E-2</v>
      </c>
    </row>
    <row r="77" spans="1:4" x14ac:dyDescent="0.35">
      <c r="A77" s="1">
        <v>45367</v>
      </c>
      <c r="B77">
        <v>444</v>
      </c>
      <c r="C77">
        <v>888</v>
      </c>
      <c r="D77">
        <v>1.8100000000000002E-2</v>
      </c>
    </row>
    <row r="78" spans="1:4" x14ac:dyDescent="0.35">
      <c r="A78" s="1">
        <v>45368</v>
      </c>
      <c r="B78">
        <v>691</v>
      </c>
      <c r="C78">
        <v>2764</v>
      </c>
      <c r="D78">
        <v>3.8699999999999998E-2</v>
      </c>
    </row>
    <row r="79" spans="1:4" x14ac:dyDescent="0.35">
      <c r="A79" s="1">
        <v>45369</v>
      </c>
      <c r="B79">
        <v>728</v>
      </c>
      <c r="C79">
        <v>1456</v>
      </c>
      <c r="D79">
        <v>5.4399999999999997E-2</v>
      </c>
    </row>
    <row r="80" spans="1:4" x14ac:dyDescent="0.35">
      <c r="A80" s="1">
        <v>45370</v>
      </c>
      <c r="B80">
        <v>911</v>
      </c>
      <c r="C80">
        <v>1822</v>
      </c>
      <c r="D80">
        <v>1.5800000000000002E-2</v>
      </c>
    </row>
    <row r="81" spans="1:4" x14ac:dyDescent="0.35">
      <c r="A81" s="1">
        <v>45371</v>
      </c>
      <c r="B81">
        <v>995</v>
      </c>
      <c r="C81">
        <v>3980</v>
      </c>
      <c r="D81">
        <v>6.2399999999999997E-2</v>
      </c>
    </row>
    <row r="82" spans="1:4" x14ac:dyDescent="0.35">
      <c r="A82" s="1">
        <v>45372</v>
      </c>
      <c r="B82">
        <v>361</v>
      </c>
      <c r="C82">
        <v>1083</v>
      </c>
      <c r="D82">
        <v>2.41E-2</v>
      </c>
    </row>
    <row r="83" spans="1:4" x14ac:dyDescent="0.35">
      <c r="A83" s="1">
        <v>45373</v>
      </c>
      <c r="B83">
        <v>799</v>
      </c>
      <c r="C83">
        <v>3995</v>
      </c>
      <c r="D83">
        <v>2.0799999999999999E-2</v>
      </c>
    </row>
    <row r="84" spans="1:4" x14ac:dyDescent="0.35">
      <c r="A84" s="1">
        <v>45374</v>
      </c>
      <c r="B84">
        <v>437</v>
      </c>
      <c r="C84">
        <v>1748</v>
      </c>
      <c r="D84">
        <v>4.1099999999999998E-2</v>
      </c>
    </row>
    <row r="85" spans="1:4" x14ac:dyDescent="0.35">
      <c r="A85" s="1">
        <v>45375</v>
      </c>
      <c r="B85">
        <v>1145</v>
      </c>
      <c r="C85">
        <v>2290</v>
      </c>
      <c r="D85">
        <v>3.9899999999999998E-2</v>
      </c>
    </row>
    <row r="86" spans="1:4" x14ac:dyDescent="0.35">
      <c r="A86" s="1">
        <v>45376</v>
      </c>
      <c r="B86">
        <v>1132</v>
      </c>
      <c r="C86">
        <v>6792</v>
      </c>
      <c r="D86">
        <v>1.8200000000000001E-2</v>
      </c>
    </row>
    <row r="87" spans="1:4" x14ac:dyDescent="0.35">
      <c r="A87" s="1">
        <v>45377</v>
      </c>
      <c r="B87">
        <v>917</v>
      </c>
      <c r="C87">
        <v>5502</v>
      </c>
      <c r="D87">
        <v>6.4699999999999994E-2</v>
      </c>
    </row>
    <row r="88" spans="1:4" x14ac:dyDescent="0.35">
      <c r="A88" s="1">
        <v>45378</v>
      </c>
      <c r="B88">
        <v>345</v>
      </c>
      <c r="C88">
        <v>1035</v>
      </c>
      <c r="D88">
        <v>2.2499999999999999E-2</v>
      </c>
    </row>
    <row r="89" spans="1:4" x14ac:dyDescent="0.35">
      <c r="A89" s="1">
        <v>45379</v>
      </c>
      <c r="B89">
        <v>747</v>
      </c>
      <c r="C89">
        <v>3735</v>
      </c>
      <c r="D89">
        <v>2.5499999999999998E-2</v>
      </c>
    </row>
    <row r="90" spans="1:4" x14ac:dyDescent="0.35">
      <c r="A90" s="1">
        <v>45380</v>
      </c>
      <c r="B90">
        <v>660</v>
      </c>
      <c r="C90">
        <v>1320</v>
      </c>
      <c r="D90">
        <v>2.24E-2</v>
      </c>
    </row>
    <row r="91" spans="1:4" x14ac:dyDescent="0.35">
      <c r="A91" s="1">
        <v>45381</v>
      </c>
      <c r="B91">
        <v>252</v>
      </c>
      <c r="C91">
        <v>1260</v>
      </c>
      <c r="D91">
        <v>2.87E-2</v>
      </c>
    </row>
    <row r="92" spans="1:4" x14ac:dyDescent="0.35">
      <c r="A92" s="1">
        <v>45382</v>
      </c>
      <c r="B92">
        <v>1052</v>
      </c>
      <c r="C92">
        <v>5260</v>
      </c>
      <c r="D92">
        <v>0.03</v>
      </c>
    </row>
    <row r="93" spans="1:4" x14ac:dyDescent="0.35">
      <c r="A93" s="1">
        <v>45383</v>
      </c>
      <c r="B93">
        <v>963</v>
      </c>
      <c r="C93">
        <v>5778</v>
      </c>
      <c r="D93">
        <v>5.3699999999999998E-2</v>
      </c>
    </row>
    <row r="94" spans="1:4" x14ac:dyDescent="0.35">
      <c r="A94" s="1">
        <v>45384</v>
      </c>
      <c r="B94">
        <v>748</v>
      </c>
      <c r="C94">
        <v>2244</v>
      </c>
      <c r="D94">
        <v>2.4E-2</v>
      </c>
    </row>
    <row r="95" spans="1:4" x14ac:dyDescent="0.35">
      <c r="A95" s="1">
        <v>45385</v>
      </c>
      <c r="B95">
        <v>472</v>
      </c>
      <c r="C95">
        <v>944</v>
      </c>
      <c r="D95">
        <v>4.8500000000000001E-2</v>
      </c>
    </row>
    <row r="96" spans="1:4" x14ac:dyDescent="0.35">
      <c r="A96" s="1">
        <v>45386</v>
      </c>
      <c r="B96">
        <v>805</v>
      </c>
      <c r="C96">
        <v>1610</v>
      </c>
      <c r="D96">
        <v>5.91E-2</v>
      </c>
    </row>
    <row r="97" spans="1:4" x14ac:dyDescent="0.35">
      <c r="A97" s="1">
        <v>45387</v>
      </c>
      <c r="B97">
        <v>308</v>
      </c>
      <c r="C97">
        <v>616</v>
      </c>
      <c r="D97">
        <v>4.8800000000000003E-2</v>
      </c>
    </row>
    <row r="98" spans="1:4" x14ac:dyDescent="0.35">
      <c r="A98" s="1">
        <v>45388</v>
      </c>
      <c r="B98">
        <v>764</v>
      </c>
      <c r="C98">
        <v>4584</v>
      </c>
      <c r="D98">
        <v>2.1899999999999999E-2</v>
      </c>
    </row>
    <row r="99" spans="1:4" x14ac:dyDescent="0.35">
      <c r="A99" s="1">
        <v>45389</v>
      </c>
      <c r="B99">
        <v>770</v>
      </c>
      <c r="C99">
        <v>1540</v>
      </c>
      <c r="D99">
        <v>6.5600000000000006E-2</v>
      </c>
    </row>
    <row r="100" spans="1:4" x14ac:dyDescent="0.35">
      <c r="A100" s="1">
        <v>45390</v>
      </c>
      <c r="B100">
        <v>320</v>
      </c>
      <c r="C100">
        <v>1920</v>
      </c>
      <c r="D100">
        <v>1.6299999999999999E-2</v>
      </c>
    </row>
    <row r="101" spans="1:4" x14ac:dyDescent="0.35">
      <c r="A101" s="1">
        <v>45391</v>
      </c>
      <c r="B101">
        <v>1132</v>
      </c>
      <c r="C101">
        <v>3396</v>
      </c>
      <c r="D101">
        <v>3.7400000000000003E-2</v>
      </c>
    </row>
    <row r="102" spans="1:4" x14ac:dyDescent="0.35">
      <c r="A102" s="1">
        <v>45392</v>
      </c>
      <c r="B102">
        <v>1161</v>
      </c>
      <c r="C102">
        <v>6966</v>
      </c>
      <c r="D102">
        <v>2.75E-2</v>
      </c>
    </row>
    <row r="103" spans="1:4" x14ac:dyDescent="0.35">
      <c r="A103" s="1">
        <v>45393</v>
      </c>
      <c r="B103">
        <v>858</v>
      </c>
      <c r="C103">
        <v>1716</v>
      </c>
      <c r="D103">
        <v>5.0999999999999997E-2</v>
      </c>
    </row>
    <row r="104" spans="1:4" x14ac:dyDescent="0.35">
      <c r="A104" s="1">
        <v>45394</v>
      </c>
      <c r="B104">
        <v>679</v>
      </c>
      <c r="C104">
        <v>4074</v>
      </c>
      <c r="D104">
        <v>4.7600000000000003E-2</v>
      </c>
    </row>
    <row r="105" spans="1:4" x14ac:dyDescent="0.35">
      <c r="A105" s="1">
        <v>45395</v>
      </c>
      <c r="B105">
        <v>573</v>
      </c>
      <c r="C105">
        <v>2292</v>
      </c>
      <c r="D105">
        <v>2.4899999999999999E-2</v>
      </c>
    </row>
    <row r="106" spans="1:4" x14ac:dyDescent="0.35">
      <c r="A106" s="1">
        <v>45396</v>
      </c>
      <c r="B106">
        <v>983</v>
      </c>
      <c r="C106">
        <v>3932</v>
      </c>
      <c r="D106">
        <v>2.7E-2</v>
      </c>
    </row>
    <row r="107" spans="1:4" x14ac:dyDescent="0.35">
      <c r="A107" s="1">
        <v>45397</v>
      </c>
      <c r="B107">
        <v>655</v>
      </c>
      <c r="C107">
        <v>1965</v>
      </c>
      <c r="D107">
        <v>5.4300000000000001E-2</v>
      </c>
    </row>
    <row r="108" spans="1:4" x14ac:dyDescent="0.35">
      <c r="A108" s="1">
        <v>45398</v>
      </c>
      <c r="B108">
        <v>557</v>
      </c>
      <c r="C108">
        <v>2785</v>
      </c>
      <c r="D108">
        <v>3.1899999999999998E-2</v>
      </c>
    </row>
    <row r="109" spans="1:4" x14ac:dyDescent="0.35">
      <c r="A109" s="1">
        <v>45399</v>
      </c>
      <c r="B109">
        <v>1019</v>
      </c>
      <c r="C109">
        <v>2038</v>
      </c>
      <c r="D109">
        <v>1.26E-2</v>
      </c>
    </row>
    <row r="110" spans="1:4" x14ac:dyDescent="0.35">
      <c r="A110" s="1">
        <v>45400</v>
      </c>
      <c r="B110">
        <v>886</v>
      </c>
      <c r="C110">
        <v>5316</v>
      </c>
      <c r="D110">
        <v>7.4800000000000005E-2</v>
      </c>
    </row>
    <row r="111" spans="1:4" x14ac:dyDescent="0.35">
      <c r="A111" s="1">
        <v>45401</v>
      </c>
      <c r="B111">
        <v>325</v>
      </c>
      <c r="C111">
        <v>1950</v>
      </c>
      <c r="D111">
        <v>2.5399999999999999E-2</v>
      </c>
    </row>
    <row r="112" spans="1:4" x14ac:dyDescent="0.35">
      <c r="A112" s="1">
        <v>45402</v>
      </c>
      <c r="B112">
        <v>521</v>
      </c>
      <c r="C112">
        <v>1563</v>
      </c>
      <c r="D112">
        <v>7.0800000000000002E-2</v>
      </c>
    </row>
    <row r="113" spans="1:4" x14ac:dyDescent="0.35">
      <c r="A113" s="1">
        <v>45403</v>
      </c>
      <c r="B113">
        <v>1152</v>
      </c>
      <c r="C113">
        <v>2304</v>
      </c>
      <c r="D113">
        <v>6.7400000000000002E-2</v>
      </c>
    </row>
    <row r="114" spans="1:4" x14ac:dyDescent="0.35">
      <c r="A114" s="1">
        <v>45404</v>
      </c>
      <c r="B114">
        <v>628</v>
      </c>
      <c r="C114">
        <v>2512</v>
      </c>
      <c r="D114">
        <v>2.1899999999999999E-2</v>
      </c>
    </row>
    <row r="115" spans="1:4" x14ac:dyDescent="0.35">
      <c r="A115" s="1">
        <v>45405</v>
      </c>
      <c r="B115">
        <v>1103</v>
      </c>
      <c r="C115">
        <v>6618</v>
      </c>
      <c r="D115">
        <v>5.6300000000000003E-2</v>
      </c>
    </row>
    <row r="116" spans="1:4" x14ac:dyDescent="0.35">
      <c r="A116" s="1">
        <v>45406</v>
      </c>
      <c r="B116">
        <v>876</v>
      </c>
      <c r="C116">
        <v>5256</v>
      </c>
      <c r="D116">
        <v>1.2500000000000001E-2</v>
      </c>
    </row>
    <row r="117" spans="1:4" x14ac:dyDescent="0.35">
      <c r="A117" s="1">
        <v>45407</v>
      </c>
      <c r="B117">
        <v>1086</v>
      </c>
      <c r="C117">
        <v>6516</v>
      </c>
      <c r="D117">
        <v>3.09E-2</v>
      </c>
    </row>
    <row r="118" spans="1:4" x14ac:dyDescent="0.35">
      <c r="A118" s="1">
        <v>45408</v>
      </c>
      <c r="B118">
        <v>929</v>
      </c>
      <c r="C118">
        <v>1858</v>
      </c>
      <c r="D118">
        <v>7.1199999999999999E-2</v>
      </c>
    </row>
    <row r="119" spans="1:4" x14ac:dyDescent="0.35">
      <c r="A119" s="1">
        <v>45409</v>
      </c>
      <c r="B119">
        <v>387</v>
      </c>
      <c r="C119">
        <v>1548</v>
      </c>
      <c r="D119">
        <v>1.9300000000000001E-2</v>
      </c>
    </row>
    <row r="120" spans="1:4" x14ac:dyDescent="0.35">
      <c r="A120" s="1">
        <v>45410</v>
      </c>
      <c r="B120">
        <v>359</v>
      </c>
      <c r="C120">
        <v>2154</v>
      </c>
      <c r="D120">
        <v>2.18E-2</v>
      </c>
    </row>
    <row r="121" spans="1:4" x14ac:dyDescent="0.35">
      <c r="A121" s="1">
        <v>45411</v>
      </c>
      <c r="B121">
        <v>538</v>
      </c>
      <c r="C121">
        <v>3228</v>
      </c>
      <c r="D121">
        <v>2.53E-2</v>
      </c>
    </row>
    <row r="122" spans="1:4" x14ac:dyDescent="0.35">
      <c r="A122" s="1">
        <v>45412</v>
      </c>
      <c r="B122">
        <v>601</v>
      </c>
      <c r="C122">
        <v>1803</v>
      </c>
      <c r="D122">
        <v>5.5300000000000002E-2</v>
      </c>
    </row>
    <row r="123" spans="1:4" x14ac:dyDescent="0.35">
      <c r="A123" s="1">
        <v>45413</v>
      </c>
      <c r="B123">
        <v>1123</v>
      </c>
      <c r="C123">
        <v>4492</v>
      </c>
      <c r="D123">
        <v>4.3799999999999999E-2</v>
      </c>
    </row>
    <row r="124" spans="1:4" x14ac:dyDescent="0.35">
      <c r="A124" s="1">
        <v>45414</v>
      </c>
      <c r="B124">
        <v>507</v>
      </c>
      <c r="C124">
        <v>1014</v>
      </c>
      <c r="D124">
        <v>1.78E-2</v>
      </c>
    </row>
    <row r="125" spans="1:4" x14ac:dyDescent="0.35">
      <c r="A125" s="1">
        <v>45415</v>
      </c>
      <c r="B125">
        <v>683</v>
      </c>
      <c r="C125">
        <v>2732</v>
      </c>
      <c r="D125">
        <v>1.4800000000000001E-2</v>
      </c>
    </row>
    <row r="126" spans="1:4" x14ac:dyDescent="0.35">
      <c r="A126" s="1">
        <v>45416</v>
      </c>
      <c r="B126">
        <v>591</v>
      </c>
      <c r="C126">
        <v>1773</v>
      </c>
      <c r="D126">
        <v>5.21E-2</v>
      </c>
    </row>
    <row r="127" spans="1:4" x14ac:dyDescent="0.35">
      <c r="A127" s="1">
        <v>45417</v>
      </c>
      <c r="B127">
        <v>518</v>
      </c>
      <c r="C127">
        <v>1554</v>
      </c>
      <c r="D127">
        <v>5.8700000000000002E-2</v>
      </c>
    </row>
    <row r="128" spans="1:4" x14ac:dyDescent="0.35">
      <c r="A128" s="1">
        <v>45418</v>
      </c>
      <c r="B128">
        <v>814</v>
      </c>
      <c r="C128">
        <v>4070</v>
      </c>
      <c r="D128">
        <v>4.7300000000000002E-2</v>
      </c>
    </row>
    <row r="129" spans="1:4" x14ac:dyDescent="0.35">
      <c r="A129" s="1">
        <v>45419</v>
      </c>
      <c r="B129">
        <v>364</v>
      </c>
      <c r="C129">
        <v>728</v>
      </c>
      <c r="D129">
        <v>7.1499999999999994E-2</v>
      </c>
    </row>
    <row r="130" spans="1:4" x14ac:dyDescent="0.35">
      <c r="A130" s="1">
        <v>45420</v>
      </c>
      <c r="B130">
        <v>957</v>
      </c>
      <c r="C130">
        <v>2871</v>
      </c>
      <c r="D130">
        <v>4.6399999999999997E-2</v>
      </c>
    </row>
    <row r="131" spans="1:4" x14ac:dyDescent="0.35">
      <c r="A131" s="1">
        <v>45421</v>
      </c>
      <c r="B131">
        <v>1104</v>
      </c>
      <c r="C131">
        <v>4416</v>
      </c>
      <c r="D131">
        <v>4.87E-2</v>
      </c>
    </row>
    <row r="132" spans="1:4" x14ac:dyDescent="0.35">
      <c r="A132" s="1">
        <v>45422</v>
      </c>
      <c r="B132">
        <v>401</v>
      </c>
      <c r="C132">
        <v>2005</v>
      </c>
      <c r="D132">
        <v>0.02</v>
      </c>
    </row>
    <row r="133" spans="1:4" x14ac:dyDescent="0.35">
      <c r="A133" s="1">
        <v>45423</v>
      </c>
      <c r="B133">
        <v>565</v>
      </c>
      <c r="C133">
        <v>2260</v>
      </c>
      <c r="D133">
        <v>6.8599999999999994E-2</v>
      </c>
    </row>
    <row r="134" spans="1:4" x14ac:dyDescent="0.35">
      <c r="A134" s="1">
        <v>45424</v>
      </c>
      <c r="B134">
        <v>1065</v>
      </c>
      <c r="C134">
        <v>2130</v>
      </c>
      <c r="D134">
        <v>6.8599999999999994E-2</v>
      </c>
    </row>
    <row r="135" spans="1:4" x14ac:dyDescent="0.35">
      <c r="A135" s="1">
        <v>45425</v>
      </c>
      <c r="B135">
        <v>465</v>
      </c>
      <c r="C135">
        <v>1395</v>
      </c>
      <c r="D135">
        <v>5.3999999999999999E-2</v>
      </c>
    </row>
    <row r="136" spans="1:4" x14ac:dyDescent="0.35">
      <c r="A136" s="1">
        <v>45426</v>
      </c>
      <c r="B136">
        <v>612</v>
      </c>
      <c r="C136">
        <v>3672</v>
      </c>
      <c r="D136">
        <v>6.7699999999999996E-2</v>
      </c>
    </row>
    <row r="137" spans="1:4" x14ac:dyDescent="0.35">
      <c r="A137" s="1">
        <v>45427</v>
      </c>
      <c r="B137">
        <v>666</v>
      </c>
      <c r="C137">
        <v>3996</v>
      </c>
      <c r="D137">
        <v>5.9200000000000003E-2</v>
      </c>
    </row>
    <row r="138" spans="1:4" x14ac:dyDescent="0.35">
      <c r="A138" s="1">
        <v>45428</v>
      </c>
      <c r="B138">
        <v>1197</v>
      </c>
      <c r="C138">
        <v>3591</v>
      </c>
      <c r="D138">
        <v>6.6500000000000004E-2</v>
      </c>
    </row>
    <row r="139" spans="1:4" x14ac:dyDescent="0.35">
      <c r="A139" s="1">
        <v>45429</v>
      </c>
      <c r="B139">
        <v>1069</v>
      </c>
      <c r="C139">
        <v>3207</v>
      </c>
      <c r="D139">
        <v>6.7500000000000004E-2</v>
      </c>
    </row>
    <row r="140" spans="1:4" x14ac:dyDescent="0.35">
      <c r="A140" s="1">
        <v>45430</v>
      </c>
      <c r="B140">
        <v>275</v>
      </c>
      <c r="C140">
        <v>825</v>
      </c>
      <c r="D140">
        <v>5.8400000000000001E-2</v>
      </c>
    </row>
    <row r="141" spans="1:4" x14ac:dyDescent="0.35">
      <c r="A141" s="1">
        <v>45431</v>
      </c>
      <c r="B141">
        <v>590</v>
      </c>
      <c r="C141">
        <v>2950</v>
      </c>
      <c r="D141">
        <v>6.25E-2</v>
      </c>
    </row>
    <row r="142" spans="1:4" x14ac:dyDescent="0.35">
      <c r="A142" s="1">
        <v>45432</v>
      </c>
      <c r="B142">
        <v>1134</v>
      </c>
      <c r="C142">
        <v>3402</v>
      </c>
      <c r="D142">
        <v>2.8799999999999999E-2</v>
      </c>
    </row>
    <row r="143" spans="1:4" x14ac:dyDescent="0.35">
      <c r="A143" s="1">
        <v>45433</v>
      </c>
      <c r="B143">
        <v>1056</v>
      </c>
      <c r="C143">
        <v>2112</v>
      </c>
      <c r="D143">
        <v>3.61E-2</v>
      </c>
    </row>
    <row r="144" spans="1:4" x14ac:dyDescent="0.35">
      <c r="A144" s="1">
        <v>45434</v>
      </c>
      <c r="B144">
        <v>289</v>
      </c>
      <c r="C144">
        <v>1445</v>
      </c>
      <c r="D144">
        <v>2.5999999999999999E-2</v>
      </c>
    </row>
    <row r="145" spans="1:4" x14ac:dyDescent="0.35">
      <c r="A145" s="1">
        <v>45435</v>
      </c>
      <c r="B145">
        <v>1086</v>
      </c>
      <c r="C145">
        <v>5430</v>
      </c>
      <c r="D145">
        <v>3.4000000000000002E-2</v>
      </c>
    </row>
    <row r="146" spans="1:4" x14ac:dyDescent="0.35">
      <c r="A146" s="1">
        <v>45436</v>
      </c>
      <c r="B146">
        <v>1090</v>
      </c>
      <c r="C146">
        <v>3270</v>
      </c>
      <c r="D146">
        <v>2.5999999999999999E-2</v>
      </c>
    </row>
    <row r="147" spans="1:4" x14ac:dyDescent="0.35">
      <c r="A147" s="1">
        <v>45437</v>
      </c>
      <c r="B147">
        <v>925</v>
      </c>
      <c r="C147">
        <v>2775</v>
      </c>
      <c r="D147">
        <v>3.7100000000000001E-2</v>
      </c>
    </row>
    <row r="148" spans="1:4" x14ac:dyDescent="0.35">
      <c r="A148" s="1">
        <v>45438</v>
      </c>
      <c r="B148">
        <v>535</v>
      </c>
      <c r="C148">
        <v>1070</v>
      </c>
      <c r="D148">
        <v>7.2900000000000006E-2</v>
      </c>
    </row>
    <row r="149" spans="1:4" x14ac:dyDescent="0.35">
      <c r="A149" s="1">
        <v>45439</v>
      </c>
      <c r="B149">
        <v>535</v>
      </c>
      <c r="C149">
        <v>2140</v>
      </c>
      <c r="D149">
        <v>5.2400000000000002E-2</v>
      </c>
    </row>
    <row r="150" spans="1:4" x14ac:dyDescent="0.35">
      <c r="A150" s="1">
        <v>45440</v>
      </c>
      <c r="B150">
        <v>659</v>
      </c>
      <c r="C150">
        <v>3954</v>
      </c>
      <c r="D150">
        <v>3.2899999999999999E-2</v>
      </c>
    </row>
    <row r="151" spans="1:4" x14ac:dyDescent="0.35">
      <c r="A151" s="1">
        <v>45441</v>
      </c>
      <c r="B151">
        <v>278</v>
      </c>
      <c r="C151">
        <v>556</v>
      </c>
      <c r="D151">
        <v>6.7299999999999999E-2</v>
      </c>
    </row>
    <row r="152" spans="1:4" x14ac:dyDescent="0.35">
      <c r="A152" s="1">
        <v>45442</v>
      </c>
      <c r="B152">
        <v>517</v>
      </c>
      <c r="C152">
        <v>1551</v>
      </c>
      <c r="D152">
        <v>4.8599999999999997E-2</v>
      </c>
    </row>
    <row r="153" spans="1:4" x14ac:dyDescent="0.35">
      <c r="A153" s="1">
        <v>45443</v>
      </c>
      <c r="B153">
        <v>521</v>
      </c>
      <c r="C153">
        <v>1042</v>
      </c>
      <c r="D153">
        <v>1.8800000000000001E-2</v>
      </c>
    </row>
    <row r="154" spans="1:4" x14ac:dyDescent="0.35">
      <c r="A154" s="1">
        <v>45444</v>
      </c>
      <c r="B154">
        <v>694</v>
      </c>
      <c r="C154">
        <v>2776</v>
      </c>
      <c r="D154">
        <v>5.79E-2</v>
      </c>
    </row>
    <row r="155" spans="1:4" x14ac:dyDescent="0.35">
      <c r="A155" s="1">
        <v>45445</v>
      </c>
      <c r="B155">
        <v>571</v>
      </c>
      <c r="C155">
        <v>2855</v>
      </c>
      <c r="D155">
        <v>5.0200000000000002E-2</v>
      </c>
    </row>
    <row r="156" spans="1:4" x14ac:dyDescent="0.35">
      <c r="A156" s="1">
        <v>45446</v>
      </c>
      <c r="B156">
        <v>773</v>
      </c>
      <c r="C156">
        <v>1546</v>
      </c>
      <c r="D156">
        <v>3.6299999999999999E-2</v>
      </c>
    </row>
    <row r="157" spans="1:4" x14ac:dyDescent="0.35">
      <c r="A157" s="1">
        <v>45447</v>
      </c>
      <c r="B157">
        <v>840</v>
      </c>
      <c r="C157">
        <v>2520</v>
      </c>
      <c r="D157">
        <v>2.8000000000000001E-2</v>
      </c>
    </row>
    <row r="158" spans="1:4" x14ac:dyDescent="0.35">
      <c r="A158" s="1">
        <v>45448</v>
      </c>
      <c r="B158">
        <v>975</v>
      </c>
      <c r="C158">
        <v>4875</v>
      </c>
      <c r="D158">
        <v>1.21E-2</v>
      </c>
    </row>
    <row r="159" spans="1:4" x14ac:dyDescent="0.35">
      <c r="A159" s="1">
        <v>45449</v>
      </c>
      <c r="B159">
        <v>1197</v>
      </c>
      <c r="C159">
        <v>7182</v>
      </c>
      <c r="D159">
        <v>5.5300000000000002E-2</v>
      </c>
    </row>
    <row r="160" spans="1:4" x14ac:dyDescent="0.35">
      <c r="A160" s="1">
        <v>45450</v>
      </c>
      <c r="B160">
        <v>1009</v>
      </c>
      <c r="C160">
        <v>3027</v>
      </c>
      <c r="D160">
        <v>3.49E-2</v>
      </c>
    </row>
    <row r="161" spans="1:4" x14ac:dyDescent="0.35">
      <c r="A161" s="1">
        <v>45451</v>
      </c>
      <c r="B161">
        <v>321</v>
      </c>
      <c r="C161">
        <v>1284</v>
      </c>
      <c r="D161">
        <v>5.1299999999999998E-2</v>
      </c>
    </row>
    <row r="162" spans="1:4" x14ac:dyDescent="0.35">
      <c r="A162" s="1">
        <v>45452</v>
      </c>
      <c r="B162">
        <v>929</v>
      </c>
      <c r="C162">
        <v>1858</v>
      </c>
      <c r="D162">
        <v>5.7299999999999997E-2</v>
      </c>
    </row>
    <row r="163" spans="1:4" x14ac:dyDescent="0.35">
      <c r="A163" s="1">
        <v>45453</v>
      </c>
      <c r="B163">
        <v>557</v>
      </c>
      <c r="C163">
        <v>3342</v>
      </c>
      <c r="D163">
        <v>3.15E-2</v>
      </c>
    </row>
    <row r="164" spans="1:4" x14ac:dyDescent="0.35">
      <c r="A164" s="1">
        <v>45454</v>
      </c>
      <c r="B164">
        <v>668</v>
      </c>
      <c r="C164">
        <v>2672</v>
      </c>
      <c r="D164">
        <v>3.7400000000000003E-2</v>
      </c>
    </row>
    <row r="165" spans="1:4" x14ac:dyDescent="0.35">
      <c r="A165" s="1">
        <v>45455</v>
      </c>
      <c r="B165">
        <v>552</v>
      </c>
      <c r="C165">
        <v>3312</v>
      </c>
      <c r="D165">
        <v>0.02</v>
      </c>
    </row>
    <row r="166" spans="1:4" x14ac:dyDescent="0.35">
      <c r="A166" s="1">
        <v>45456</v>
      </c>
      <c r="B166">
        <v>680</v>
      </c>
      <c r="C166">
        <v>3400</v>
      </c>
      <c r="D166">
        <v>5.4699999999999999E-2</v>
      </c>
    </row>
    <row r="167" spans="1:4" x14ac:dyDescent="0.35">
      <c r="A167" s="1">
        <v>45457</v>
      </c>
      <c r="B167">
        <v>1174</v>
      </c>
      <c r="C167">
        <v>3522</v>
      </c>
      <c r="D167">
        <v>5.0799999999999998E-2</v>
      </c>
    </row>
    <row r="168" spans="1:4" x14ac:dyDescent="0.35">
      <c r="A168" s="1">
        <v>45458</v>
      </c>
      <c r="B168">
        <v>558</v>
      </c>
      <c r="C168">
        <v>2790</v>
      </c>
      <c r="D168">
        <v>4.65E-2</v>
      </c>
    </row>
    <row r="169" spans="1:4" x14ac:dyDescent="0.35">
      <c r="A169" s="1">
        <v>45459</v>
      </c>
      <c r="B169">
        <v>250</v>
      </c>
      <c r="C169">
        <v>1000</v>
      </c>
      <c r="D169">
        <v>3.0099999999999998E-2</v>
      </c>
    </row>
    <row r="170" spans="1:4" x14ac:dyDescent="0.35">
      <c r="A170" s="1">
        <v>45460</v>
      </c>
      <c r="B170">
        <v>690</v>
      </c>
      <c r="C170">
        <v>4140</v>
      </c>
      <c r="D170">
        <v>5.0200000000000002E-2</v>
      </c>
    </row>
    <row r="171" spans="1:4" x14ac:dyDescent="0.35">
      <c r="A171" s="1">
        <v>45461</v>
      </c>
      <c r="B171">
        <v>579</v>
      </c>
      <c r="C171">
        <v>2895</v>
      </c>
      <c r="D171">
        <v>3.9800000000000002E-2</v>
      </c>
    </row>
    <row r="172" spans="1:4" x14ac:dyDescent="0.35">
      <c r="A172" s="1">
        <v>45462</v>
      </c>
      <c r="B172">
        <v>941</v>
      </c>
      <c r="C172">
        <v>2823</v>
      </c>
      <c r="D172">
        <v>4.4200000000000003E-2</v>
      </c>
    </row>
    <row r="173" spans="1:4" x14ac:dyDescent="0.35">
      <c r="A173" s="1">
        <v>45463</v>
      </c>
      <c r="B173">
        <v>1062</v>
      </c>
      <c r="C173">
        <v>3186</v>
      </c>
      <c r="D173">
        <v>5.3499999999999999E-2</v>
      </c>
    </row>
    <row r="174" spans="1:4" x14ac:dyDescent="0.35">
      <c r="A174" s="1">
        <v>45464</v>
      </c>
      <c r="B174">
        <v>540</v>
      </c>
      <c r="C174">
        <v>3240</v>
      </c>
      <c r="D174">
        <v>5.3800000000000001E-2</v>
      </c>
    </row>
    <row r="175" spans="1:4" x14ac:dyDescent="0.35">
      <c r="A175" s="1">
        <v>45465</v>
      </c>
      <c r="B175">
        <v>884</v>
      </c>
      <c r="C175">
        <v>3536</v>
      </c>
      <c r="D175">
        <v>1.7899999999999999E-2</v>
      </c>
    </row>
    <row r="176" spans="1:4" x14ac:dyDescent="0.35">
      <c r="A176" s="1">
        <v>45466</v>
      </c>
      <c r="B176">
        <v>1019</v>
      </c>
      <c r="C176">
        <v>3057</v>
      </c>
      <c r="D176">
        <v>5.4399999999999997E-2</v>
      </c>
    </row>
    <row r="177" spans="1:4" x14ac:dyDescent="0.35">
      <c r="A177" s="1">
        <v>45467</v>
      </c>
      <c r="B177">
        <v>480</v>
      </c>
      <c r="C177">
        <v>1440</v>
      </c>
      <c r="D177">
        <v>2.1299999999999999E-2</v>
      </c>
    </row>
    <row r="178" spans="1:4" x14ac:dyDescent="0.35">
      <c r="A178" s="1">
        <v>45468</v>
      </c>
      <c r="B178">
        <v>297</v>
      </c>
      <c r="C178">
        <v>891</v>
      </c>
      <c r="D178">
        <v>7.3999999999999996E-2</v>
      </c>
    </row>
    <row r="179" spans="1:4" x14ac:dyDescent="0.35">
      <c r="A179" s="1">
        <v>45469</v>
      </c>
      <c r="B179">
        <v>875</v>
      </c>
      <c r="C179">
        <v>1750</v>
      </c>
      <c r="D179">
        <v>4.07E-2</v>
      </c>
    </row>
    <row r="180" spans="1:4" x14ac:dyDescent="0.35">
      <c r="A180" s="1">
        <v>45470</v>
      </c>
      <c r="B180">
        <v>1157</v>
      </c>
      <c r="C180">
        <v>6942</v>
      </c>
      <c r="D180">
        <v>2.4199999999999999E-2</v>
      </c>
    </row>
    <row r="181" spans="1:4" x14ac:dyDescent="0.35">
      <c r="A181" s="1">
        <v>45471</v>
      </c>
      <c r="B181">
        <v>963</v>
      </c>
      <c r="C181">
        <v>4815</v>
      </c>
      <c r="D181">
        <v>4.3099999999999999E-2</v>
      </c>
    </row>
    <row r="182" spans="1:4" x14ac:dyDescent="0.35">
      <c r="A182" s="1">
        <v>45472</v>
      </c>
      <c r="B182">
        <v>499</v>
      </c>
      <c r="C182">
        <v>1497</v>
      </c>
      <c r="D182">
        <v>5.33E-2</v>
      </c>
    </row>
    <row r="183" spans="1:4" x14ac:dyDescent="0.35">
      <c r="A183" s="1">
        <v>45473</v>
      </c>
      <c r="B183">
        <v>255</v>
      </c>
      <c r="C183">
        <v>510</v>
      </c>
      <c r="D183">
        <v>6.0999999999999999E-2</v>
      </c>
    </row>
    <row r="184" spans="1:4" x14ac:dyDescent="0.35">
      <c r="A184" s="1">
        <v>45474</v>
      </c>
      <c r="B184">
        <v>474</v>
      </c>
      <c r="C184">
        <v>1422</v>
      </c>
      <c r="D184">
        <v>6.2700000000000006E-2</v>
      </c>
    </row>
    <row r="185" spans="1:4" x14ac:dyDescent="0.35">
      <c r="A185" s="1">
        <v>45475</v>
      </c>
      <c r="B185">
        <v>962</v>
      </c>
      <c r="C185">
        <v>5772</v>
      </c>
      <c r="D185">
        <v>4.1300000000000003E-2</v>
      </c>
    </row>
    <row r="186" spans="1:4" x14ac:dyDescent="0.35">
      <c r="A186" s="1">
        <v>45476</v>
      </c>
      <c r="B186">
        <v>820</v>
      </c>
      <c r="C186">
        <v>2460</v>
      </c>
      <c r="D186">
        <v>6.9800000000000001E-2</v>
      </c>
    </row>
    <row r="187" spans="1:4" x14ac:dyDescent="0.35">
      <c r="A187" s="1">
        <v>45477</v>
      </c>
      <c r="B187">
        <v>374</v>
      </c>
      <c r="C187">
        <v>1870</v>
      </c>
      <c r="D187">
        <v>2.0400000000000001E-2</v>
      </c>
    </row>
    <row r="188" spans="1:4" x14ac:dyDescent="0.35">
      <c r="A188" s="1">
        <v>45478</v>
      </c>
      <c r="B188">
        <v>725</v>
      </c>
      <c r="C188">
        <v>4350</v>
      </c>
      <c r="D188">
        <v>7.4200000000000002E-2</v>
      </c>
    </row>
    <row r="189" spans="1:4" x14ac:dyDescent="0.35">
      <c r="A189" s="1">
        <v>45479</v>
      </c>
      <c r="B189">
        <v>859</v>
      </c>
      <c r="C189">
        <v>3436</v>
      </c>
      <c r="D189">
        <v>7.1900000000000006E-2</v>
      </c>
    </row>
    <row r="190" spans="1:4" x14ac:dyDescent="0.35">
      <c r="A190" s="1">
        <v>45480</v>
      </c>
      <c r="B190">
        <v>1162</v>
      </c>
      <c r="C190">
        <v>5810</v>
      </c>
      <c r="D190">
        <v>5.0599999999999999E-2</v>
      </c>
    </row>
    <row r="191" spans="1:4" x14ac:dyDescent="0.35">
      <c r="A191" s="1">
        <v>45481</v>
      </c>
      <c r="B191">
        <v>986</v>
      </c>
      <c r="C191">
        <v>5916</v>
      </c>
      <c r="D191">
        <v>3.8899999999999997E-2</v>
      </c>
    </row>
    <row r="192" spans="1:4" x14ac:dyDescent="0.35">
      <c r="A192" s="1">
        <v>45482</v>
      </c>
      <c r="B192">
        <v>1178</v>
      </c>
      <c r="C192">
        <v>7068</v>
      </c>
      <c r="D192">
        <v>4.0099999999999997E-2</v>
      </c>
    </row>
    <row r="193" spans="1:4" x14ac:dyDescent="0.35">
      <c r="A193" s="1">
        <v>45483</v>
      </c>
      <c r="B193">
        <v>412</v>
      </c>
      <c r="C193">
        <v>2060</v>
      </c>
      <c r="D193">
        <v>4.0399999999999998E-2</v>
      </c>
    </row>
    <row r="194" spans="1:4" x14ac:dyDescent="0.35">
      <c r="A194" s="1">
        <v>45484</v>
      </c>
      <c r="B194">
        <v>1019</v>
      </c>
      <c r="C194">
        <v>3057</v>
      </c>
      <c r="D194">
        <v>6.4899999999999999E-2</v>
      </c>
    </row>
    <row r="195" spans="1:4" x14ac:dyDescent="0.35">
      <c r="A195" s="1">
        <v>45485</v>
      </c>
      <c r="B195">
        <v>533</v>
      </c>
      <c r="C195">
        <v>3198</v>
      </c>
      <c r="D195">
        <v>4.2500000000000003E-2</v>
      </c>
    </row>
    <row r="196" spans="1:4" x14ac:dyDescent="0.35">
      <c r="A196" s="1">
        <v>45486</v>
      </c>
      <c r="B196">
        <v>494</v>
      </c>
      <c r="C196">
        <v>1976</v>
      </c>
      <c r="D196">
        <v>3.9699999999999999E-2</v>
      </c>
    </row>
    <row r="197" spans="1:4" x14ac:dyDescent="0.35">
      <c r="A197" s="1">
        <v>45487</v>
      </c>
      <c r="B197">
        <v>980</v>
      </c>
      <c r="C197">
        <v>3920</v>
      </c>
      <c r="D197">
        <v>2.6800000000000001E-2</v>
      </c>
    </row>
    <row r="198" spans="1:4" x14ac:dyDescent="0.35">
      <c r="A198" s="1">
        <v>45488</v>
      </c>
      <c r="B198">
        <v>593</v>
      </c>
      <c r="C198">
        <v>2372</v>
      </c>
      <c r="D198">
        <v>6.83E-2</v>
      </c>
    </row>
    <row r="199" spans="1:4" x14ac:dyDescent="0.35">
      <c r="A199" s="1">
        <v>45489</v>
      </c>
      <c r="B199">
        <v>332</v>
      </c>
      <c r="C199">
        <v>996</v>
      </c>
      <c r="D199">
        <v>2.1499999999999998E-2</v>
      </c>
    </row>
    <row r="200" spans="1:4" x14ac:dyDescent="0.35">
      <c r="A200" s="1">
        <v>45490</v>
      </c>
      <c r="B200">
        <v>642</v>
      </c>
      <c r="C200">
        <v>1926</v>
      </c>
      <c r="D200">
        <v>5.6500000000000002E-2</v>
      </c>
    </row>
    <row r="201" spans="1:4" x14ac:dyDescent="0.35">
      <c r="A201" s="1">
        <v>45491</v>
      </c>
      <c r="B201">
        <v>315</v>
      </c>
      <c r="C201">
        <v>1575</v>
      </c>
      <c r="D201">
        <v>3.7699999999999997E-2</v>
      </c>
    </row>
    <row r="202" spans="1:4" x14ac:dyDescent="0.35">
      <c r="A202" s="1">
        <v>45492</v>
      </c>
      <c r="B202">
        <v>805</v>
      </c>
      <c r="C202">
        <v>4025</v>
      </c>
      <c r="D202">
        <v>3.8199999999999998E-2</v>
      </c>
    </row>
    <row r="203" spans="1:4" x14ac:dyDescent="0.35">
      <c r="A203" s="1">
        <v>45493</v>
      </c>
      <c r="B203">
        <v>461</v>
      </c>
      <c r="C203">
        <v>2305</v>
      </c>
      <c r="D203">
        <v>3.6499999999999998E-2</v>
      </c>
    </row>
    <row r="204" spans="1:4" x14ac:dyDescent="0.35">
      <c r="A204" s="1">
        <v>45494</v>
      </c>
      <c r="B204">
        <v>1038</v>
      </c>
      <c r="C204">
        <v>6228</v>
      </c>
      <c r="D204">
        <v>7.1599999999999997E-2</v>
      </c>
    </row>
    <row r="205" spans="1:4" x14ac:dyDescent="0.35">
      <c r="A205" s="1">
        <v>45495</v>
      </c>
      <c r="B205">
        <v>270</v>
      </c>
      <c r="C205">
        <v>1620</v>
      </c>
      <c r="D205">
        <v>3.5999999999999997E-2</v>
      </c>
    </row>
    <row r="206" spans="1:4" x14ac:dyDescent="0.35">
      <c r="A206" s="1">
        <v>45496</v>
      </c>
      <c r="B206">
        <v>256</v>
      </c>
      <c r="C206">
        <v>1024</v>
      </c>
      <c r="D206">
        <v>3.0800000000000001E-2</v>
      </c>
    </row>
    <row r="207" spans="1:4" x14ac:dyDescent="0.35">
      <c r="A207" s="1">
        <v>45497</v>
      </c>
      <c r="B207">
        <v>649</v>
      </c>
      <c r="C207">
        <v>3245</v>
      </c>
      <c r="D207">
        <v>4.5900000000000003E-2</v>
      </c>
    </row>
    <row r="208" spans="1:4" x14ac:dyDescent="0.35">
      <c r="A208" s="1">
        <v>45498</v>
      </c>
      <c r="B208">
        <v>1002</v>
      </c>
      <c r="C208">
        <v>6012</v>
      </c>
      <c r="D208">
        <v>6.2399999999999997E-2</v>
      </c>
    </row>
    <row r="209" spans="1:4" x14ac:dyDescent="0.35">
      <c r="A209" s="1">
        <v>45499</v>
      </c>
      <c r="B209">
        <v>1169</v>
      </c>
      <c r="C209">
        <v>3507</v>
      </c>
      <c r="D209">
        <v>4.2799999999999998E-2</v>
      </c>
    </row>
    <row r="210" spans="1:4" x14ac:dyDescent="0.35">
      <c r="A210" s="1">
        <v>45500</v>
      </c>
      <c r="B210">
        <v>529</v>
      </c>
      <c r="C210">
        <v>2645</v>
      </c>
      <c r="D210">
        <v>4.2599999999999999E-2</v>
      </c>
    </row>
    <row r="211" spans="1:4" x14ac:dyDescent="0.35">
      <c r="A211" s="1">
        <v>45501</v>
      </c>
      <c r="B211">
        <v>648</v>
      </c>
      <c r="C211">
        <v>2592</v>
      </c>
      <c r="D211">
        <v>5.4100000000000002E-2</v>
      </c>
    </row>
    <row r="212" spans="1:4" x14ac:dyDescent="0.35">
      <c r="A212" s="1">
        <v>45502</v>
      </c>
      <c r="B212">
        <v>1067</v>
      </c>
      <c r="C212">
        <v>5335</v>
      </c>
      <c r="D212">
        <v>5.7599999999999998E-2</v>
      </c>
    </row>
    <row r="213" spans="1:4" x14ac:dyDescent="0.35">
      <c r="A213" s="1">
        <v>45503</v>
      </c>
      <c r="B213">
        <v>1110</v>
      </c>
      <c r="C213">
        <v>5550</v>
      </c>
      <c r="D213">
        <v>6.9900000000000004E-2</v>
      </c>
    </row>
    <row r="214" spans="1:4" x14ac:dyDescent="0.35">
      <c r="A214" s="1">
        <v>45504</v>
      </c>
      <c r="B214">
        <v>887</v>
      </c>
      <c r="C214">
        <v>5322</v>
      </c>
      <c r="D214">
        <v>1.37E-2</v>
      </c>
    </row>
    <row r="215" spans="1:4" x14ac:dyDescent="0.35">
      <c r="A215" s="1">
        <v>45505</v>
      </c>
      <c r="B215">
        <v>653</v>
      </c>
      <c r="C215">
        <v>3918</v>
      </c>
      <c r="D215">
        <v>4.7600000000000003E-2</v>
      </c>
    </row>
    <row r="216" spans="1:4" x14ac:dyDescent="0.35">
      <c r="A216" s="1">
        <v>45506</v>
      </c>
      <c r="B216">
        <v>277</v>
      </c>
      <c r="C216">
        <v>554</v>
      </c>
      <c r="D216">
        <v>5.2499999999999998E-2</v>
      </c>
    </row>
    <row r="217" spans="1:4" x14ac:dyDescent="0.35">
      <c r="A217" s="1">
        <v>45507</v>
      </c>
      <c r="B217">
        <v>388</v>
      </c>
      <c r="C217">
        <v>1940</v>
      </c>
      <c r="D217">
        <v>2.3400000000000001E-2</v>
      </c>
    </row>
    <row r="218" spans="1:4" x14ac:dyDescent="0.35">
      <c r="A218" s="1">
        <v>45508</v>
      </c>
      <c r="B218">
        <v>516</v>
      </c>
      <c r="C218">
        <v>2580</v>
      </c>
      <c r="D218">
        <v>3.2599999999999997E-2</v>
      </c>
    </row>
    <row r="219" spans="1:4" x14ac:dyDescent="0.35">
      <c r="A219" s="1">
        <v>45509</v>
      </c>
      <c r="B219">
        <v>715</v>
      </c>
      <c r="C219">
        <v>2860</v>
      </c>
      <c r="D219">
        <v>3.3300000000000003E-2</v>
      </c>
    </row>
    <row r="220" spans="1:4" x14ac:dyDescent="0.35">
      <c r="A220" s="1">
        <v>45510</v>
      </c>
      <c r="B220">
        <v>1150</v>
      </c>
      <c r="C220">
        <v>5750</v>
      </c>
      <c r="D220">
        <v>2.9499999999999998E-2</v>
      </c>
    </row>
    <row r="221" spans="1:4" x14ac:dyDescent="0.35">
      <c r="A221" s="1">
        <v>45511</v>
      </c>
      <c r="B221">
        <v>1101</v>
      </c>
      <c r="C221">
        <v>5505</v>
      </c>
      <c r="D221">
        <v>2.7900000000000001E-2</v>
      </c>
    </row>
    <row r="222" spans="1:4" x14ac:dyDescent="0.35">
      <c r="A222" s="1">
        <v>45512</v>
      </c>
      <c r="B222">
        <v>333</v>
      </c>
      <c r="C222">
        <v>1665</v>
      </c>
      <c r="D222">
        <v>1.32E-2</v>
      </c>
    </row>
    <row r="223" spans="1:4" x14ac:dyDescent="0.35">
      <c r="A223" s="1">
        <v>45513</v>
      </c>
      <c r="B223">
        <v>802</v>
      </c>
      <c r="C223">
        <v>1604</v>
      </c>
      <c r="D223">
        <v>7.4999999999999997E-2</v>
      </c>
    </row>
    <row r="224" spans="1:4" x14ac:dyDescent="0.35">
      <c r="A224" s="1">
        <v>45514</v>
      </c>
      <c r="B224">
        <v>608</v>
      </c>
      <c r="C224">
        <v>1824</v>
      </c>
      <c r="D224">
        <v>5.2999999999999999E-2</v>
      </c>
    </row>
    <row r="225" spans="1:4" x14ac:dyDescent="0.35">
      <c r="A225" s="1">
        <v>45515</v>
      </c>
      <c r="B225">
        <v>1049</v>
      </c>
      <c r="C225">
        <v>2098</v>
      </c>
      <c r="D225">
        <v>5.9499999999999997E-2</v>
      </c>
    </row>
    <row r="226" spans="1:4" x14ac:dyDescent="0.35">
      <c r="A226" s="1">
        <v>45516</v>
      </c>
      <c r="B226">
        <v>503</v>
      </c>
      <c r="C226">
        <v>1509</v>
      </c>
      <c r="D226">
        <v>6.4899999999999999E-2</v>
      </c>
    </row>
    <row r="227" spans="1:4" x14ac:dyDescent="0.35">
      <c r="A227" s="1">
        <v>45517</v>
      </c>
      <c r="B227">
        <v>886</v>
      </c>
      <c r="C227">
        <v>2658</v>
      </c>
      <c r="D227">
        <v>2.7E-2</v>
      </c>
    </row>
    <row r="228" spans="1:4" x14ac:dyDescent="0.35">
      <c r="A228" s="1">
        <v>45518</v>
      </c>
      <c r="B228">
        <v>734</v>
      </c>
      <c r="C228">
        <v>1468</v>
      </c>
      <c r="D228">
        <v>4.7500000000000001E-2</v>
      </c>
    </row>
    <row r="229" spans="1:4" x14ac:dyDescent="0.35">
      <c r="A229" s="1">
        <v>45519</v>
      </c>
      <c r="B229">
        <v>473</v>
      </c>
      <c r="C229">
        <v>2365</v>
      </c>
      <c r="D229">
        <v>5.6099999999999997E-2</v>
      </c>
    </row>
    <row r="230" spans="1:4" x14ac:dyDescent="0.35">
      <c r="A230" s="1">
        <v>45520</v>
      </c>
      <c r="B230">
        <v>1035</v>
      </c>
      <c r="C230">
        <v>4140</v>
      </c>
      <c r="D230">
        <v>2.2599999999999999E-2</v>
      </c>
    </row>
    <row r="231" spans="1:4" x14ac:dyDescent="0.35">
      <c r="A231" s="1">
        <v>45521</v>
      </c>
      <c r="B231">
        <v>871</v>
      </c>
      <c r="C231">
        <v>1742</v>
      </c>
      <c r="D231">
        <v>6.0999999999999999E-2</v>
      </c>
    </row>
    <row r="232" spans="1:4" x14ac:dyDescent="0.35">
      <c r="A232" s="1">
        <v>45522</v>
      </c>
      <c r="B232">
        <v>417</v>
      </c>
      <c r="C232">
        <v>1668</v>
      </c>
      <c r="D232">
        <v>1.8800000000000001E-2</v>
      </c>
    </row>
    <row r="233" spans="1:4" x14ac:dyDescent="0.35">
      <c r="A233" s="1">
        <v>45523</v>
      </c>
      <c r="B233">
        <v>276</v>
      </c>
      <c r="C233">
        <v>1104</v>
      </c>
      <c r="D233">
        <v>4.8300000000000003E-2</v>
      </c>
    </row>
    <row r="234" spans="1:4" x14ac:dyDescent="0.35">
      <c r="A234" s="1">
        <v>45524</v>
      </c>
      <c r="B234">
        <v>1179</v>
      </c>
      <c r="C234">
        <v>5895</v>
      </c>
      <c r="D234">
        <v>3.6999999999999998E-2</v>
      </c>
    </row>
    <row r="235" spans="1:4" x14ac:dyDescent="0.35">
      <c r="A235" s="1">
        <v>45525</v>
      </c>
      <c r="B235">
        <v>982</v>
      </c>
      <c r="C235">
        <v>2946</v>
      </c>
      <c r="D235">
        <v>1.6799999999999999E-2</v>
      </c>
    </row>
    <row r="236" spans="1:4" x14ac:dyDescent="0.35">
      <c r="A236" s="1">
        <v>45526</v>
      </c>
      <c r="B236">
        <v>957</v>
      </c>
      <c r="C236">
        <v>2871</v>
      </c>
      <c r="D236">
        <v>1.84E-2</v>
      </c>
    </row>
    <row r="237" spans="1:4" x14ac:dyDescent="0.35">
      <c r="A237" s="1">
        <v>45527</v>
      </c>
      <c r="B237">
        <v>1041</v>
      </c>
      <c r="C237">
        <v>4164</v>
      </c>
      <c r="D237">
        <v>6.5600000000000006E-2</v>
      </c>
    </row>
    <row r="238" spans="1:4" x14ac:dyDescent="0.35">
      <c r="A238" s="1">
        <v>45528</v>
      </c>
      <c r="B238">
        <v>864</v>
      </c>
      <c r="C238">
        <v>1728</v>
      </c>
      <c r="D238">
        <v>6.2199999999999998E-2</v>
      </c>
    </row>
    <row r="239" spans="1:4" x14ac:dyDescent="0.35">
      <c r="A239" s="1">
        <v>45529</v>
      </c>
      <c r="B239">
        <v>829</v>
      </c>
      <c r="C239">
        <v>1658</v>
      </c>
      <c r="D239">
        <v>3.39E-2</v>
      </c>
    </row>
    <row r="240" spans="1:4" x14ac:dyDescent="0.35">
      <c r="A240" s="1">
        <v>45530</v>
      </c>
      <c r="B240">
        <v>688</v>
      </c>
      <c r="C240">
        <v>2752</v>
      </c>
      <c r="D240">
        <v>1.6299999999999999E-2</v>
      </c>
    </row>
    <row r="241" spans="1:4" x14ac:dyDescent="0.35">
      <c r="A241" s="1">
        <v>45531</v>
      </c>
      <c r="B241">
        <v>913</v>
      </c>
      <c r="C241">
        <v>3652</v>
      </c>
      <c r="D241">
        <v>1.2800000000000001E-2</v>
      </c>
    </row>
    <row r="242" spans="1:4" x14ac:dyDescent="0.35">
      <c r="A242" s="1">
        <v>45532</v>
      </c>
      <c r="B242">
        <v>680</v>
      </c>
      <c r="C242">
        <v>3400</v>
      </c>
      <c r="D242">
        <v>1.8599999999999998E-2</v>
      </c>
    </row>
    <row r="243" spans="1:4" x14ac:dyDescent="0.35">
      <c r="A243" s="1">
        <v>45533</v>
      </c>
      <c r="B243">
        <v>620</v>
      </c>
      <c r="C243">
        <v>3100</v>
      </c>
      <c r="D243">
        <v>5.6599999999999998E-2</v>
      </c>
    </row>
    <row r="244" spans="1:4" x14ac:dyDescent="0.35">
      <c r="A244" s="1">
        <v>45534</v>
      </c>
      <c r="B244">
        <v>695</v>
      </c>
      <c r="C244">
        <v>2085</v>
      </c>
      <c r="D244">
        <v>5.8200000000000002E-2</v>
      </c>
    </row>
    <row r="245" spans="1:4" x14ac:dyDescent="0.35">
      <c r="A245" s="1">
        <v>45535</v>
      </c>
      <c r="B245">
        <v>916</v>
      </c>
      <c r="C245">
        <v>3664</v>
      </c>
      <c r="D245">
        <v>5.0799999999999998E-2</v>
      </c>
    </row>
    <row r="246" spans="1:4" x14ac:dyDescent="0.35">
      <c r="A246" s="1">
        <v>45536</v>
      </c>
      <c r="B246">
        <v>1191</v>
      </c>
      <c r="C246">
        <v>7146</v>
      </c>
      <c r="D246">
        <v>6.08E-2</v>
      </c>
    </row>
    <row r="247" spans="1:4" x14ac:dyDescent="0.35">
      <c r="A247" s="1">
        <v>45537</v>
      </c>
      <c r="B247">
        <v>726</v>
      </c>
      <c r="C247">
        <v>3630</v>
      </c>
      <c r="D247">
        <v>6.4000000000000001E-2</v>
      </c>
    </row>
    <row r="248" spans="1:4" x14ac:dyDescent="0.35">
      <c r="A248" s="1">
        <v>45538</v>
      </c>
      <c r="B248">
        <v>856</v>
      </c>
      <c r="C248">
        <v>3424</v>
      </c>
      <c r="D248">
        <v>3.2300000000000002E-2</v>
      </c>
    </row>
    <row r="249" spans="1:4" x14ac:dyDescent="0.35">
      <c r="A249" s="1">
        <v>45539</v>
      </c>
      <c r="B249">
        <v>501</v>
      </c>
      <c r="C249">
        <v>1002</v>
      </c>
      <c r="D249">
        <v>2.9600000000000001E-2</v>
      </c>
    </row>
    <row r="250" spans="1:4" x14ac:dyDescent="0.35">
      <c r="A250" s="1">
        <v>45540</v>
      </c>
      <c r="B250">
        <v>711</v>
      </c>
      <c r="C250">
        <v>2133</v>
      </c>
      <c r="D250">
        <v>5.9299999999999999E-2</v>
      </c>
    </row>
    <row r="251" spans="1:4" x14ac:dyDescent="0.35">
      <c r="A251" s="1">
        <v>45541</v>
      </c>
      <c r="B251">
        <v>833</v>
      </c>
      <c r="C251">
        <v>4998</v>
      </c>
      <c r="D251">
        <v>5.4100000000000002E-2</v>
      </c>
    </row>
    <row r="252" spans="1:4" x14ac:dyDescent="0.35">
      <c r="A252" s="1">
        <v>45542</v>
      </c>
      <c r="B252">
        <v>594</v>
      </c>
      <c r="C252">
        <v>1188</v>
      </c>
      <c r="D252">
        <v>4.3099999999999999E-2</v>
      </c>
    </row>
    <row r="253" spans="1:4" x14ac:dyDescent="0.35">
      <c r="A253" s="1">
        <v>45543</v>
      </c>
      <c r="B253">
        <v>582</v>
      </c>
      <c r="C253">
        <v>1746</v>
      </c>
      <c r="D253">
        <v>4.2700000000000002E-2</v>
      </c>
    </row>
    <row r="254" spans="1:4" x14ac:dyDescent="0.35">
      <c r="A254" s="1">
        <v>45544</v>
      </c>
      <c r="B254">
        <v>613</v>
      </c>
      <c r="C254">
        <v>2452</v>
      </c>
      <c r="D254">
        <v>3.3399999999999999E-2</v>
      </c>
    </row>
    <row r="255" spans="1:4" x14ac:dyDescent="0.35">
      <c r="A255" s="1">
        <v>45545</v>
      </c>
      <c r="B255">
        <v>1151</v>
      </c>
      <c r="C255">
        <v>6906</v>
      </c>
      <c r="D255">
        <v>5.62E-2</v>
      </c>
    </row>
    <row r="256" spans="1:4" x14ac:dyDescent="0.35">
      <c r="A256" s="1">
        <v>45546</v>
      </c>
      <c r="B256">
        <v>532</v>
      </c>
      <c r="C256">
        <v>3192</v>
      </c>
      <c r="D256">
        <v>1.26E-2</v>
      </c>
    </row>
    <row r="257" spans="1:4" x14ac:dyDescent="0.35">
      <c r="A257" s="1">
        <v>45547</v>
      </c>
      <c r="B257">
        <v>445</v>
      </c>
      <c r="C257">
        <v>890</v>
      </c>
      <c r="D257">
        <v>2.7199999999999998E-2</v>
      </c>
    </row>
    <row r="258" spans="1:4" x14ac:dyDescent="0.35">
      <c r="A258" s="1">
        <v>45548</v>
      </c>
      <c r="B258">
        <v>666</v>
      </c>
      <c r="C258">
        <v>3330</v>
      </c>
      <c r="D258">
        <v>4.7E-2</v>
      </c>
    </row>
    <row r="259" spans="1:4" x14ac:dyDescent="0.35">
      <c r="A259" s="1">
        <v>45549</v>
      </c>
      <c r="B259">
        <v>496</v>
      </c>
      <c r="C259">
        <v>2480</v>
      </c>
      <c r="D259">
        <v>5.2699999999999997E-2</v>
      </c>
    </row>
    <row r="260" spans="1:4" x14ac:dyDescent="0.35">
      <c r="A260" s="1">
        <v>45550</v>
      </c>
      <c r="B260">
        <v>752</v>
      </c>
      <c r="C260">
        <v>3760</v>
      </c>
      <c r="D260">
        <v>6.2E-2</v>
      </c>
    </row>
    <row r="261" spans="1:4" x14ac:dyDescent="0.35">
      <c r="A261" s="1">
        <v>45551</v>
      </c>
      <c r="B261">
        <v>345</v>
      </c>
      <c r="C261">
        <v>1380</v>
      </c>
      <c r="D261">
        <v>2.5999999999999999E-2</v>
      </c>
    </row>
    <row r="262" spans="1:4" x14ac:dyDescent="0.35">
      <c r="A262" s="1">
        <v>45552</v>
      </c>
      <c r="B262">
        <v>958</v>
      </c>
      <c r="C262">
        <v>2874</v>
      </c>
      <c r="D262">
        <v>3.1300000000000001E-2</v>
      </c>
    </row>
    <row r="263" spans="1:4" x14ac:dyDescent="0.35">
      <c r="A263" s="1">
        <v>45553</v>
      </c>
      <c r="B263">
        <v>845</v>
      </c>
      <c r="C263">
        <v>3380</v>
      </c>
      <c r="D263">
        <v>4.1799999999999997E-2</v>
      </c>
    </row>
    <row r="264" spans="1:4" x14ac:dyDescent="0.35">
      <c r="A264" s="1">
        <v>45554</v>
      </c>
      <c r="B264">
        <v>793</v>
      </c>
      <c r="C264">
        <v>3172</v>
      </c>
      <c r="D264">
        <v>3.8800000000000001E-2</v>
      </c>
    </row>
    <row r="265" spans="1:4" x14ac:dyDescent="0.35">
      <c r="A265" s="1">
        <v>45555</v>
      </c>
      <c r="B265">
        <v>1013</v>
      </c>
      <c r="C265">
        <v>6078</v>
      </c>
      <c r="D265">
        <v>3.2800000000000003E-2</v>
      </c>
    </row>
    <row r="266" spans="1:4" x14ac:dyDescent="0.35">
      <c r="A266" s="1">
        <v>45556</v>
      </c>
      <c r="B266">
        <v>969</v>
      </c>
      <c r="C266">
        <v>4845</v>
      </c>
      <c r="D266">
        <v>2.9100000000000001E-2</v>
      </c>
    </row>
    <row r="267" spans="1:4" x14ac:dyDescent="0.35">
      <c r="A267" s="1">
        <v>45557</v>
      </c>
      <c r="B267">
        <v>507</v>
      </c>
      <c r="C267">
        <v>1521</v>
      </c>
      <c r="D267">
        <v>1.9599999999999999E-2</v>
      </c>
    </row>
    <row r="268" spans="1:4" x14ac:dyDescent="0.35">
      <c r="A268" s="1">
        <v>45558</v>
      </c>
      <c r="B268">
        <v>447</v>
      </c>
      <c r="C268">
        <v>1788</v>
      </c>
      <c r="D268">
        <v>1.95E-2</v>
      </c>
    </row>
    <row r="269" spans="1:4" x14ac:dyDescent="0.35">
      <c r="A269" s="1">
        <v>45559</v>
      </c>
      <c r="B269">
        <v>798</v>
      </c>
      <c r="C269">
        <v>2394</v>
      </c>
      <c r="D269">
        <v>2.41E-2</v>
      </c>
    </row>
    <row r="270" spans="1:4" x14ac:dyDescent="0.35">
      <c r="A270" s="1">
        <v>45560</v>
      </c>
      <c r="B270">
        <v>1006</v>
      </c>
      <c r="C270">
        <v>5030</v>
      </c>
      <c r="D270">
        <v>2.9399999999999999E-2</v>
      </c>
    </row>
    <row r="271" spans="1:4" x14ac:dyDescent="0.35">
      <c r="A271" s="1">
        <v>45561</v>
      </c>
      <c r="B271">
        <v>853</v>
      </c>
      <c r="C271">
        <v>5118</v>
      </c>
      <c r="D271">
        <v>4.9599999999999998E-2</v>
      </c>
    </row>
    <row r="272" spans="1:4" x14ac:dyDescent="0.35">
      <c r="A272" s="1">
        <v>45562</v>
      </c>
      <c r="B272">
        <v>352</v>
      </c>
      <c r="C272">
        <v>1056</v>
      </c>
      <c r="D272">
        <v>3.0700000000000002E-2</v>
      </c>
    </row>
    <row r="273" spans="1:4" x14ac:dyDescent="0.35">
      <c r="A273" s="1">
        <v>45563</v>
      </c>
      <c r="B273">
        <v>619</v>
      </c>
      <c r="C273">
        <v>1857</v>
      </c>
      <c r="D273">
        <v>3.1E-2</v>
      </c>
    </row>
    <row r="274" spans="1:4" x14ac:dyDescent="0.35">
      <c r="A274" s="1">
        <v>45564</v>
      </c>
      <c r="B274">
        <v>975</v>
      </c>
      <c r="C274">
        <v>5850</v>
      </c>
      <c r="D274">
        <v>0.02</v>
      </c>
    </row>
    <row r="275" spans="1:4" x14ac:dyDescent="0.35">
      <c r="A275" s="1">
        <v>45565</v>
      </c>
      <c r="B275">
        <v>296</v>
      </c>
      <c r="C275">
        <v>592</v>
      </c>
      <c r="D275">
        <v>4.6899999999999997E-2</v>
      </c>
    </row>
    <row r="276" spans="1:4" x14ac:dyDescent="0.35">
      <c r="A276" s="1">
        <v>45566</v>
      </c>
      <c r="B276">
        <v>964</v>
      </c>
      <c r="C276">
        <v>2892</v>
      </c>
      <c r="D276">
        <v>5.2200000000000003E-2</v>
      </c>
    </row>
    <row r="277" spans="1:4" x14ac:dyDescent="0.35">
      <c r="A277" s="1">
        <v>45567</v>
      </c>
      <c r="B277">
        <v>1020</v>
      </c>
      <c r="C277">
        <v>5100</v>
      </c>
      <c r="D277">
        <v>1.8499999999999999E-2</v>
      </c>
    </row>
    <row r="278" spans="1:4" x14ac:dyDescent="0.35">
      <c r="A278" s="1">
        <v>45568</v>
      </c>
      <c r="B278">
        <v>262</v>
      </c>
      <c r="C278">
        <v>1572</v>
      </c>
      <c r="D278">
        <v>2.9899999999999999E-2</v>
      </c>
    </row>
    <row r="279" spans="1:4" x14ac:dyDescent="0.35">
      <c r="A279" s="1">
        <v>45569</v>
      </c>
      <c r="B279">
        <v>740</v>
      </c>
      <c r="C279">
        <v>3700</v>
      </c>
      <c r="D279">
        <v>3.3500000000000002E-2</v>
      </c>
    </row>
    <row r="280" spans="1:4" x14ac:dyDescent="0.35">
      <c r="A280" s="1">
        <v>45570</v>
      </c>
      <c r="B280">
        <v>302</v>
      </c>
      <c r="C280">
        <v>1208</v>
      </c>
      <c r="D280">
        <v>7.1300000000000002E-2</v>
      </c>
    </row>
    <row r="281" spans="1:4" x14ac:dyDescent="0.35">
      <c r="A281" s="1">
        <v>45571</v>
      </c>
      <c r="B281">
        <v>739</v>
      </c>
      <c r="C281">
        <v>1478</v>
      </c>
      <c r="D281">
        <v>6.3799999999999996E-2</v>
      </c>
    </row>
    <row r="282" spans="1:4" x14ac:dyDescent="0.35">
      <c r="A282" s="1">
        <v>45572</v>
      </c>
      <c r="B282">
        <v>660</v>
      </c>
      <c r="C282">
        <v>3300</v>
      </c>
      <c r="D282">
        <v>1.67E-2</v>
      </c>
    </row>
    <row r="283" spans="1:4" x14ac:dyDescent="0.35">
      <c r="A283" s="1">
        <v>45573</v>
      </c>
      <c r="B283">
        <v>894</v>
      </c>
      <c r="C283">
        <v>1788</v>
      </c>
      <c r="D283">
        <v>2.1600000000000001E-2</v>
      </c>
    </row>
    <row r="284" spans="1:4" x14ac:dyDescent="0.35">
      <c r="A284" s="1">
        <v>45574</v>
      </c>
      <c r="B284">
        <v>1080</v>
      </c>
      <c r="C284">
        <v>6480</v>
      </c>
      <c r="D284">
        <v>7.1800000000000003E-2</v>
      </c>
    </row>
    <row r="285" spans="1:4" x14ac:dyDescent="0.35">
      <c r="A285" s="1">
        <v>45575</v>
      </c>
      <c r="B285">
        <v>337</v>
      </c>
      <c r="C285">
        <v>1011</v>
      </c>
      <c r="D285">
        <v>1.95E-2</v>
      </c>
    </row>
    <row r="286" spans="1:4" x14ac:dyDescent="0.35">
      <c r="A286" s="1">
        <v>45576</v>
      </c>
      <c r="B286">
        <v>1032</v>
      </c>
      <c r="C286">
        <v>5160</v>
      </c>
      <c r="D286">
        <v>5.0200000000000002E-2</v>
      </c>
    </row>
    <row r="287" spans="1:4" x14ac:dyDescent="0.35">
      <c r="A287" s="1">
        <v>45577</v>
      </c>
      <c r="B287">
        <v>1059</v>
      </c>
      <c r="C287">
        <v>6354</v>
      </c>
      <c r="D287">
        <v>2.6200000000000001E-2</v>
      </c>
    </row>
    <row r="288" spans="1:4" x14ac:dyDescent="0.35">
      <c r="A288" s="1">
        <v>45578</v>
      </c>
      <c r="B288">
        <v>785</v>
      </c>
      <c r="C288">
        <v>3925</v>
      </c>
      <c r="D288">
        <v>4.0399999999999998E-2</v>
      </c>
    </row>
    <row r="289" spans="1:4" x14ac:dyDescent="0.35">
      <c r="A289" s="1">
        <v>45579</v>
      </c>
      <c r="B289">
        <v>703</v>
      </c>
      <c r="C289">
        <v>2812</v>
      </c>
      <c r="D289">
        <v>6.6199999999999995E-2</v>
      </c>
    </row>
    <row r="290" spans="1:4" x14ac:dyDescent="0.35">
      <c r="A290" s="1">
        <v>45580</v>
      </c>
      <c r="B290">
        <v>689</v>
      </c>
      <c r="C290">
        <v>2756</v>
      </c>
      <c r="D290">
        <v>4.7800000000000002E-2</v>
      </c>
    </row>
    <row r="291" spans="1:4" x14ac:dyDescent="0.35">
      <c r="A291" s="1">
        <v>45581</v>
      </c>
      <c r="B291">
        <v>311</v>
      </c>
      <c r="C291">
        <v>1866</v>
      </c>
      <c r="D291">
        <v>7.2499999999999995E-2</v>
      </c>
    </row>
    <row r="292" spans="1:4" x14ac:dyDescent="0.35">
      <c r="A292" s="1">
        <v>45582</v>
      </c>
      <c r="B292">
        <v>351</v>
      </c>
      <c r="C292">
        <v>1053</v>
      </c>
      <c r="D292">
        <v>5.1400000000000001E-2</v>
      </c>
    </row>
    <row r="293" spans="1:4" x14ac:dyDescent="0.35">
      <c r="A293" s="1">
        <v>45583</v>
      </c>
      <c r="B293">
        <v>520</v>
      </c>
      <c r="C293">
        <v>1040</v>
      </c>
      <c r="D293">
        <v>2.1899999999999999E-2</v>
      </c>
    </row>
    <row r="294" spans="1:4" x14ac:dyDescent="0.35">
      <c r="A294" s="1">
        <v>45584</v>
      </c>
      <c r="B294">
        <v>427</v>
      </c>
      <c r="C294">
        <v>2562</v>
      </c>
      <c r="D294">
        <v>1.67E-2</v>
      </c>
    </row>
    <row r="295" spans="1:4" x14ac:dyDescent="0.35">
      <c r="A295" s="1">
        <v>45585</v>
      </c>
      <c r="B295">
        <v>252</v>
      </c>
      <c r="C295">
        <v>1260</v>
      </c>
      <c r="D295">
        <v>4.0399999999999998E-2</v>
      </c>
    </row>
    <row r="296" spans="1:4" x14ac:dyDescent="0.35">
      <c r="A296" s="1">
        <v>45586</v>
      </c>
      <c r="B296">
        <v>858</v>
      </c>
      <c r="C296">
        <v>4290</v>
      </c>
      <c r="D296">
        <v>3.0300000000000001E-2</v>
      </c>
    </row>
    <row r="297" spans="1:4" x14ac:dyDescent="0.35">
      <c r="A297" s="1">
        <v>45587</v>
      </c>
      <c r="B297">
        <v>487</v>
      </c>
      <c r="C297">
        <v>1948</v>
      </c>
      <c r="D297">
        <v>5.6500000000000002E-2</v>
      </c>
    </row>
    <row r="298" spans="1:4" x14ac:dyDescent="0.35">
      <c r="A298" s="1">
        <v>45588</v>
      </c>
      <c r="B298">
        <v>969</v>
      </c>
      <c r="C298">
        <v>4845</v>
      </c>
      <c r="D298">
        <v>1.6500000000000001E-2</v>
      </c>
    </row>
    <row r="299" spans="1:4" x14ac:dyDescent="0.35">
      <c r="A299" s="1">
        <v>45589</v>
      </c>
      <c r="B299">
        <v>489</v>
      </c>
      <c r="C299">
        <v>1956</v>
      </c>
      <c r="D299">
        <v>6.1600000000000002E-2</v>
      </c>
    </row>
    <row r="300" spans="1:4" x14ac:dyDescent="0.35">
      <c r="A300" s="1">
        <v>45590</v>
      </c>
      <c r="B300">
        <v>890</v>
      </c>
      <c r="C300">
        <v>5340</v>
      </c>
      <c r="D300">
        <v>5.3699999999999998E-2</v>
      </c>
    </row>
    <row r="301" spans="1:4" x14ac:dyDescent="0.35">
      <c r="A301" s="1">
        <v>45591</v>
      </c>
      <c r="B301">
        <v>452</v>
      </c>
      <c r="C301">
        <v>2260</v>
      </c>
      <c r="D301">
        <v>1.9199999999999998E-2</v>
      </c>
    </row>
    <row r="302" spans="1:4" x14ac:dyDescent="0.35">
      <c r="A302" s="1">
        <v>45592</v>
      </c>
      <c r="B302">
        <v>480</v>
      </c>
      <c r="C302">
        <v>1440</v>
      </c>
      <c r="D302">
        <v>6.9199999999999998E-2</v>
      </c>
    </row>
    <row r="303" spans="1:4" x14ac:dyDescent="0.35">
      <c r="A303" s="1">
        <v>45593</v>
      </c>
      <c r="B303">
        <v>1096</v>
      </c>
      <c r="C303">
        <v>3288</v>
      </c>
      <c r="D303">
        <v>1.6500000000000001E-2</v>
      </c>
    </row>
    <row r="304" spans="1:4" x14ac:dyDescent="0.35">
      <c r="A304" s="1">
        <v>45594</v>
      </c>
      <c r="B304">
        <v>419</v>
      </c>
      <c r="C304">
        <v>1676</v>
      </c>
      <c r="D304">
        <v>4.9500000000000002E-2</v>
      </c>
    </row>
    <row r="305" spans="1:4" x14ac:dyDescent="0.35">
      <c r="A305" s="1">
        <v>45595</v>
      </c>
      <c r="B305">
        <v>1094</v>
      </c>
      <c r="C305">
        <v>6564</v>
      </c>
      <c r="D305">
        <v>7.0000000000000007E-2</v>
      </c>
    </row>
    <row r="306" spans="1:4" x14ac:dyDescent="0.35">
      <c r="A306" s="1">
        <v>45596</v>
      </c>
      <c r="B306">
        <v>699</v>
      </c>
      <c r="C306">
        <v>1398</v>
      </c>
      <c r="D306">
        <v>4.1500000000000002E-2</v>
      </c>
    </row>
    <row r="307" spans="1:4" x14ac:dyDescent="0.35">
      <c r="A307" s="1">
        <v>45597</v>
      </c>
      <c r="B307">
        <v>561</v>
      </c>
      <c r="C307">
        <v>2805</v>
      </c>
      <c r="D307">
        <v>7.1400000000000005E-2</v>
      </c>
    </row>
    <row r="308" spans="1:4" x14ac:dyDescent="0.35">
      <c r="A308" s="1">
        <v>45598</v>
      </c>
      <c r="B308">
        <v>762</v>
      </c>
      <c r="C308">
        <v>4572</v>
      </c>
      <c r="D308">
        <v>4.3099999999999999E-2</v>
      </c>
    </row>
    <row r="309" spans="1:4" x14ac:dyDescent="0.35">
      <c r="A309" s="1">
        <v>45599</v>
      </c>
      <c r="B309">
        <v>332</v>
      </c>
      <c r="C309">
        <v>1992</v>
      </c>
      <c r="D309">
        <v>1.4500000000000001E-2</v>
      </c>
    </row>
    <row r="310" spans="1:4" x14ac:dyDescent="0.35">
      <c r="A310" s="1">
        <v>45600</v>
      </c>
      <c r="B310">
        <v>692</v>
      </c>
      <c r="C310">
        <v>2768</v>
      </c>
      <c r="D310">
        <v>0.05</v>
      </c>
    </row>
    <row r="311" spans="1:4" x14ac:dyDescent="0.35">
      <c r="A311" s="1">
        <v>45601</v>
      </c>
      <c r="B311">
        <v>276</v>
      </c>
      <c r="C311">
        <v>552</v>
      </c>
      <c r="D311">
        <v>2.64E-2</v>
      </c>
    </row>
    <row r="312" spans="1:4" x14ac:dyDescent="0.35">
      <c r="A312" s="1">
        <v>45602</v>
      </c>
      <c r="B312">
        <v>940</v>
      </c>
      <c r="C312">
        <v>5640</v>
      </c>
      <c r="D312">
        <v>4.9000000000000002E-2</v>
      </c>
    </row>
    <row r="313" spans="1:4" x14ac:dyDescent="0.35">
      <c r="A313" s="1">
        <v>45603</v>
      </c>
      <c r="B313">
        <v>271</v>
      </c>
      <c r="C313">
        <v>1084</v>
      </c>
      <c r="D313">
        <v>4.8300000000000003E-2</v>
      </c>
    </row>
    <row r="314" spans="1:4" x14ac:dyDescent="0.35">
      <c r="A314" s="1">
        <v>45604</v>
      </c>
      <c r="B314">
        <v>1031</v>
      </c>
      <c r="C314">
        <v>3093</v>
      </c>
      <c r="D314">
        <v>4.1599999999999998E-2</v>
      </c>
    </row>
    <row r="315" spans="1:4" x14ac:dyDescent="0.35">
      <c r="A315" s="1">
        <v>45605</v>
      </c>
      <c r="B315">
        <v>917</v>
      </c>
      <c r="C315">
        <v>4585</v>
      </c>
      <c r="D315">
        <v>6.9699999999999998E-2</v>
      </c>
    </row>
    <row r="316" spans="1:4" x14ac:dyDescent="0.35">
      <c r="A316" s="1">
        <v>45606</v>
      </c>
      <c r="B316">
        <v>435</v>
      </c>
      <c r="C316">
        <v>2610</v>
      </c>
      <c r="D316">
        <v>3.95E-2</v>
      </c>
    </row>
    <row r="317" spans="1:4" x14ac:dyDescent="0.35">
      <c r="A317" s="1">
        <v>45607</v>
      </c>
      <c r="B317">
        <v>1083</v>
      </c>
      <c r="C317">
        <v>5415</v>
      </c>
      <c r="D317">
        <v>7.3099999999999998E-2</v>
      </c>
    </row>
    <row r="318" spans="1:4" x14ac:dyDescent="0.35">
      <c r="A318" s="1">
        <v>45608</v>
      </c>
      <c r="B318">
        <v>731</v>
      </c>
      <c r="C318">
        <v>2924</v>
      </c>
      <c r="D318">
        <v>3.7699999999999997E-2</v>
      </c>
    </row>
    <row r="319" spans="1:4" x14ac:dyDescent="0.35">
      <c r="A319" s="1">
        <v>45609</v>
      </c>
      <c r="B319">
        <v>578</v>
      </c>
      <c r="C319">
        <v>1156</v>
      </c>
      <c r="D319">
        <v>6.6000000000000003E-2</v>
      </c>
    </row>
    <row r="320" spans="1:4" x14ac:dyDescent="0.35">
      <c r="A320" s="1">
        <v>45610</v>
      </c>
      <c r="B320">
        <v>587</v>
      </c>
      <c r="C320">
        <v>2935</v>
      </c>
      <c r="D320">
        <v>5.57E-2</v>
      </c>
    </row>
    <row r="321" spans="1:4" x14ac:dyDescent="0.35">
      <c r="A321" s="1">
        <v>45611</v>
      </c>
      <c r="B321">
        <v>545</v>
      </c>
      <c r="C321">
        <v>2725</v>
      </c>
      <c r="D321">
        <v>6.3299999999999995E-2</v>
      </c>
    </row>
    <row r="322" spans="1:4" x14ac:dyDescent="0.35">
      <c r="A322" s="1">
        <v>45612</v>
      </c>
      <c r="B322">
        <v>813</v>
      </c>
      <c r="C322">
        <v>1626</v>
      </c>
      <c r="D322">
        <v>4.07E-2</v>
      </c>
    </row>
    <row r="323" spans="1:4" x14ac:dyDescent="0.35">
      <c r="A323" s="1">
        <v>45613</v>
      </c>
      <c r="B323">
        <v>572</v>
      </c>
      <c r="C323">
        <v>2288</v>
      </c>
      <c r="D323">
        <v>3.2399999999999998E-2</v>
      </c>
    </row>
    <row r="324" spans="1:4" x14ac:dyDescent="0.35">
      <c r="A324" s="1">
        <v>45614</v>
      </c>
      <c r="B324">
        <v>1041</v>
      </c>
      <c r="C324">
        <v>5205</v>
      </c>
      <c r="D324">
        <v>6.6500000000000004E-2</v>
      </c>
    </row>
    <row r="325" spans="1:4" x14ac:dyDescent="0.35">
      <c r="A325" s="1">
        <v>45615</v>
      </c>
      <c r="B325">
        <v>1094</v>
      </c>
      <c r="C325">
        <v>2188</v>
      </c>
      <c r="D325">
        <v>5.3400000000000003E-2</v>
      </c>
    </row>
    <row r="326" spans="1:4" x14ac:dyDescent="0.35">
      <c r="A326" s="1">
        <v>45616</v>
      </c>
      <c r="B326">
        <v>805</v>
      </c>
      <c r="C326">
        <v>4025</v>
      </c>
      <c r="D326">
        <v>3.7999999999999999E-2</v>
      </c>
    </row>
    <row r="327" spans="1:4" x14ac:dyDescent="0.35">
      <c r="A327" s="1">
        <v>45617</v>
      </c>
      <c r="B327">
        <v>442</v>
      </c>
      <c r="C327">
        <v>2652</v>
      </c>
      <c r="D327">
        <v>3.4799999999999998E-2</v>
      </c>
    </row>
    <row r="328" spans="1:4" x14ac:dyDescent="0.35">
      <c r="A328" s="1">
        <v>45618</v>
      </c>
      <c r="B328">
        <v>1024</v>
      </c>
      <c r="C328">
        <v>5120</v>
      </c>
      <c r="D328">
        <v>5.1400000000000001E-2</v>
      </c>
    </row>
    <row r="329" spans="1:4" x14ac:dyDescent="0.35">
      <c r="A329" s="1">
        <v>45619</v>
      </c>
      <c r="B329">
        <v>1028</v>
      </c>
      <c r="C329">
        <v>2056</v>
      </c>
      <c r="D329">
        <v>2.4799999999999999E-2</v>
      </c>
    </row>
    <row r="330" spans="1:4" x14ac:dyDescent="0.35">
      <c r="A330" s="1">
        <v>45620</v>
      </c>
      <c r="B330">
        <v>812</v>
      </c>
      <c r="C330">
        <v>2436</v>
      </c>
      <c r="D330">
        <v>7.0400000000000004E-2</v>
      </c>
    </row>
    <row r="331" spans="1:4" x14ac:dyDescent="0.35">
      <c r="A331" s="1">
        <v>45621</v>
      </c>
      <c r="B331">
        <v>698</v>
      </c>
      <c r="C331">
        <v>3490</v>
      </c>
      <c r="D331">
        <v>1.9599999999999999E-2</v>
      </c>
    </row>
    <row r="332" spans="1:4" x14ac:dyDescent="0.35">
      <c r="A332" s="1">
        <v>45622</v>
      </c>
      <c r="B332">
        <v>895</v>
      </c>
      <c r="C332">
        <v>5370</v>
      </c>
      <c r="D332">
        <v>6.2399999999999997E-2</v>
      </c>
    </row>
    <row r="333" spans="1:4" x14ac:dyDescent="0.35">
      <c r="A333" s="1">
        <v>45623</v>
      </c>
      <c r="B333">
        <v>976</v>
      </c>
      <c r="C333">
        <v>2928</v>
      </c>
      <c r="D333">
        <v>3.1600000000000003E-2</v>
      </c>
    </row>
    <row r="334" spans="1:4" x14ac:dyDescent="0.35">
      <c r="A334" s="1">
        <v>45624</v>
      </c>
      <c r="B334">
        <v>264</v>
      </c>
      <c r="C334">
        <v>1584</v>
      </c>
      <c r="D334">
        <v>3.7699999999999997E-2</v>
      </c>
    </row>
    <row r="335" spans="1:4" x14ac:dyDescent="0.35">
      <c r="A335" s="1">
        <v>45625</v>
      </c>
      <c r="B335">
        <v>480</v>
      </c>
      <c r="C335">
        <v>960</v>
      </c>
      <c r="D335">
        <v>4.1099999999999998E-2</v>
      </c>
    </row>
    <row r="336" spans="1:4" x14ac:dyDescent="0.35">
      <c r="A336" s="1">
        <v>45626</v>
      </c>
      <c r="B336">
        <v>370</v>
      </c>
      <c r="C336">
        <v>1110</v>
      </c>
      <c r="D336">
        <v>4.3400000000000001E-2</v>
      </c>
    </row>
    <row r="337" spans="1:4" x14ac:dyDescent="0.35">
      <c r="A337" s="1">
        <v>45627</v>
      </c>
      <c r="B337">
        <v>983</v>
      </c>
      <c r="C337">
        <v>3932</v>
      </c>
      <c r="D337">
        <v>4.41E-2</v>
      </c>
    </row>
    <row r="338" spans="1:4" x14ac:dyDescent="0.35">
      <c r="A338" s="1">
        <v>45628</v>
      </c>
      <c r="B338">
        <v>529</v>
      </c>
      <c r="C338">
        <v>2645</v>
      </c>
      <c r="D338">
        <v>6.4600000000000005E-2</v>
      </c>
    </row>
    <row r="339" spans="1:4" x14ac:dyDescent="0.35">
      <c r="A339" s="1">
        <v>45629</v>
      </c>
      <c r="B339">
        <v>733</v>
      </c>
      <c r="C339">
        <v>2199</v>
      </c>
      <c r="D339">
        <v>4.0800000000000003E-2</v>
      </c>
    </row>
    <row r="340" spans="1:4" x14ac:dyDescent="0.35">
      <c r="A340" s="1">
        <v>45630</v>
      </c>
      <c r="B340">
        <v>398</v>
      </c>
      <c r="C340">
        <v>1990</v>
      </c>
      <c r="D340">
        <v>2.4E-2</v>
      </c>
    </row>
    <row r="341" spans="1:4" x14ac:dyDescent="0.35">
      <c r="A341" s="1">
        <v>45631</v>
      </c>
      <c r="B341">
        <v>863</v>
      </c>
      <c r="C341">
        <v>5178</v>
      </c>
      <c r="D341">
        <v>5.8999999999999997E-2</v>
      </c>
    </row>
    <row r="342" spans="1:4" x14ac:dyDescent="0.35">
      <c r="A342" s="1">
        <v>45632</v>
      </c>
      <c r="B342">
        <v>389</v>
      </c>
      <c r="C342">
        <v>778</v>
      </c>
      <c r="D342">
        <v>2.9399999999999999E-2</v>
      </c>
    </row>
    <row r="343" spans="1:4" x14ac:dyDescent="0.35">
      <c r="A343" s="1">
        <v>45633</v>
      </c>
      <c r="B343">
        <v>1058</v>
      </c>
      <c r="C343">
        <v>5290</v>
      </c>
      <c r="D343">
        <v>3.3399999999999999E-2</v>
      </c>
    </row>
    <row r="344" spans="1:4" x14ac:dyDescent="0.35">
      <c r="A344" s="1">
        <v>45634</v>
      </c>
      <c r="B344">
        <v>1056</v>
      </c>
      <c r="C344">
        <v>6336</v>
      </c>
      <c r="D344">
        <v>2.8799999999999999E-2</v>
      </c>
    </row>
    <row r="345" spans="1:4" x14ac:dyDescent="0.35">
      <c r="A345" s="1">
        <v>45635</v>
      </c>
      <c r="B345">
        <v>252</v>
      </c>
      <c r="C345">
        <v>1008</v>
      </c>
      <c r="D345">
        <v>5.7700000000000001E-2</v>
      </c>
    </row>
    <row r="346" spans="1:4" x14ac:dyDescent="0.35">
      <c r="A346" s="1">
        <v>45636</v>
      </c>
      <c r="B346">
        <v>1107</v>
      </c>
      <c r="C346">
        <v>6642</v>
      </c>
      <c r="D346">
        <v>4.8500000000000001E-2</v>
      </c>
    </row>
    <row r="347" spans="1:4" x14ac:dyDescent="0.35">
      <c r="A347" s="1">
        <v>45637</v>
      </c>
      <c r="B347">
        <v>925</v>
      </c>
      <c r="C347">
        <v>4625</v>
      </c>
      <c r="D347">
        <v>6.6500000000000004E-2</v>
      </c>
    </row>
    <row r="348" spans="1:4" x14ac:dyDescent="0.35">
      <c r="A348" s="1">
        <v>45638</v>
      </c>
      <c r="B348">
        <v>707</v>
      </c>
      <c r="C348">
        <v>4242</v>
      </c>
      <c r="D348">
        <v>4.2500000000000003E-2</v>
      </c>
    </row>
    <row r="349" spans="1:4" x14ac:dyDescent="0.35">
      <c r="A349" s="1">
        <v>45639</v>
      </c>
      <c r="B349">
        <v>590</v>
      </c>
      <c r="C349">
        <v>3540</v>
      </c>
      <c r="D349">
        <v>6.0100000000000001E-2</v>
      </c>
    </row>
    <row r="350" spans="1:4" x14ac:dyDescent="0.35">
      <c r="A350" s="1">
        <v>45640</v>
      </c>
      <c r="B350">
        <v>636</v>
      </c>
      <c r="C350">
        <v>3180</v>
      </c>
      <c r="D350">
        <v>7.0800000000000002E-2</v>
      </c>
    </row>
    <row r="351" spans="1:4" x14ac:dyDescent="0.35">
      <c r="A351" s="1">
        <v>45641</v>
      </c>
      <c r="B351">
        <v>1140</v>
      </c>
      <c r="C351">
        <v>3420</v>
      </c>
      <c r="D351">
        <v>7.3800000000000004E-2</v>
      </c>
    </row>
    <row r="352" spans="1:4" x14ac:dyDescent="0.35">
      <c r="A352" s="1">
        <v>45642</v>
      </c>
      <c r="B352">
        <v>494</v>
      </c>
      <c r="C352">
        <v>2964</v>
      </c>
      <c r="D352">
        <v>3.61E-2</v>
      </c>
    </row>
    <row r="353" spans="1:4" x14ac:dyDescent="0.35">
      <c r="A353" s="1">
        <v>45643</v>
      </c>
      <c r="B353">
        <v>1126</v>
      </c>
      <c r="C353">
        <v>5630</v>
      </c>
      <c r="D353">
        <v>1.47E-2</v>
      </c>
    </row>
    <row r="354" spans="1:4" x14ac:dyDescent="0.35">
      <c r="A354" s="1">
        <v>45644</v>
      </c>
      <c r="B354">
        <v>1012</v>
      </c>
      <c r="C354">
        <v>5060</v>
      </c>
      <c r="D354">
        <v>5.6399999999999999E-2</v>
      </c>
    </row>
    <row r="355" spans="1:4" x14ac:dyDescent="0.35">
      <c r="A355" s="1">
        <v>45645</v>
      </c>
      <c r="B355">
        <v>1080</v>
      </c>
      <c r="C355">
        <v>5400</v>
      </c>
      <c r="D355">
        <v>3.6299999999999999E-2</v>
      </c>
    </row>
    <row r="356" spans="1:4" x14ac:dyDescent="0.35">
      <c r="A356" s="1">
        <v>45646</v>
      </c>
      <c r="B356">
        <v>929</v>
      </c>
      <c r="C356">
        <v>2787</v>
      </c>
      <c r="D356">
        <v>4.3200000000000002E-2</v>
      </c>
    </row>
    <row r="357" spans="1:4" x14ac:dyDescent="0.35">
      <c r="A357" s="1">
        <v>45647</v>
      </c>
      <c r="B357">
        <v>287</v>
      </c>
      <c r="C357">
        <v>861</v>
      </c>
      <c r="D357">
        <v>4.36E-2</v>
      </c>
    </row>
    <row r="358" spans="1:4" x14ac:dyDescent="0.35">
      <c r="A358" s="1">
        <v>45648</v>
      </c>
      <c r="B358">
        <v>854</v>
      </c>
      <c r="C358">
        <v>3416</v>
      </c>
      <c r="D358">
        <v>6.6799999999999998E-2</v>
      </c>
    </row>
    <row r="359" spans="1:4" x14ac:dyDescent="0.35">
      <c r="A359" s="1">
        <v>45649</v>
      </c>
      <c r="B359">
        <v>1145</v>
      </c>
      <c r="C359">
        <v>5725</v>
      </c>
      <c r="D359">
        <v>1.83E-2</v>
      </c>
    </row>
    <row r="360" spans="1:4" x14ac:dyDescent="0.35">
      <c r="A360" s="1">
        <v>45650</v>
      </c>
      <c r="B360">
        <v>1182</v>
      </c>
      <c r="C360">
        <v>5910</v>
      </c>
      <c r="D360">
        <v>1.2999999999999999E-2</v>
      </c>
    </row>
    <row r="361" spans="1:4" x14ac:dyDescent="0.35">
      <c r="A361" s="1">
        <v>45651</v>
      </c>
      <c r="B361">
        <v>397</v>
      </c>
      <c r="C361">
        <v>1985</v>
      </c>
      <c r="D361">
        <v>6.6900000000000001E-2</v>
      </c>
    </row>
    <row r="362" spans="1:4" x14ac:dyDescent="0.35">
      <c r="A362" s="1">
        <v>45652</v>
      </c>
      <c r="B362">
        <v>408</v>
      </c>
      <c r="C362">
        <v>816</v>
      </c>
      <c r="D362">
        <v>4.1599999999999998E-2</v>
      </c>
    </row>
    <row r="363" spans="1:4" x14ac:dyDescent="0.35">
      <c r="A363" s="1">
        <v>45653</v>
      </c>
      <c r="B363">
        <v>521</v>
      </c>
      <c r="C363">
        <v>2084</v>
      </c>
      <c r="D363">
        <v>5.1299999999999998E-2</v>
      </c>
    </row>
    <row r="364" spans="1:4" x14ac:dyDescent="0.35">
      <c r="A364" s="1">
        <v>45654</v>
      </c>
      <c r="B364">
        <v>657</v>
      </c>
      <c r="C364">
        <v>1314</v>
      </c>
      <c r="D364">
        <v>6.5699999999999995E-2</v>
      </c>
    </row>
    <row r="365" spans="1:4" x14ac:dyDescent="0.35">
      <c r="A365" s="1">
        <v>45655</v>
      </c>
      <c r="B365">
        <v>1122</v>
      </c>
      <c r="C365">
        <v>6732</v>
      </c>
      <c r="D365">
        <v>3.5900000000000001E-2</v>
      </c>
    </row>
    <row r="366" spans="1:4" x14ac:dyDescent="0.35">
      <c r="A366" s="1">
        <v>45656</v>
      </c>
      <c r="B366">
        <v>574</v>
      </c>
      <c r="C366">
        <v>2870</v>
      </c>
      <c r="D366">
        <v>6.7000000000000004E-2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topLeftCell="A31" workbookViewId="0">
      <selection sqref="A1:H1"/>
    </sheetView>
  </sheetViews>
  <sheetFormatPr defaultRowHeight="14.5" x14ac:dyDescent="0.35"/>
  <cols>
    <col min="1" max="1" width="30" customWidth="1"/>
    <col min="2" max="2" width="18" customWidth="1"/>
    <col min="3" max="4" width="2" customWidth="1"/>
    <col min="5" max="5" width="30" customWidth="1"/>
    <col min="6" max="8" width="18" customWidth="1"/>
  </cols>
  <sheetData>
    <row r="1" spans="1:8" ht="21" x14ac:dyDescent="0.35">
      <c r="A1" s="8" t="s">
        <v>1400</v>
      </c>
      <c r="B1" s="8"/>
      <c r="C1" s="8"/>
      <c r="D1" s="8"/>
      <c r="E1" s="8"/>
      <c r="F1" s="8"/>
      <c r="G1" s="8"/>
      <c r="H1" s="8"/>
    </row>
    <row r="2" spans="1:8" x14ac:dyDescent="0.35">
      <c r="A2" s="6" t="s">
        <v>1401</v>
      </c>
      <c r="B2" s="7"/>
      <c r="C2" s="7"/>
      <c r="D2" s="7"/>
      <c r="E2" s="7"/>
      <c r="F2" s="7"/>
      <c r="G2" s="7"/>
      <c r="H2" s="7"/>
    </row>
    <row r="3" spans="1:8" x14ac:dyDescent="0.35">
      <c r="A3" s="3" t="s">
        <v>1402</v>
      </c>
    </row>
    <row r="4" spans="1:8" x14ac:dyDescent="0.35">
      <c r="E4" s="3" t="s">
        <v>1403</v>
      </c>
    </row>
    <row r="5" spans="1:8" x14ac:dyDescent="0.35">
      <c r="E5" s="2" t="s">
        <v>1404</v>
      </c>
    </row>
    <row r="14" spans="1:8" x14ac:dyDescent="0.35">
      <c r="A14" s="3" t="s">
        <v>1405</v>
      </c>
      <c r="B14" s="4">
        <f>SUM(Fact_Daily!F2:F366)</f>
        <v>413101.45</v>
      </c>
    </row>
    <row r="15" spans="1:8" x14ac:dyDescent="0.35">
      <c r="A15" s="3" t="s">
        <v>1406</v>
      </c>
      <c r="B15" s="4">
        <f>SUM(Fact_Daily!J2:J366)</f>
        <v>504274.91999999993</v>
      </c>
    </row>
    <row r="16" spans="1:8" x14ac:dyDescent="0.35">
      <c r="A16" s="3" t="s">
        <v>1407</v>
      </c>
      <c r="B16" s="5">
        <f>SUM(Fact_Daily!H2:H366)</f>
        <v>1096829</v>
      </c>
    </row>
    <row r="17" spans="1:2" x14ac:dyDescent="0.35">
      <c r="A17" s="3" t="s">
        <v>1408</v>
      </c>
      <c r="B17" s="5">
        <f>AVERAGE(Fact_Daily!I2:I366)</f>
        <v>4.3514246575342495E-2</v>
      </c>
    </row>
    <row r="18" spans="1:2" x14ac:dyDescent="0.35">
      <c r="A18" s="3" t="s">
        <v>1409</v>
      </c>
      <c r="B18" s="5">
        <f>IF(B15=0,0,B14/B15)</f>
        <v>0.81919888064232915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01F0-D72F-43BB-A02E-D03D235F1813}">
  <dimension ref="A1:S2"/>
  <sheetViews>
    <sheetView showGridLines="0" tabSelected="1" workbookViewId="0">
      <selection activeCell="R50" sqref="R50"/>
    </sheetView>
  </sheetViews>
  <sheetFormatPr defaultRowHeight="14.5" x14ac:dyDescent="0.35"/>
  <sheetData>
    <row r="1" spans="1:19" x14ac:dyDescent="0.35">
      <c r="A1" s="10" t="s">
        <v>1410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</sheetData>
  <mergeCells count="1">
    <mergeCell ref="A1:S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6E80-7DBF-43D2-8173-CCE2DCB1F667}">
  <dimension ref="A1:M48"/>
  <sheetViews>
    <sheetView workbookViewId="0">
      <selection activeCell="I16" sqref="I16"/>
    </sheetView>
  </sheetViews>
  <sheetFormatPr defaultRowHeight="14.5" x14ac:dyDescent="0.35"/>
  <cols>
    <col min="1" max="1" width="12.36328125" bestFit="1" customWidth="1"/>
    <col min="2" max="2" width="15.6328125" bestFit="1" customWidth="1"/>
    <col min="3" max="3" width="18.453125" bestFit="1" customWidth="1"/>
    <col min="12" max="12" width="12.36328125" bestFit="1" customWidth="1"/>
    <col min="13" max="13" width="18.453125" bestFit="1" customWidth="1"/>
  </cols>
  <sheetData>
    <row r="1" spans="1:13" x14ac:dyDescent="0.35">
      <c r="A1" t="s">
        <v>1411</v>
      </c>
      <c r="L1" t="s">
        <v>1420</v>
      </c>
    </row>
    <row r="2" spans="1:13" x14ac:dyDescent="0.35">
      <c r="A2" s="11" t="s">
        <v>1412</v>
      </c>
      <c r="B2" t="s">
        <v>1414</v>
      </c>
      <c r="L2" s="11" t="s">
        <v>1412</v>
      </c>
      <c r="M2" t="s">
        <v>1416</v>
      </c>
    </row>
    <row r="3" spans="1:13" x14ac:dyDescent="0.35">
      <c r="A3" s="12" t="s">
        <v>13</v>
      </c>
      <c r="B3" s="13">
        <v>37240.31</v>
      </c>
      <c r="L3" s="12" t="s">
        <v>62</v>
      </c>
      <c r="M3" s="13">
        <v>91061.13</v>
      </c>
    </row>
    <row r="4" spans="1:13" x14ac:dyDescent="0.35">
      <c r="A4" s="12" t="s">
        <v>14</v>
      </c>
      <c r="B4" s="13">
        <v>32741.45</v>
      </c>
      <c r="L4" s="12" t="s">
        <v>68</v>
      </c>
      <c r="M4" s="13">
        <v>79363.600000000006</v>
      </c>
    </row>
    <row r="5" spans="1:13" x14ac:dyDescent="0.35">
      <c r="A5" s="12" t="s">
        <v>15</v>
      </c>
      <c r="B5" s="13">
        <v>31136.489999999998</v>
      </c>
      <c r="L5" s="12" t="s">
        <v>71</v>
      </c>
      <c r="M5" s="13">
        <v>86208.34</v>
      </c>
    </row>
    <row r="6" spans="1:13" x14ac:dyDescent="0.35">
      <c r="A6" s="12" t="s">
        <v>17</v>
      </c>
      <c r="B6" s="13">
        <v>30071.260000000002</v>
      </c>
      <c r="L6" s="12" t="s">
        <v>65</v>
      </c>
      <c r="M6" s="13">
        <v>86879.57</v>
      </c>
    </row>
    <row r="7" spans="1:13" x14ac:dyDescent="0.35">
      <c r="A7" s="12" t="s">
        <v>18</v>
      </c>
      <c r="B7" s="13">
        <v>39448.609999999993</v>
      </c>
      <c r="L7" s="12" t="s">
        <v>1413</v>
      </c>
      <c r="M7" s="13">
        <v>343512.64</v>
      </c>
    </row>
    <row r="8" spans="1:13" x14ac:dyDescent="0.35">
      <c r="A8" s="12" t="s">
        <v>19</v>
      </c>
      <c r="B8" s="13">
        <v>33653.17</v>
      </c>
    </row>
    <row r="9" spans="1:13" x14ac:dyDescent="0.35">
      <c r="A9" s="12" t="s">
        <v>21</v>
      </c>
      <c r="B9" s="13">
        <v>29314.649999999998</v>
      </c>
    </row>
    <row r="10" spans="1:13" x14ac:dyDescent="0.35">
      <c r="A10" s="12" t="s">
        <v>22</v>
      </c>
      <c r="B10" s="13">
        <v>34879.160000000003</v>
      </c>
    </row>
    <row r="11" spans="1:13" x14ac:dyDescent="0.35">
      <c r="A11" s="12" t="s">
        <v>23</v>
      </c>
      <c r="B11" s="13">
        <v>33223.499999999985</v>
      </c>
    </row>
    <row r="12" spans="1:13" x14ac:dyDescent="0.35">
      <c r="A12" s="12" t="s">
        <v>25</v>
      </c>
      <c r="B12" s="13">
        <v>36422.769999999997</v>
      </c>
    </row>
    <row r="13" spans="1:13" x14ac:dyDescent="0.35">
      <c r="A13" s="12" t="s">
        <v>26</v>
      </c>
      <c r="B13" s="13">
        <v>35619.06</v>
      </c>
    </row>
    <row r="14" spans="1:13" x14ac:dyDescent="0.35">
      <c r="A14" s="12" t="s">
        <v>27</v>
      </c>
      <c r="B14" s="13">
        <v>39351.020000000011</v>
      </c>
    </row>
    <row r="17" spans="1:2" x14ac:dyDescent="0.35">
      <c r="A17" s="12" t="s">
        <v>1417</v>
      </c>
    </row>
    <row r="18" spans="1:2" x14ac:dyDescent="0.35">
      <c r="A18" s="11" t="s">
        <v>1412</v>
      </c>
      <c r="B18" t="s">
        <v>1415</v>
      </c>
    </row>
    <row r="19" spans="1:2" x14ac:dyDescent="0.35">
      <c r="A19" s="12" t="s">
        <v>13</v>
      </c>
      <c r="B19" s="13">
        <v>89216</v>
      </c>
    </row>
    <row r="20" spans="1:2" x14ac:dyDescent="0.35">
      <c r="A20" s="12" t="s">
        <v>14</v>
      </c>
      <c r="B20" s="13">
        <v>87654</v>
      </c>
    </row>
    <row r="21" spans="1:2" x14ac:dyDescent="0.35">
      <c r="A21" s="12" t="s">
        <v>15</v>
      </c>
      <c r="B21" s="13">
        <v>84374</v>
      </c>
    </row>
    <row r="22" spans="1:2" x14ac:dyDescent="0.35">
      <c r="A22" s="12" t="s">
        <v>17</v>
      </c>
      <c r="B22" s="13">
        <v>91026</v>
      </c>
    </row>
    <row r="23" spans="1:2" x14ac:dyDescent="0.35">
      <c r="A23" s="12" t="s">
        <v>18</v>
      </c>
      <c r="B23" s="13">
        <v>78428</v>
      </c>
    </row>
    <row r="24" spans="1:2" x14ac:dyDescent="0.35">
      <c r="A24" s="12" t="s">
        <v>19</v>
      </c>
      <c r="B24" s="13">
        <v>88683</v>
      </c>
    </row>
    <row r="25" spans="1:2" x14ac:dyDescent="0.35">
      <c r="A25" s="12" t="s">
        <v>21</v>
      </c>
      <c r="B25" s="13">
        <v>108594</v>
      </c>
    </row>
    <row r="26" spans="1:2" x14ac:dyDescent="0.35">
      <c r="A26" s="12" t="s">
        <v>22</v>
      </c>
      <c r="B26" s="13">
        <v>84867</v>
      </c>
    </row>
    <row r="27" spans="1:2" x14ac:dyDescent="0.35">
      <c r="A27" s="12" t="s">
        <v>23</v>
      </c>
      <c r="B27" s="13">
        <v>95212</v>
      </c>
    </row>
    <row r="28" spans="1:2" x14ac:dyDescent="0.35">
      <c r="A28" s="12" t="s">
        <v>25</v>
      </c>
      <c r="B28" s="13">
        <v>92322</v>
      </c>
    </row>
    <row r="29" spans="1:2" x14ac:dyDescent="0.35">
      <c r="A29" s="12" t="s">
        <v>26</v>
      </c>
      <c r="B29" s="13">
        <v>87894</v>
      </c>
    </row>
    <row r="30" spans="1:2" x14ac:dyDescent="0.35">
      <c r="A30" s="12" t="s">
        <v>27</v>
      </c>
      <c r="B30" s="13">
        <v>108559</v>
      </c>
    </row>
    <row r="31" spans="1:2" x14ac:dyDescent="0.35">
      <c r="A31" s="12" t="s">
        <v>1413</v>
      </c>
      <c r="B31" s="13">
        <v>1096829</v>
      </c>
    </row>
    <row r="34" spans="1:2" x14ac:dyDescent="0.35">
      <c r="A34" s="12" t="s">
        <v>1419</v>
      </c>
    </row>
    <row r="35" spans="1:2" x14ac:dyDescent="0.35">
      <c r="A35" s="11" t="s">
        <v>1412</v>
      </c>
      <c r="B35" t="s">
        <v>1418</v>
      </c>
    </row>
    <row r="36" spans="1:2" x14ac:dyDescent="0.35">
      <c r="A36" s="12" t="s">
        <v>13</v>
      </c>
      <c r="B36" s="13">
        <v>36597.1</v>
      </c>
    </row>
    <row r="37" spans="1:2" x14ac:dyDescent="0.35">
      <c r="A37" s="12" t="s">
        <v>14</v>
      </c>
      <c r="B37" s="13">
        <v>40267.01</v>
      </c>
    </row>
    <row r="38" spans="1:2" x14ac:dyDescent="0.35">
      <c r="A38" s="12" t="s">
        <v>15</v>
      </c>
      <c r="B38" s="13">
        <v>53500.14</v>
      </c>
    </row>
    <row r="39" spans="1:2" x14ac:dyDescent="0.35">
      <c r="A39" s="12" t="s">
        <v>17</v>
      </c>
      <c r="B39" s="13">
        <v>28841.1</v>
      </c>
    </row>
    <row r="40" spans="1:2" x14ac:dyDescent="0.35">
      <c r="A40" s="12" t="s">
        <v>18</v>
      </c>
      <c r="B40" s="13">
        <v>41128.949999999997</v>
      </c>
    </row>
    <row r="41" spans="1:2" x14ac:dyDescent="0.35">
      <c r="A41" s="12" t="s">
        <v>19</v>
      </c>
      <c r="B41" s="13">
        <v>42158.559999999998</v>
      </c>
    </row>
    <row r="42" spans="1:2" x14ac:dyDescent="0.35">
      <c r="A42" s="12" t="s">
        <v>21</v>
      </c>
      <c r="B42" s="13">
        <v>42244.98</v>
      </c>
    </row>
    <row r="43" spans="1:2" x14ac:dyDescent="0.35">
      <c r="A43" s="12" t="s">
        <v>22</v>
      </c>
      <c r="B43" s="13">
        <v>39928.639999999999</v>
      </c>
    </row>
    <row r="44" spans="1:2" x14ac:dyDescent="0.35">
      <c r="A44" s="12" t="s">
        <v>23</v>
      </c>
      <c r="B44" s="13">
        <v>36868.29</v>
      </c>
    </row>
    <row r="45" spans="1:2" x14ac:dyDescent="0.35">
      <c r="A45" s="12" t="s">
        <v>25</v>
      </c>
      <c r="B45" s="13">
        <v>48721.71</v>
      </c>
    </row>
    <row r="46" spans="1:2" x14ac:dyDescent="0.35">
      <c r="A46" s="12" t="s">
        <v>26</v>
      </c>
      <c r="B46" s="13">
        <v>45850</v>
      </c>
    </row>
    <row r="47" spans="1:2" x14ac:dyDescent="0.35">
      <c r="A47" s="12" t="s">
        <v>27</v>
      </c>
      <c r="B47" s="13">
        <v>48168.44</v>
      </c>
    </row>
    <row r="48" spans="1:2" x14ac:dyDescent="0.35">
      <c r="A48" s="12" t="s">
        <v>1413</v>
      </c>
      <c r="B48" s="13">
        <v>504274.92</v>
      </c>
    </row>
  </sheetData>
  <pageMargins left="0.7" right="0.7" top="0.75" bottom="0.75" header="0.3" footer="0.3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E17EBF16-E98E-44E4-ABBE-DFDEEBC52A03}">
  <ds:schemaRefs/>
</ds:datastoreItem>
</file>

<file path=customXml/itemProps2.xml><?xml version="1.0" encoding="utf-8"?>
<ds:datastoreItem xmlns:ds="http://schemas.openxmlformats.org/officeDocument/2006/customXml" ds:itemID="{F1377D0C-CF06-4BD8-8F1D-24544D9B370C}">
  <ds:schemaRefs/>
</ds:datastoreItem>
</file>

<file path=customXml/itemProps3.xml><?xml version="1.0" encoding="utf-8"?>
<ds:datastoreItem xmlns:ds="http://schemas.openxmlformats.org/officeDocument/2006/customXml" ds:itemID="{0795FD6D-95B4-43E4-95A2-DF733115E92E}">
  <ds:schemaRefs/>
</ds:datastoreItem>
</file>

<file path=customXml/itemProps4.xml><?xml version="1.0" encoding="utf-8"?>
<ds:datastoreItem xmlns:ds="http://schemas.openxmlformats.org/officeDocument/2006/customXml" ds:itemID="{430A4D2A-01DA-41AB-9F48-79485760A371}">
  <ds:schemaRefs/>
</ds:datastoreItem>
</file>

<file path=customXml/itemProps5.xml><?xml version="1.0" encoding="utf-8"?>
<ds:datastoreItem xmlns:ds="http://schemas.openxmlformats.org/officeDocument/2006/customXml" ds:itemID="{887443FB-9738-43DC-9FBB-4951066C853C}">
  <ds:schemaRefs/>
</ds:datastoreItem>
</file>

<file path=customXml/itemProps6.xml><?xml version="1.0" encoding="utf-8"?>
<ds:datastoreItem xmlns:ds="http://schemas.openxmlformats.org/officeDocument/2006/customXml" ds:itemID="{1C8EED02-A452-4308-BD36-9A49DAE484EA}">
  <ds:schemaRefs/>
</ds:datastoreItem>
</file>

<file path=customXml/itemProps7.xml><?xml version="1.0" encoding="utf-8"?>
<ds:datastoreItem xmlns:ds="http://schemas.openxmlformats.org/officeDocument/2006/customXml" ds:itemID="{A9A295C0-1469-4892-9256-200E0E3DB4D2}">
  <ds:schemaRefs/>
</ds:datastoreItem>
</file>

<file path=customXml/itemProps8.xml><?xml version="1.0" encoding="utf-8"?>
<ds:datastoreItem xmlns:ds="http://schemas.openxmlformats.org/officeDocument/2006/customXml" ds:itemID="{EBEBA802-7B75-44C2-96D7-61D483912CB3}">
  <ds:schemaRefs/>
</ds:datastoreItem>
</file>

<file path=customXml/itemProps9.xml><?xml version="1.0" encoding="utf-8"?>
<ds:datastoreItem xmlns:ds="http://schemas.openxmlformats.org/officeDocument/2006/customXml" ds:itemID="{F6AABA33-C8EB-46BD-AFDD-2FA4EA7DF9F9}">
  <ds:schemaRefs/>
</ds:datastoreItem>
</file>

<file path=customXml/itemProps10.xml><?xml version="1.0" encoding="utf-8"?>
<ds:datastoreItem xmlns:ds="http://schemas.openxmlformats.org/officeDocument/2006/customXml" ds:itemID="{8C18109B-73B6-4715-B28D-41B8F0DBA753}">
  <ds:schemaRefs/>
</ds:datastoreItem>
</file>

<file path=customXml/itemProps11.xml><?xml version="1.0" encoding="utf-8"?>
<ds:datastoreItem xmlns:ds="http://schemas.openxmlformats.org/officeDocument/2006/customXml" ds:itemID="{5CC2B298-3FA0-4F11-86A4-3B684CE8896B}">
  <ds:schemaRefs/>
</ds:datastoreItem>
</file>

<file path=customXml/itemProps12.xml><?xml version="1.0" encoding="utf-8"?>
<ds:datastoreItem xmlns:ds="http://schemas.openxmlformats.org/officeDocument/2006/customXml" ds:itemID="{7B565919-4623-4852-B1B4-021F54514EBB}">
  <ds:schemaRefs/>
</ds:datastoreItem>
</file>

<file path=customXml/itemProps13.xml><?xml version="1.0" encoding="utf-8"?>
<ds:datastoreItem xmlns:ds="http://schemas.openxmlformats.org/officeDocument/2006/customXml" ds:itemID="{F5B97916-4751-47B9-B902-46021EF0263A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6097E6FA-1AB2-4207-A103-C7317889FB8A}">
  <ds:schemaRefs/>
</ds:datastoreItem>
</file>

<file path=customXml/itemProps15.xml><?xml version="1.0" encoding="utf-8"?>
<ds:datastoreItem xmlns:ds="http://schemas.openxmlformats.org/officeDocument/2006/customXml" ds:itemID="{3092A314-6668-4274-984A-868D96D1EC9D}">
  <ds:schemaRefs/>
</ds:datastoreItem>
</file>

<file path=customXml/itemProps16.xml><?xml version="1.0" encoding="utf-8"?>
<ds:datastoreItem xmlns:ds="http://schemas.openxmlformats.org/officeDocument/2006/customXml" ds:itemID="{7752F6FF-FE27-4BC1-B132-759E5F4A93ED}">
  <ds:schemaRefs/>
</ds:datastoreItem>
</file>

<file path=customXml/itemProps17.xml><?xml version="1.0" encoding="utf-8"?>
<ds:datastoreItem xmlns:ds="http://schemas.openxmlformats.org/officeDocument/2006/customXml" ds:itemID="{7B057C22-FE50-46F7-8B4A-C2C04A6D311C}">
  <ds:schemaRefs/>
</ds:datastoreItem>
</file>

<file path=customXml/itemProps18.xml><?xml version="1.0" encoding="utf-8"?>
<ds:datastoreItem xmlns:ds="http://schemas.openxmlformats.org/officeDocument/2006/customXml" ds:itemID="{D3107368-F8F1-471E-B429-56E431FBC78F}">
  <ds:schemaRefs/>
</ds:datastoreItem>
</file>

<file path=customXml/itemProps19.xml><?xml version="1.0" encoding="utf-8"?>
<ds:datastoreItem xmlns:ds="http://schemas.openxmlformats.org/officeDocument/2006/customXml" ds:itemID="{136AEA01-74CF-4F0F-831F-26F0BE4AA824}">
  <ds:schemaRefs/>
</ds:datastoreItem>
</file>

<file path=customXml/itemProps20.xml><?xml version="1.0" encoding="utf-8"?>
<ds:datastoreItem xmlns:ds="http://schemas.openxmlformats.org/officeDocument/2006/customXml" ds:itemID="{01C1098F-CF80-4B68-ACB0-2584BC209225}">
  <ds:schemaRefs/>
</ds:datastoreItem>
</file>

<file path=customXml/itemProps21.xml><?xml version="1.0" encoding="utf-8"?>
<ds:datastoreItem xmlns:ds="http://schemas.openxmlformats.org/officeDocument/2006/customXml" ds:itemID="{51789BA9-64CE-4D4D-A099-8B2B023884C8}">
  <ds:schemaRefs/>
</ds:datastoreItem>
</file>

<file path=customXml/itemProps22.xml><?xml version="1.0" encoding="utf-8"?>
<ds:datastoreItem xmlns:ds="http://schemas.openxmlformats.org/officeDocument/2006/customXml" ds:itemID="{10110983-3C46-461D-8E30-6CBD1A966958}">
  <ds:schemaRefs/>
</ds:datastoreItem>
</file>

<file path=customXml/itemProps23.xml><?xml version="1.0" encoding="utf-8"?>
<ds:datastoreItem xmlns:ds="http://schemas.openxmlformats.org/officeDocument/2006/customXml" ds:itemID="{FEA1DDD9-B9CC-4621-A7F1-BA8F88AC66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Fact_Daily</vt:lpstr>
      <vt:lpstr>State_Sales</vt:lpstr>
      <vt:lpstr>Sales_Orders</vt:lpstr>
      <vt:lpstr>Campaign_Spend</vt:lpstr>
      <vt:lpstr>Web_Traffic</vt:lpstr>
      <vt:lpstr>Dashboard</vt:lpstr>
      <vt:lpstr>Revision Dashboard</vt:lpstr>
      <vt:lpstr>table_visualization_analysis</vt:lpstr>
      <vt:lpstr>tabel3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Bukit</cp:lastModifiedBy>
  <dcterms:created xsi:type="dcterms:W3CDTF">2026-02-28T20:19:30Z</dcterms:created>
  <dcterms:modified xsi:type="dcterms:W3CDTF">2026-05-31T19:00:03Z</dcterms:modified>
</cp:coreProperties>
</file>