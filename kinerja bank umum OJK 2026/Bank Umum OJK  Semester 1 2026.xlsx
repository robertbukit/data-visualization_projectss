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hidePivotFieldList="1"/>
  <xr:revisionPtr revIDLastSave="0" documentId="8_{7E031D31-A1FA-4A7E-905F-3F40F1F23BE4}" xr6:coauthVersionLast="47" xr6:coauthVersionMax="47" xr10:uidLastSave="{00000000-0000-0000-0000-000000000000}"/>
  <bookViews>
    <workbookView xWindow="-110" yWindow="-110" windowWidth="19420" windowHeight="11500" firstSheet="8" activeTab="10" xr2:uid="{00000000-000D-0000-FFFF-FFFF00000000}"/>
  </bookViews>
  <sheets>
    <sheet name="Disclaimer (P&amp;L)" sheetId="8" r:id="rId1"/>
    <sheet name="Disclaimer (Rasio Keu)" sheetId="1" r:id="rId2"/>
    <sheet name="Disclaimer (Posisi Keu)" sheetId="5" r:id="rId3"/>
    <sheet name="Kinerja Keu (Rasio Keu)" sheetId="2" r:id="rId4"/>
    <sheet name="Kinerja Keu (Rasio Keu)_Table" sheetId="3" r:id="rId5"/>
    <sheet name="Laporan Posisis Keu" sheetId="6" r:id="rId6"/>
    <sheet name="Laporan Posisi Keu_Table" sheetId="7" r:id="rId7"/>
    <sheet name="Laporan P&amp;L" sheetId="9" r:id="rId8"/>
    <sheet name="Laporan P&amp;L_Table" sheetId="10" r:id="rId9"/>
    <sheet name="Pivot Analysis" sheetId="11" r:id="rId10"/>
    <sheet name="Dashboard" sheetId="13" r:id="rId11"/>
  </sheets>
  <definedNames>
    <definedName name="Slicer_Bulan">#N/A</definedName>
    <definedName name="Slicer_KBMI">#N/A</definedName>
    <definedName name="Slicer_Kelompok_Bank">#N/A</definedName>
  </definedNames>
  <calcPr calcId="191029"/>
  <pivotCaches>
    <pivotCache cacheId="776" r:id="rId12"/>
    <pivotCache cacheId="754" r:id="rId13"/>
    <pivotCache cacheId="756" r:id="rId14"/>
    <pivotCache cacheId="758" r:id="rId15"/>
    <pivotCache cacheId="760" r:id="rId16"/>
    <pivotCache cacheId="762" r:id="rId17"/>
    <pivotCache cacheId="764" r:id="rId18"/>
    <pivotCache cacheId="766" r:id="rId19"/>
    <pivotCache cacheId="768" r:id="rId20"/>
    <pivotCache cacheId="770" r:id="rId21"/>
    <pivotCache cacheId="772" r:id="rId22"/>
    <pivotCache cacheId="774" r:id="rId23"/>
  </pivotCaches>
  <extLst>
    <ext xmlns:x14="http://schemas.microsoft.com/office/spreadsheetml/2009/9/main" uri="{876F7934-8845-4945-9796-88D515C7AA90}">
      <x14:pivotCaches>
        <pivotCache cacheId="305"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ppend1_77386848-8aaa-4038-aedc-211bda8eef0c" name="Append1" connection="Query - Append1"/>
        </x15:modelTables>
        <x15:extLst>
          <ext xmlns:x16="http://schemas.microsoft.com/office/spreadsheetml/2014/11/main" uri="{9835A34E-60A6-4A7C-AAB8-D5F71C897F49}">
            <x16:modelTimeGroupings>
              <x16:modelTimeGrouping tableName="Append1" columnName="Bulan" columnId="Bulan">
                <x16:calculatedTimeColumn columnName="Bulan (Month Index)" columnId="Bulan (Month Index)" contentType="monthsindex" isSelected="1"/>
                <x16:calculatedTimeColumn columnName="Bulan (Month)" columnId="Bula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7" i="11" l="1"/>
  <c r="C91" i="11"/>
  <c r="C85" i="11"/>
  <c r="C66" i="11"/>
  <c r="C79"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8F8F45-9A74-4752-A735-7D5DAF650BE2}" name="Query - Append1" description="Connection to the 'Append1' query in the workbook." type="100" refreshedVersion="8" minRefreshableVersion="5">
    <extLst>
      <ext xmlns:x15="http://schemas.microsoft.com/office/spreadsheetml/2010/11/main" uri="{DE250136-89BD-433C-8126-D09CA5730AF9}">
        <x15:connection id="22c1c98b-bf40-457d-919a-e627d1e69be4"/>
      </ext>
    </extLst>
  </connection>
  <connection id="2" xr16:uid="{AE8A761C-E53E-4263-A3AD-0EF6C2A26DD6}"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3" xr16:uid="{B96B8BAC-EE7D-4571-A12C-22D3CD88F78A}"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4" xr16:uid="{1AD0ABE3-F3BD-4CCA-BD29-9313F2E12352}" keepAlive="1" name="Query - Table6" description="Connection to the 'Table6' query in the workbook." type="5" refreshedVersion="0" background="1">
    <dbPr connection="Provider=Microsoft.Mashup.OleDb.1;Data Source=$Workbook$;Location=Table6;Extended Properties=&quot;&quot;" command="SELECT * FROM [Table6]"/>
  </connection>
  <connection id="5" xr16:uid="{5C055F3C-71C9-48FE-9B96-E6108A880C0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3">
    <s v="ThisWorkbookDataModel"/>
    <s v="{[Append1].[Komponen].&amp;[Rasio Keuangan]}"/>
    <s v="{[Append1].[Komponen].&amp;[Laporan Posisi (Neraca)]}"/>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<sst xmlns="http://schemas.openxmlformats.org/spreadsheetml/2006/main" count="942" uniqueCount="146">
  <si>
    <t>Posisi Data Per Tanggal</t>
  </si>
  <si>
    <t>21/8/2026</t>
  </si>
  <si>
    <t>Bank Umum</t>
  </si>
  <si>
    <t>Kinerja Keuangan</t>
  </si>
  <si>
    <t>Rasio Keuangan</t>
  </si>
  <si>
    <t>Satuan Dalam Persentase</t>
  </si>
  <si>
    <t>Akun</t>
  </si>
  <si>
    <t>Bulan</t>
  </si>
  <si>
    <t>Kelompok Bank</t>
  </si>
  <si>
    <t>KBMI</t>
  </si>
  <si>
    <t>007.Rasio Aset Likuid (%)</t>
  </si>
  <si>
    <t>006.Loan to Deposits Ratio (%)</t>
  </si>
  <si>
    <t>005.Net Interest Margin Ratio  (%)</t>
  </si>
  <si>
    <t>004.Biaya Operasional thdp Pendapatan Operasional (%)</t>
  </si>
  <si>
    <t>003.Return On Assets Ratio (%)</t>
  </si>
  <si>
    <t>002.Rasio Modal Inti terhadap ATMR (%)</t>
  </si>
  <si>
    <t>001.Rasio Pemenuhan Kecukupan Modal Minimum (%)</t>
  </si>
  <si>
    <t>2026-01</t>
  </si>
  <si>
    <t>1. Bank Persero</t>
  </si>
  <si>
    <t>KBMI 3</t>
  </si>
  <si>
    <t>KBMI 4</t>
  </si>
  <si>
    <t>2. BPD</t>
  </si>
  <si>
    <t>KBMI 1</t>
  </si>
  <si>
    <t>KBMI 2</t>
  </si>
  <si>
    <t>3. Bank Swasta Nasional</t>
  </si>
  <si>
    <t>4. Kantor Cabang Dari Bank Yang Berkedudukan Di Luar Negeri</t>
  </si>
  <si>
    <t>2026-02</t>
  </si>
  <si>
    <t>2026-03</t>
  </si>
  <si>
    <t>2026-04</t>
  </si>
  <si>
    <t>2026-05</t>
  </si>
  <si>
    <t>2026-06</t>
  </si>
  <si>
    <t>022.Modal Pinjaman</t>
  </si>
  <si>
    <t>021.Tambahan modal disetor</t>
  </si>
  <si>
    <t>020.L/R Tahun berjalan sesudah pajak 2</t>
  </si>
  <si>
    <t>019.L/R Tahun lalu 1</t>
  </si>
  <si>
    <t>018.Cadangan</t>
  </si>
  <si>
    <t>017.Modal Disetor</t>
  </si>
  <si>
    <t>016.Setoran Jaminan</t>
  </si>
  <si>
    <t>015.Kewajiban Lainnya</t>
  </si>
  <si>
    <t>014.Kewajiban Spot dan Derivatif</t>
  </si>
  <si>
    <t>013.b.Valas</t>
  </si>
  <si>
    <t>013.a.Rupiah</t>
  </si>
  <si>
    <t>013.Pinjaman yang Diterima</t>
  </si>
  <si>
    <t>012.Surat Berharga yang diterbitkan</t>
  </si>
  <si>
    <t>011.Kewajiban kepada Bank lain</t>
  </si>
  <si>
    <t>010.Kewajiban kepada Bank Indonesia</t>
  </si>
  <si>
    <t>009.Dana Pihak Ketiga</t>
  </si>
  <si>
    <t>009.2.c.Dana Pihak Ketiga-Valas-Simpanan Berjangka</t>
  </si>
  <si>
    <t>009.2.b.Dana Pihak Ketiga-Valas-Tabungan</t>
  </si>
  <si>
    <t>009.2.a.Dana Pihak Ketiga-Valas-Giro</t>
  </si>
  <si>
    <t>009.2.Dana Pihak Ketiga-Valas</t>
  </si>
  <si>
    <t>009.1.c.Dana Pihak Ketiga-Rupiah-Simpanan Berjangka</t>
  </si>
  <si>
    <t>009.1.b.Dana Pihak Ketiga-Rupiah-Tabungan</t>
  </si>
  <si>
    <t>009.1.a.Dana Pihak Ketiga-Rupiah-Giro</t>
  </si>
  <si>
    <t>009.1.Dana Pihak Ketiga-Rupiah</t>
  </si>
  <si>
    <t>008.Tagihan Lainnya</t>
  </si>
  <si>
    <t>007.Tagihan Spot dan Derivatif</t>
  </si>
  <si>
    <t>006.c.Lainnya</t>
  </si>
  <si>
    <t>006.b.Surat Berharga</t>
  </si>
  <si>
    <t>006.a.Kredit &amp; Pembiayaan yang diberikan</t>
  </si>
  <si>
    <t>006.Cadangan Kerugian Penurunan Nilai Aset Keuangan (CKPN)</t>
  </si>
  <si>
    <t>005.Penyertaan</t>
  </si>
  <si>
    <t>004.Surat Berharga</t>
  </si>
  <si>
    <t>003.Penempatan pada Bank Indonesia</t>
  </si>
  <si>
    <t>002.Penempatan pada Bank Lain</t>
  </si>
  <si>
    <t>001.Kredit / Pembiayaan Yang Diberikan</t>
  </si>
  <si>
    <t>Satuan Dalam Rupiah (Triliun)</t>
  </si>
  <si>
    <t>Laporan Posisi Keuangan</t>
  </si>
  <si>
    <t>Informasi Keuangan Utama</t>
  </si>
  <si>
    <t>013.Jumlah Laba/Rugi bersih (setelah taksiran pajak penghasilan)</t>
  </si>
  <si>
    <t>012.Transfer Laba/Rugi ke Kantor Pusat</t>
  </si>
  <si>
    <t>011.Penerimaan Transfer Laba/Rugi</t>
  </si>
  <si>
    <t>010.Laba/Rugi tahun berjalan sebelum pajak</t>
  </si>
  <si>
    <t>009.Laba/Rugi Non-Operasional</t>
  </si>
  <si>
    <t>008.Beban Non-Operasional</t>
  </si>
  <si>
    <t>007.Pendapatan Non-Operasional</t>
  </si>
  <si>
    <t>006.Laba/Rugi Operasional</t>
  </si>
  <si>
    <t>005.g.Lainnya</t>
  </si>
  <si>
    <t>005.f.Kerugian penyertaan equity method komisi/provisi/fee, administrasi</t>
  </si>
  <si>
    <t>005.e.Penyusutan/Amortisasi</t>
  </si>
  <si>
    <t>005.d.Kerugian Transaksi Spot dan Derivatif</t>
  </si>
  <si>
    <t>005.c.Penurunan Nilai Wajar dan kerugian penjualan aset keuangan lainnya</t>
  </si>
  <si>
    <t>005.b.Penurunan Nilai Wajar dan kerugian penjualan kredit/pembiayaan yang diberikan</t>
  </si>
  <si>
    <t>005.a.Penurunan Nilai Wajar dan kerugian penjualan surat berharga</t>
  </si>
  <si>
    <t>005.Beban Operasional Selain Beban Bunga</t>
  </si>
  <si>
    <t>004.f.Lainnya</t>
  </si>
  <si>
    <t>004.e.Deviden, keuntungan penyertaan equity method, komisi/provisi/fee</t>
  </si>
  <si>
    <t>004.d.Keuntungan Transaksi Spot dan Derivatif</t>
  </si>
  <si>
    <t>004.c.Peningkatan Nilai Wajar dan Keuntungan Penjualan Aset Keuangan Lainnya</t>
  </si>
  <si>
    <t>004.b.Peningkatan Nilai Wajar dan Keuntungan Penjualan Kredit/Pembiayaan yang diberikan</t>
  </si>
  <si>
    <t>004.a.Peningkatan Nilai Wajar dan Keuntungan Penjualan Surat Berharga</t>
  </si>
  <si>
    <t>004.Pendapatan Operasional Selain Bunga/Bagi Hasil</t>
  </si>
  <si>
    <t>003.Pendapatan Bunga/Bagi hasil bersih</t>
  </si>
  <si>
    <t>002.f.Lainnya</t>
  </si>
  <si>
    <t>002.e.Pinjaman yang diterima</t>
  </si>
  <si>
    <t>002.d.Surat Berharga</t>
  </si>
  <si>
    <t>002.c.Kepada Pihak Ketiga bukan Bank</t>
  </si>
  <si>
    <t>002.c.3.Simpanan Berjangka</t>
  </si>
  <si>
    <t>002.c.2.Tabungan</t>
  </si>
  <si>
    <t>002.c.1.Giro</t>
  </si>
  <si>
    <t>002.b.Kewajiban kepada Bank lain</t>
  </si>
  <si>
    <t>002.a.Kepada Bank Indonesia</t>
  </si>
  <si>
    <t>002.Beban Bunga</t>
  </si>
  <si>
    <t>001.e.Lainnya</t>
  </si>
  <si>
    <t>001.d.Dari Kredit/Pembiayaan yang diberikan</t>
  </si>
  <si>
    <t>001.d.2.Kepada Bank lain</t>
  </si>
  <si>
    <t>001.d.1.Kepada Pihak Ketiga bukan Bank</t>
  </si>
  <si>
    <t>001.c.Dari Surat Berharga</t>
  </si>
  <si>
    <t>001.b.Dari Penempatan pada Bank lain</t>
  </si>
  <si>
    <t>001.a.Dari Bank Indonesia</t>
  </si>
  <si>
    <t>001.Pendapatan Bunga/Pendapatan bagi hasil</t>
  </si>
  <si>
    <t>Laporan Laba Rugi Komprehensif</t>
  </si>
  <si>
    <t>Row Labels</t>
  </si>
  <si>
    <t>Grand Total</t>
  </si>
  <si>
    <t>Jan</t>
  </si>
  <si>
    <t>Feb</t>
  </si>
  <si>
    <t>Mar</t>
  </si>
  <si>
    <t>Apr</t>
  </si>
  <si>
    <t>May</t>
  </si>
  <si>
    <t>Jun</t>
  </si>
  <si>
    <t>Column Labels</t>
  </si>
  <si>
    <t>Laporan Posisi (Neraca)</t>
  </si>
  <si>
    <t>Komponen</t>
  </si>
  <si>
    <t>Sum of Nilai</t>
  </si>
  <si>
    <t>Average of Nilai</t>
  </si>
  <si>
    <t>Main Pivot</t>
  </si>
  <si>
    <t>Likuiditas &amp; Efisiensi (1)</t>
  </si>
  <si>
    <t>Ukuran Bisnis (Volume) (2)</t>
  </si>
  <si>
    <t>Permodalan &amp; Efisiensi (3)</t>
  </si>
  <si>
    <t>EXCECUTIVE KPI CARD (HEADER)</t>
  </si>
  <si>
    <t>Total Aset (T)</t>
  </si>
  <si>
    <t>Total Aset (001 + 002 + 003 + 004 + 005 + 007 + 008) - 006 = Rp. 78436.68 T</t>
  </si>
  <si>
    <t>Total Kredit (T)</t>
  </si>
  <si>
    <t>Total Dana Pihak Ketiga (T)</t>
  </si>
  <si>
    <t xml:space="preserve">Return On Assets (ROA) Ratio (%) </t>
  </si>
  <si>
    <t xml:space="preserve">Rasio Pemenuhan Kecukupan Modal Minimum atau Capital Adequacy Ratio (%) </t>
  </si>
  <si>
    <t xml:space="preserve">Tren Intermediasi &amp; Volume </t>
  </si>
  <si>
    <t>menunjukkan apakah penyaluran kredit sejalan dengan pertumbuhan dana masyarakat</t>
  </si>
  <si>
    <t>TRENDLINE CHART</t>
  </si>
  <si>
    <t>Tren Likuiditas &amp; Marginitas</t>
  </si>
  <si>
    <t>memperlihatkan apakah perketatan likuiditas menekan margin keuntungan bank</t>
  </si>
  <si>
    <t>ANALISIS KOMPARASI</t>
  </si>
  <si>
    <t>Bumper modal inti dan pelengkap untuk menyerap potensi kerugian tak terduga.</t>
  </si>
  <si>
    <t>Total Kredit yang dikeluarkan ke sektor rill (Rupiah atau Valas)</t>
  </si>
  <si>
    <t>Dana yang disimpan customer baik masyrakat perorangan, lembaga, dll dalam bentuk giro/tabungan/deposito</t>
  </si>
  <si>
    <t>Kualitas dan Komposisi Struktur Modal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</si>
</sst>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Rp&quot;#,##0.00"/>
  </numFmts>
  <fonts count="6" x14ac:knownFonts="1">
    <font>
      <sz val="11"/>
      <color theme="1"/>
      <name val="Calibri"/>
      <family val="2"/>
      <scheme val="minor"/>
    </font>
    <font>
      <b/>
      <sz val="11"/>
      <color rgb="FFFFFFFF"/>
      <name val="Calibri"/>
    </font>
    <font>
      <sz val="11"/>
      <color theme="1"/>
      <name val="Calibri"/>
      <family val="2"/>
      <scheme val="minor"/>
    </font>
    <font>
      <sz val="12"/>
      <color theme="1"/>
      <name val="Calibri"/>
      <family val="2"/>
      <scheme val="minor"/>
    </font>
    <font>
      <b/>
      <sz val="14"/>
      <color theme="1"/>
      <name val="Calibri"/>
      <family val="2"/>
      <scheme val="minor"/>
    </font>
    <font>
      <b/>
      <sz val="14"/>
      <color rgb="FFC00000"/>
      <name val="Calibri"/>
      <family val="2"/>
      <scheme val="minor"/>
    </font>
  </fonts>
  <fills count="7">
    <fill>
      <patternFill patternType="none"/>
    </fill>
    <fill>
      <patternFill patternType="gray125"/>
    </fill>
    <fill>
      <patternFill patternType="solid">
        <fgColor rgb="FFFFFFFF"/>
      </patternFill>
    </fill>
    <fill>
      <patternFill patternType="solid">
        <fgColor rgb="FFC52027"/>
      </patternFill>
    </fill>
    <fill>
      <patternFill patternType="solid">
        <fgColor theme="1" tint="4.9989318521683403E-2"/>
        <bgColor indexed="64"/>
      </patternFill>
    </fill>
    <fill>
      <patternFill patternType="solid">
        <fgColor theme="8" tint="-0.499984740745262"/>
        <bgColor indexed="64"/>
      </patternFill>
    </fill>
    <fill>
      <patternFill patternType="solid">
        <fgColor theme="1"/>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top" wrapText="1"/>
    </xf>
    <xf numFmtId="4" fontId="0" fillId="0" borderId="0" xfId="0" applyNumberFormat="1" applyAlignment="1">
      <alignment horizontal="right" vertical="top" wrapText="1"/>
    </xf>
    <xf numFmtId="0" fontId="0" fillId="2" borderId="1" xfId="0" applyFill="1" applyBorder="1"/>
    <xf numFmtId="0" fontId="1" fillId="3" borderId="1"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0" borderId="0" xfId="0" applyFont="1"/>
    <xf numFmtId="0" fontId="0" fillId="0" borderId="0" xfId="0" applyAlignment="1">
      <alignment horizontal="left" indent="1"/>
    </xf>
    <xf numFmtId="0" fontId="0" fillId="4" borderId="0" xfId="0" applyFill="1"/>
    <xf numFmtId="0" fontId="5" fillId="0" borderId="0" xfId="0" applyFont="1"/>
    <xf numFmtId="165" fontId="0" fillId="0" borderId="0" xfId="0" applyNumberFormat="1"/>
    <xf numFmtId="10" fontId="0" fillId="0" borderId="0" xfId="1" applyNumberFormat="1" applyFont="1"/>
    <xf numFmtId="9" fontId="0" fillId="0" borderId="0" xfId="1" applyNumberFormat="1" applyFont="1"/>
    <xf numFmtId="0" fontId="0" fillId="5" borderId="0" xfId="0" applyFill="1"/>
    <xf numFmtId="0" fontId="0" fillId="6" borderId="0" xfId="0" applyFill="1"/>
  </cellXfs>
  <cellStyles count="2">
    <cellStyle name="Normal" xfId="0" builtinId="0"/>
    <cellStyle name="Percent" xfId="1" builtinId="5"/>
  </cellStyles>
  <dxfs count="99">
    <dxf>
      <alignment horizontal="center" vertical="top" textRotation="0" wrapText="1" indent="0" justifyLastLine="0" shrinkToFit="0" readingOrder="0"/>
    </dxf>
    <dxf>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numFmt numFmtId="4" formatCode="#,##0.00"/>
      <alignment horizontal="righ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colors>
    <mruColors>
      <color rgb="FFE57588"/>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Umum OJK  Semester 1 2026.xlsx]Pivot Analysis!PivotTable11</c:name>
    <c:fmtId val="5"/>
  </c:pivotSource>
  <c:chart>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65541293639668E-2"/>
          <c:y val="5.1492110133404004E-2"/>
          <c:w val="0.77977448719580134"/>
          <c:h val="0.83991445748804749"/>
        </c:manualLayout>
      </c:layout>
      <c:lineChart>
        <c:grouping val="standard"/>
        <c:varyColors val="0"/>
        <c:ser>
          <c:idx val="0"/>
          <c:order val="0"/>
          <c:tx>
            <c:strRef>
              <c:f>'Pivot Analysis'!$B$104:$B$105</c:f>
              <c:strCache>
                <c:ptCount val="1"/>
                <c:pt idx="0">
                  <c:v>001.Kredit / Pembiayaan Yang Diberikan</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Analysis'!$A$106:$A$112</c:f>
              <c:strCache>
                <c:ptCount val="6"/>
                <c:pt idx="0">
                  <c:v>Jan</c:v>
                </c:pt>
                <c:pt idx="1">
                  <c:v>Feb</c:v>
                </c:pt>
                <c:pt idx="2">
                  <c:v>Mar</c:v>
                </c:pt>
                <c:pt idx="3">
                  <c:v>Apr</c:v>
                </c:pt>
                <c:pt idx="4">
                  <c:v>May</c:v>
                </c:pt>
                <c:pt idx="5">
                  <c:v>Jun</c:v>
                </c:pt>
              </c:strCache>
            </c:strRef>
          </c:cat>
          <c:val>
            <c:numRef>
              <c:f>'Pivot Analysis'!$B$106:$B$112</c:f>
              <c:numCache>
                <c:formatCode>General</c:formatCode>
                <c:ptCount val="6"/>
                <c:pt idx="0">
                  <c:v>8661.5300000000007</c:v>
                </c:pt>
                <c:pt idx="1">
                  <c:v>8663</c:v>
                </c:pt>
                <c:pt idx="2">
                  <c:v>8768.75</c:v>
                </c:pt>
                <c:pt idx="3">
                  <c:v>8864.9599999999991</c:v>
                </c:pt>
                <c:pt idx="4">
                  <c:v>9019.19</c:v>
                </c:pt>
                <c:pt idx="5">
                  <c:v>9187.9699999999993</c:v>
                </c:pt>
              </c:numCache>
            </c:numRef>
          </c:val>
          <c:smooth val="0"/>
          <c:extLst>
            <c:ext xmlns:c16="http://schemas.microsoft.com/office/drawing/2014/chart" uri="{C3380CC4-5D6E-409C-BE32-E72D297353CC}">
              <c16:uniqueId val="{00000000-0F8E-48F7-9C42-132A1EF1DB16}"/>
            </c:ext>
          </c:extLst>
        </c:ser>
        <c:ser>
          <c:idx val="1"/>
          <c:order val="1"/>
          <c:tx>
            <c:strRef>
              <c:f>'Pivot Analysis'!$C$104:$C$105</c:f>
              <c:strCache>
                <c:ptCount val="1"/>
                <c:pt idx="0">
                  <c:v>009.Dana Pihak Ketiga</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Analysis'!$A$106:$A$112</c:f>
              <c:strCache>
                <c:ptCount val="6"/>
                <c:pt idx="0">
                  <c:v>Jan</c:v>
                </c:pt>
                <c:pt idx="1">
                  <c:v>Feb</c:v>
                </c:pt>
                <c:pt idx="2">
                  <c:v>Mar</c:v>
                </c:pt>
                <c:pt idx="3">
                  <c:v>Apr</c:v>
                </c:pt>
                <c:pt idx="4">
                  <c:v>May</c:v>
                </c:pt>
                <c:pt idx="5">
                  <c:v>Jun</c:v>
                </c:pt>
              </c:strCache>
            </c:strRef>
          </c:cat>
          <c:val>
            <c:numRef>
              <c:f>'Pivot Analysis'!$C$106:$C$112</c:f>
              <c:numCache>
                <c:formatCode>General</c:formatCode>
                <c:ptCount val="6"/>
                <c:pt idx="0">
                  <c:v>10074.56</c:v>
                </c:pt>
                <c:pt idx="1">
                  <c:v>10102.290000000001</c:v>
                </c:pt>
                <c:pt idx="2">
                  <c:v>10230.799999999999</c:v>
                </c:pt>
                <c:pt idx="3">
                  <c:v>10076.51</c:v>
                </c:pt>
                <c:pt idx="4">
                  <c:v>10294.32</c:v>
                </c:pt>
                <c:pt idx="5">
                  <c:v>10281.799999999999</c:v>
                </c:pt>
              </c:numCache>
            </c:numRef>
          </c:val>
          <c:smooth val="0"/>
          <c:extLst>
            <c:ext xmlns:c16="http://schemas.microsoft.com/office/drawing/2014/chart" uri="{C3380CC4-5D6E-409C-BE32-E72D297353CC}">
              <c16:uniqueId val="{00000001-0F8E-48F7-9C42-132A1EF1DB16}"/>
            </c:ext>
          </c:extLst>
        </c:ser>
        <c:dLbls>
          <c:showLegendKey val="0"/>
          <c:showVal val="0"/>
          <c:showCatName val="0"/>
          <c:showSerName val="0"/>
          <c:showPercent val="0"/>
          <c:showBubbleSize val="0"/>
        </c:dLbls>
        <c:marker val="1"/>
        <c:smooth val="0"/>
        <c:axId val="1744470655"/>
        <c:axId val="673554031"/>
      </c:lineChart>
      <c:catAx>
        <c:axId val="17444706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3554031"/>
        <c:crosses val="autoZero"/>
        <c:auto val="1"/>
        <c:lblAlgn val="ctr"/>
        <c:lblOffset val="100"/>
        <c:noMultiLvlLbl val="0"/>
      </c:catAx>
      <c:valAx>
        <c:axId val="673554031"/>
        <c:scaling>
          <c:orientation val="minMax"/>
        </c:scaling>
        <c:delete val="0"/>
        <c:axPos val="l"/>
        <c:majorGridlines>
          <c:spPr>
            <a:ln w="9525" cap="flat" cmpd="sng" algn="ctr">
              <a:solidFill>
                <a:schemeClr val="accent1">
                  <a:alpha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4470655"/>
        <c:crosses val="autoZero"/>
        <c:crossBetween val="between"/>
      </c:valAx>
      <c:spPr>
        <a:noFill/>
        <a:ln>
          <a:noFill/>
        </a:ln>
        <a:effectLst/>
      </c:spPr>
    </c:plotArea>
    <c:legend>
      <c:legendPos val="r"/>
      <c:layout>
        <c:manualLayout>
          <c:xMode val="edge"/>
          <c:yMode val="edge"/>
          <c:x val="0.85052604135953247"/>
          <c:y val="4.7452610090405342E-2"/>
          <c:w val="0.13423505349178613"/>
          <c:h val="0.952547390893900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Umum OJK  Semester 1 2026.xlsx]Pivot Analysis!PivotTable12</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63258917073732E-2"/>
          <c:y val="0.11686582097193547"/>
          <c:w val="0.76706469501336783"/>
          <c:h val="0.6366719424990045"/>
        </c:manualLayout>
      </c:layout>
      <c:barChart>
        <c:barDir val="col"/>
        <c:grouping val="clustered"/>
        <c:varyColors val="0"/>
        <c:ser>
          <c:idx val="0"/>
          <c:order val="0"/>
          <c:tx>
            <c:strRef>
              <c:f>'Pivot Analysis'!$B$116:$B$117</c:f>
              <c:strCache>
                <c:ptCount val="1"/>
                <c:pt idx="0">
                  <c:v>005.Net Interest Margin Ratio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'Pivot Analysis'!$A$118:$A$124</c:f>
              <c:strCache>
                <c:ptCount val="6"/>
                <c:pt idx="0">
                  <c:v>Jan</c:v>
                </c:pt>
                <c:pt idx="1">
                  <c:v>Feb</c:v>
                </c:pt>
                <c:pt idx="2">
                  <c:v>Mar</c:v>
                </c:pt>
                <c:pt idx="3">
                  <c:v>Apr</c:v>
                </c:pt>
                <c:pt idx="4">
                  <c:v>May</c:v>
                </c:pt>
                <c:pt idx="5">
                  <c:v>Jun</c:v>
                </c:pt>
              </c:strCache>
            </c:strRef>
          </c:cat>
          <c:val>
            <c:numRef>
              <c:f>'Pivot Analysis'!$B$118:$B$124</c:f>
              <c:numCache>
                <c:formatCode>General</c:formatCode>
                <c:ptCount val="6"/>
                <c:pt idx="0">
                  <c:v>4.458181818181818</c:v>
                </c:pt>
                <c:pt idx="1">
                  <c:v>4.3545454545454545</c:v>
                </c:pt>
                <c:pt idx="2">
                  <c:v>4.4263636363636358</c:v>
                </c:pt>
                <c:pt idx="3">
                  <c:v>4.4719999999999995</c:v>
                </c:pt>
                <c:pt idx="4">
                  <c:v>4.4659999999999993</c:v>
                </c:pt>
                <c:pt idx="5">
                  <c:v>4.46</c:v>
                </c:pt>
              </c:numCache>
            </c:numRef>
          </c:val>
          <c:extLst>
            <c:ext xmlns:c16="http://schemas.microsoft.com/office/drawing/2014/chart" uri="{C3380CC4-5D6E-409C-BE32-E72D297353CC}">
              <c16:uniqueId val="{00000000-482E-47D0-8E76-F569DE369AA4}"/>
            </c:ext>
          </c:extLst>
        </c:ser>
        <c:dLbls>
          <c:showLegendKey val="0"/>
          <c:showVal val="0"/>
          <c:showCatName val="0"/>
          <c:showSerName val="0"/>
          <c:showPercent val="0"/>
          <c:showBubbleSize val="0"/>
        </c:dLbls>
        <c:gapWidth val="219"/>
        <c:axId val="1744466943"/>
        <c:axId val="673571311"/>
      </c:barChart>
      <c:lineChart>
        <c:grouping val="standard"/>
        <c:varyColors val="0"/>
        <c:ser>
          <c:idx val="1"/>
          <c:order val="1"/>
          <c:tx>
            <c:strRef>
              <c:f>'Pivot Analysis'!$C$116:$C$117</c:f>
              <c:strCache>
                <c:ptCount val="1"/>
                <c:pt idx="0">
                  <c:v>006.Loan to Deposits Ratio (%)</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Analysis'!$A$118:$A$124</c:f>
              <c:strCache>
                <c:ptCount val="6"/>
                <c:pt idx="0">
                  <c:v>Jan</c:v>
                </c:pt>
                <c:pt idx="1">
                  <c:v>Feb</c:v>
                </c:pt>
                <c:pt idx="2">
                  <c:v>Mar</c:v>
                </c:pt>
                <c:pt idx="3">
                  <c:v>Apr</c:v>
                </c:pt>
                <c:pt idx="4">
                  <c:v>May</c:v>
                </c:pt>
                <c:pt idx="5">
                  <c:v>Jun</c:v>
                </c:pt>
              </c:strCache>
            </c:strRef>
          </c:cat>
          <c:val>
            <c:numRef>
              <c:f>'Pivot Analysis'!$C$118:$C$124</c:f>
              <c:numCache>
                <c:formatCode>General</c:formatCode>
                <c:ptCount val="6"/>
                <c:pt idx="0">
                  <c:v>79.193636363636358</c:v>
                </c:pt>
                <c:pt idx="1">
                  <c:v>80.172727272727272</c:v>
                </c:pt>
                <c:pt idx="2">
                  <c:v>79.844545454545454</c:v>
                </c:pt>
                <c:pt idx="3">
                  <c:v>80.712999999999994</c:v>
                </c:pt>
                <c:pt idx="4">
                  <c:v>81.231999999999999</c:v>
                </c:pt>
                <c:pt idx="5">
                  <c:v>85.347999999999999</c:v>
                </c:pt>
              </c:numCache>
            </c:numRef>
          </c:val>
          <c:smooth val="0"/>
          <c:extLst>
            <c:ext xmlns:c16="http://schemas.microsoft.com/office/drawing/2014/chart" uri="{C3380CC4-5D6E-409C-BE32-E72D297353CC}">
              <c16:uniqueId val="{00000001-482E-47D0-8E76-F569DE369AA4}"/>
            </c:ext>
          </c:extLst>
        </c:ser>
        <c:dLbls>
          <c:showLegendKey val="0"/>
          <c:showVal val="0"/>
          <c:showCatName val="0"/>
          <c:showSerName val="0"/>
          <c:showPercent val="0"/>
          <c:showBubbleSize val="0"/>
        </c:dLbls>
        <c:marker val="1"/>
        <c:smooth val="0"/>
        <c:axId val="1744409871"/>
        <c:axId val="673582831"/>
      </c:lineChart>
      <c:catAx>
        <c:axId val="1744466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3571311"/>
        <c:crosses val="autoZero"/>
        <c:auto val="1"/>
        <c:lblAlgn val="ctr"/>
        <c:lblOffset val="100"/>
        <c:noMultiLvlLbl val="0"/>
      </c:catAx>
      <c:valAx>
        <c:axId val="673571311"/>
        <c:scaling>
          <c:orientation val="minMax"/>
        </c:scaling>
        <c:delete val="0"/>
        <c:axPos val="l"/>
        <c:majorGridlines>
          <c:spPr>
            <a:ln w="9525" cap="flat" cmpd="sng" algn="ctr">
              <a:solidFill>
                <a:schemeClr val="accent1">
                  <a:alpha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4466943"/>
        <c:crosses val="autoZero"/>
        <c:crossBetween val="between"/>
      </c:valAx>
      <c:valAx>
        <c:axId val="6735828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4409871"/>
        <c:crosses val="max"/>
        <c:crossBetween val="between"/>
      </c:valAx>
      <c:catAx>
        <c:axId val="1744409871"/>
        <c:scaling>
          <c:orientation val="minMax"/>
        </c:scaling>
        <c:delete val="1"/>
        <c:axPos val="b"/>
        <c:numFmt formatCode="General" sourceLinked="1"/>
        <c:majorTickMark val="none"/>
        <c:minorTickMark val="none"/>
        <c:tickLblPos val="nextTo"/>
        <c:crossAx val="673582831"/>
        <c:crosses val="autoZero"/>
        <c:auto val="1"/>
        <c:lblAlgn val="ctr"/>
        <c:lblOffset val="100"/>
        <c:noMultiLvlLbl val="0"/>
      </c:catAx>
      <c:spPr>
        <a:noFill/>
        <a:ln>
          <a:noFill/>
        </a:ln>
        <a:effectLst/>
      </c:spPr>
    </c:plotArea>
    <c:legend>
      <c:legendPos val="r"/>
      <c:layout>
        <c:manualLayout>
          <c:xMode val="edge"/>
          <c:yMode val="edge"/>
          <c:x val="0.85962181665052806"/>
          <c:y val="3.3563721201516461E-2"/>
          <c:w val="0.12648928929390671"/>
          <c:h val="0.96643600236910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Umum OJK  Semester 1 2026.xlsx]Pivot Analysis!PivotTable13</c:name>
    <c:fmtId val="20"/>
  </c:pivotSource>
  <c:chart>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5180553961644"/>
          <c:y val="5.0925925925925923E-2"/>
          <c:w val="0.78491294593644523"/>
          <c:h val="0.8416746864975212"/>
        </c:manualLayout>
      </c:layout>
      <c:barChart>
        <c:barDir val="bar"/>
        <c:grouping val="clustered"/>
        <c:varyColors val="0"/>
        <c:ser>
          <c:idx val="0"/>
          <c:order val="0"/>
          <c:tx>
            <c:strRef>
              <c:f>'Pivot Analysis'!$B$130:$B$131</c:f>
              <c:strCache>
                <c:ptCount val="1"/>
                <c:pt idx="0">
                  <c:v>001.Rasio Pemenuhan Kecukupan Modal Minimum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'Pivot Analysis'!$A$132:$A$138</c:f>
              <c:strCache>
                <c:ptCount val="6"/>
                <c:pt idx="0">
                  <c:v>Jan</c:v>
                </c:pt>
                <c:pt idx="1">
                  <c:v>Feb</c:v>
                </c:pt>
                <c:pt idx="2">
                  <c:v>Mar</c:v>
                </c:pt>
                <c:pt idx="3">
                  <c:v>Apr</c:v>
                </c:pt>
                <c:pt idx="4">
                  <c:v>May</c:v>
                </c:pt>
                <c:pt idx="5">
                  <c:v>Jun</c:v>
                </c:pt>
              </c:strCache>
            </c:strRef>
          </c:cat>
          <c:val>
            <c:numRef>
              <c:f>'Pivot Analysis'!$B$132:$B$138</c:f>
              <c:numCache>
                <c:formatCode>General</c:formatCode>
                <c:ptCount val="6"/>
                <c:pt idx="0">
                  <c:v>30.985454545454544</c:v>
                </c:pt>
                <c:pt idx="1">
                  <c:v>30.34363636363636</c:v>
                </c:pt>
                <c:pt idx="2">
                  <c:v>29.91090909090909</c:v>
                </c:pt>
                <c:pt idx="3">
                  <c:v>30.493000000000002</c:v>
                </c:pt>
                <c:pt idx="4">
                  <c:v>29.170999999999999</c:v>
                </c:pt>
                <c:pt idx="5">
                  <c:v>29.073</c:v>
                </c:pt>
              </c:numCache>
            </c:numRef>
          </c:val>
          <c:extLst>
            <c:ext xmlns:c16="http://schemas.microsoft.com/office/drawing/2014/chart" uri="{C3380CC4-5D6E-409C-BE32-E72D297353CC}">
              <c16:uniqueId val="{00000000-7013-4F80-9E79-EEB1BAA86D5F}"/>
            </c:ext>
          </c:extLst>
        </c:ser>
        <c:ser>
          <c:idx val="1"/>
          <c:order val="1"/>
          <c:tx>
            <c:strRef>
              <c:f>'Pivot Analysis'!$C$130:$C$131</c:f>
              <c:strCache>
                <c:ptCount val="1"/>
                <c:pt idx="0">
                  <c:v>002.Rasio Modal Inti terhadap ATMR (%)</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'Pivot Analysis'!$A$132:$A$138</c:f>
              <c:strCache>
                <c:ptCount val="6"/>
                <c:pt idx="0">
                  <c:v>Jan</c:v>
                </c:pt>
                <c:pt idx="1">
                  <c:v>Feb</c:v>
                </c:pt>
                <c:pt idx="2">
                  <c:v>Mar</c:v>
                </c:pt>
                <c:pt idx="3">
                  <c:v>Apr</c:v>
                </c:pt>
                <c:pt idx="4">
                  <c:v>May</c:v>
                </c:pt>
                <c:pt idx="5">
                  <c:v>Jun</c:v>
                </c:pt>
              </c:strCache>
            </c:strRef>
          </c:cat>
          <c:val>
            <c:numRef>
              <c:f>'Pivot Analysis'!$C$132:$C$138</c:f>
              <c:numCache>
                <c:formatCode>General</c:formatCode>
                <c:ptCount val="6"/>
                <c:pt idx="0">
                  <c:v>29.565454545454546</c:v>
                </c:pt>
                <c:pt idx="1">
                  <c:v>28.941818181818181</c:v>
                </c:pt>
                <c:pt idx="2">
                  <c:v>28.513636363636362</c:v>
                </c:pt>
                <c:pt idx="3">
                  <c:v>29.224</c:v>
                </c:pt>
                <c:pt idx="4">
                  <c:v>27.907999999999998</c:v>
                </c:pt>
                <c:pt idx="5">
                  <c:v>27.814999999999998</c:v>
                </c:pt>
              </c:numCache>
            </c:numRef>
          </c:val>
          <c:extLst>
            <c:ext xmlns:c16="http://schemas.microsoft.com/office/drawing/2014/chart" uri="{C3380CC4-5D6E-409C-BE32-E72D297353CC}">
              <c16:uniqueId val="{00000001-7013-4F80-9E79-EEB1BAA86D5F}"/>
            </c:ext>
          </c:extLst>
        </c:ser>
        <c:dLbls>
          <c:showLegendKey val="0"/>
          <c:showVal val="0"/>
          <c:showCatName val="0"/>
          <c:showSerName val="0"/>
          <c:showPercent val="0"/>
          <c:showBubbleSize val="0"/>
        </c:dLbls>
        <c:gapWidth val="100"/>
        <c:axId val="188028912"/>
        <c:axId val="120216528"/>
      </c:barChart>
      <c:catAx>
        <c:axId val="1880289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216528"/>
        <c:crosses val="autoZero"/>
        <c:auto val="1"/>
        <c:lblAlgn val="ctr"/>
        <c:lblOffset val="100"/>
        <c:noMultiLvlLbl val="0"/>
      </c:catAx>
      <c:valAx>
        <c:axId val="120216528"/>
        <c:scaling>
          <c:orientation val="minMax"/>
        </c:scaling>
        <c:delete val="0"/>
        <c:axPos val="b"/>
        <c:majorGridlines>
          <c:spPr>
            <a:ln w="9525" cap="flat" cmpd="sng" algn="ctr">
              <a:solidFill>
                <a:schemeClr val="accent1">
                  <a:alpha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02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57425" cy="8953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257425" cy="895350"/>
    <xdr:pic>
      <xdr:nvPicPr>
        <xdr:cNvPr id="2" name="Picture 1">
          <a:extLst>
            <a:ext uri="{FF2B5EF4-FFF2-40B4-BE49-F238E27FC236}">
              <a16:creationId xmlns:a16="http://schemas.microsoft.com/office/drawing/2014/main" id="{7F232EDB-84FD-47C0-B3A3-7BC53087A662}"/>
            </a:ext>
          </a:extLst>
        </xdr:cNvPr>
        <xdr:cNvPicPr>
          <a:picLocks noChangeAspect="1"/>
        </xdr:cNvPicPr>
      </xdr:nvPicPr>
      <xdr:blipFill>
        <a:blip xmlns:r="http://schemas.openxmlformats.org/officeDocument/2006/relationships" r:embed="rId1" cstate="print"/>
        <a:stretch>
          <a:fillRect/>
        </a:stretch>
      </xdr:blipFill>
      <xdr:spPr>
        <a:xfrm>
          <a:off x="0" y="0"/>
          <a:ext cx="2257425" cy="8953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257425" cy="895350"/>
    <xdr:pic>
      <xdr:nvPicPr>
        <xdr:cNvPr id="2" name="Picture 1">
          <a:extLst>
            <a:ext uri="{FF2B5EF4-FFF2-40B4-BE49-F238E27FC236}">
              <a16:creationId xmlns:a16="http://schemas.microsoft.com/office/drawing/2014/main" id="{D4A0403D-717E-4F49-A4B3-4BFDBC08F68A}"/>
            </a:ext>
          </a:extLst>
        </xdr:cNvPr>
        <xdr:cNvPicPr>
          <a:picLocks noChangeAspect="1"/>
        </xdr:cNvPicPr>
      </xdr:nvPicPr>
      <xdr:blipFill>
        <a:blip xmlns:r="http://schemas.openxmlformats.org/officeDocument/2006/relationships" r:embed="rId1" cstate="print"/>
        <a:stretch>
          <a:fillRect/>
        </a:stretch>
      </xdr:blipFill>
      <xdr:spPr>
        <a:xfrm>
          <a:off x="0" y="0"/>
          <a:ext cx="2257425" cy="8953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71437</xdr:colOff>
      <xdr:row>0</xdr:row>
      <xdr:rowOff>87312</xdr:rowOff>
    </xdr:from>
    <xdr:to>
      <xdr:col>2</xdr:col>
      <xdr:colOff>404812</xdr:colOff>
      <xdr:row>12</xdr:row>
      <xdr:rowOff>47625</xdr:rowOff>
    </xdr:to>
    <xdr:sp macro="" textlink="">
      <xdr:nvSpPr>
        <xdr:cNvPr id="2" name="Rectangle 1">
          <a:extLst>
            <a:ext uri="{FF2B5EF4-FFF2-40B4-BE49-F238E27FC236}">
              <a16:creationId xmlns:a16="http://schemas.microsoft.com/office/drawing/2014/main" id="{5D140E89-6C50-3AAD-880F-1766BCDE3FED}"/>
            </a:ext>
          </a:extLst>
        </xdr:cNvPr>
        <xdr:cNvSpPr/>
      </xdr:nvSpPr>
      <xdr:spPr>
        <a:xfrm>
          <a:off x="71437" y="87312"/>
          <a:ext cx="1555750" cy="2151063"/>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0</xdr:col>
      <xdr:colOff>73024</xdr:colOff>
      <xdr:row>12</xdr:row>
      <xdr:rowOff>79375</xdr:rowOff>
    </xdr:from>
    <xdr:to>
      <xdr:col>2</xdr:col>
      <xdr:colOff>406399</xdr:colOff>
      <xdr:row>21</xdr:row>
      <xdr:rowOff>39684</xdr:rowOff>
    </xdr:to>
    <xdr:sp macro="" textlink="">
      <xdr:nvSpPr>
        <xdr:cNvPr id="3" name="Rectangle 2">
          <a:extLst>
            <a:ext uri="{FF2B5EF4-FFF2-40B4-BE49-F238E27FC236}">
              <a16:creationId xmlns:a16="http://schemas.microsoft.com/office/drawing/2014/main" id="{4E820ADC-4ABA-47BC-80AD-3BA5702F267C}"/>
            </a:ext>
          </a:extLst>
        </xdr:cNvPr>
        <xdr:cNvSpPr/>
      </xdr:nvSpPr>
      <xdr:spPr>
        <a:xfrm>
          <a:off x="73024" y="2270125"/>
          <a:ext cx="1555750" cy="1603372"/>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0</xdr:col>
      <xdr:colOff>74611</xdr:colOff>
      <xdr:row>21</xdr:row>
      <xdr:rowOff>74610</xdr:rowOff>
    </xdr:from>
    <xdr:to>
      <xdr:col>2</xdr:col>
      <xdr:colOff>407986</xdr:colOff>
      <xdr:row>27</xdr:row>
      <xdr:rowOff>7936</xdr:rowOff>
    </xdr:to>
    <xdr:sp macro="" textlink="">
      <xdr:nvSpPr>
        <xdr:cNvPr id="4" name="Rectangle 3">
          <a:extLst>
            <a:ext uri="{FF2B5EF4-FFF2-40B4-BE49-F238E27FC236}">
              <a16:creationId xmlns:a16="http://schemas.microsoft.com/office/drawing/2014/main" id="{A87A2EFF-3CBA-428F-9AED-D0E464DDB00E}"/>
            </a:ext>
          </a:extLst>
        </xdr:cNvPr>
        <xdr:cNvSpPr/>
      </xdr:nvSpPr>
      <xdr:spPr>
        <a:xfrm>
          <a:off x="74611" y="3908423"/>
          <a:ext cx="1555750" cy="1028701"/>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2</xdr:col>
      <xdr:colOff>492125</xdr:colOff>
      <xdr:row>0</xdr:row>
      <xdr:rowOff>95250</xdr:rowOff>
    </xdr:from>
    <xdr:to>
      <xdr:col>20</xdr:col>
      <xdr:colOff>357188</xdr:colOff>
      <xdr:row>27</xdr:row>
      <xdr:rowOff>7937</xdr:rowOff>
    </xdr:to>
    <xdr:sp macro="" textlink="">
      <xdr:nvSpPr>
        <xdr:cNvPr id="5" name="Rectangle 4">
          <a:extLst>
            <a:ext uri="{FF2B5EF4-FFF2-40B4-BE49-F238E27FC236}">
              <a16:creationId xmlns:a16="http://schemas.microsoft.com/office/drawing/2014/main" id="{11DD7602-6691-4F86-9782-1364DD62C672}"/>
            </a:ext>
          </a:extLst>
        </xdr:cNvPr>
        <xdr:cNvSpPr/>
      </xdr:nvSpPr>
      <xdr:spPr>
        <a:xfrm>
          <a:off x="1714500" y="95250"/>
          <a:ext cx="10866438" cy="4841875"/>
        </a:xfrm>
        <a:prstGeom prst="rect">
          <a:avLst/>
        </a:prstGeom>
        <a:solidFill>
          <a:schemeClr val="bg2">
            <a:lumMod val="90000"/>
          </a:schemeClr>
        </a:solidFill>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3</xdr:col>
      <xdr:colOff>214312</xdr:colOff>
      <xdr:row>1</xdr:row>
      <xdr:rowOff>47624</xdr:rowOff>
    </xdr:from>
    <xdr:to>
      <xdr:col>19</xdr:col>
      <xdr:colOff>444500</xdr:colOff>
      <xdr:row>4</xdr:row>
      <xdr:rowOff>95250</xdr:rowOff>
    </xdr:to>
    <xdr:sp macro="" textlink="">
      <xdr:nvSpPr>
        <xdr:cNvPr id="6" name="Rectangle: Rounded Corners 5">
          <a:extLst>
            <a:ext uri="{FF2B5EF4-FFF2-40B4-BE49-F238E27FC236}">
              <a16:creationId xmlns:a16="http://schemas.microsoft.com/office/drawing/2014/main" id="{94BF70CE-0D07-50CF-9D1C-48297B46289D}"/>
            </a:ext>
          </a:extLst>
        </xdr:cNvPr>
        <xdr:cNvSpPr/>
      </xdr:nvSpPr>
      <xdr:spPr>
        <a:xfrm>
          <a:off x="2047875" y="230187"/>
          <a:ext cx="10009188" cy="595313"/>
        </a:xfrm>
        <a:prstGeom prst="roundRect">
          <a:avLst/>
        </a:prstGeom>
      </xdr:spPr>
      <xdr:style>
        <a:lnRef idx="2">
          <a:schemeClr val="dk1"/>
        </a:lnRef>
        <a:fillRef idx="1">
          <a:schemeClr val="lt1"/>
        </a:fillRef>
        <a:effectRef idx="0">
          <a:schemeClr val="dk1"/>
        </a:effectRef>
        <a:fontRef idx="minor">
          <a:schemeClr val="dk1"/>
        </a:fontRef>
      </xdr:style>
      <xdr:txBody>
        <a:bodyPr rtlCol="0" anchor="ctr"/>
        <a:lstStyle/>
        <a:p>
          <a:pPr algn="ctr"/>
          <a:r>
            <a:rPr lang="en-ID" sz="2200" b="1">
              <a:solidFill>
                <a:srgbClr val="990033"/>
              </a:solidFill>
              <a:latin typeface="Arial" panose="020B0604020202020204" pitchFamily="34" charset="0"/>
              <a:cs typeface="Arial" panose="020B0604020202020204" pitchFamily="34" charset="0"/>
            </a:rPr>
            <a:t>Financial Performance Dashboard: Bank Umum Indonesia (Data OJK)</a:t>
          </a:r>
        </a:p>
      </xdr:txBody>
    </xdr:sp>
    <xdr:clientData/>
  </xdr:twoCellAnchor>
  <xdr:twoCellAnchor>
    <xdr:from>
      <xdr:col>3</xdr:col>
      <xdr:colOff>57152</xdr:colOff>
      <xdr:row>5</xdr:row>
      <xdr:rowOff>17459</xdr:rowOff>
    </xdr:from>
    <xdr:to>
      <xdr:col>6</xdr:col>
      <xdr:colOff>71441</xdr:colOff>
      <xdr:row>10</xdr:row>
      <xdr:rowOff>15873</xdr:rowOff>
    </xdr:to>
    <xdr:sp macro="" textlink="">
      <xdr:nvSpPr>
        <xdr:cNvPr id="7" name="Rectangle: Rounded Corners 6">
          <a:extLst>
            <a:ext uri="{FF2B5EF4-FFF2-40B4-BE49-F238E27FC236}">
              <a16:creationId xmlns:a16="http://schemas.microsoft.com/office/drawing/2014/main" id="{4C81BEF9-1C3E-44EF-811B-FEDBF10D027B}"/>
            </a:ext>
          </a:extLst>
        </xdr:cNvPr>
        <xdr:cNvSpPr/>
      </xdr:nvSpPr>
      <xdr:spPr>
        <a:xfrm>
          <a:off x="1890715" y="930272"/>
          <a:ext cx="1847851" cy="911226"/>
        </a:xfrm>
        <a:prstGeom prst="roundRect">
          <a:avLst/>
        </a:prstGeom>
        <a:solidFill>
          <a:schemeClr val="accent6">
            <a:lumMod val="20000"/>
            <a:lumOff val="80000"/>
          </a:schemeClr>
        </a:solidFill>
      </xdr:spPr>
      <xdr:style>
        <a:lnRef idx="2">
          <a:schemeClr val="dk1"/>
        </a:lnRef>
        <a:fillRef idx="1">
          <a:schemeClr val="lt1"/>
        </a:fillRef>
        <a:effectRef idx="0">
          <a:schemeClr val="dk1"/>
        </a:effectRef>
        <a:fontRef idx="minor">
          <a:schemeClr val="dk1"/>
        </a:fontRef>
      </xdr:style>
      <xdr:txBody>
        <a:bodyPr rtlCol="0" anchor="t"/>
        <a:lstStyle/>
        <a:p>
          <a:pPr algn="l"/>
          <a:r>
            <a:rPr lang="en-ID" sz="1100" b="1">
              <a:solidFill>
                <a:schemeClr val="accent6">
                  <a:lumMod val="50000"/>
                </a:schemeClr>
              </a:solidFill>
            </a:rPr>
            <a:t>Total Assets</a:t>
          </a:r>
        </a:p>
      </xdr:txBody>
    </xdr:sp>
    <xdr:clientData/>
  </xdr:twoCellAnchor>
  <xdr:twoCellAnchor>
    <xdr:from>
      <xdr:col>6</xdr:col>
      <xdr:colOff>328611</xdr:colOff>
      <xdr:row>5</xdr:row>
      <xdr:rowOff>19046</xdr:rowOff>
    </xdr:from>
    <xdr:to>
      <xdr:col>9</xdr:col>
      <xdr:colOff>342899</xdr:colOff>
      <xdr:row>10</xdr:row>
      <xdr:rowOff>17460</xdr:rowOff>
    </xdr:to>
    <xdr:sp macro="" textlink="">
      <xdr:nvSpPr>
        <xdr:cNvPr id="12" name="Rectangle: Rounded Corners 11">
          <a:extLst>
            <a:ext uri="{FF2B5EF4-FFF2-40B4-BE49-F238E27FC236}">
              <a16:creationId xmlns:a16="http://schemas.microsoft.com/office/drawing/2014/main" id="{E4DE37F4-A0C4-4A61-917D-A9CD881ED9EB}"/>
            </a:ext>
          </a:extLst>
        </xdr:cNvPr>
        <xdr:cNvSpPr/>
      </xdr:nvSpPr>
      <xdr:spPr>
        <a:xfrm>
          <a:off x="3995736" y="931859"/>
          <a:ext cx="1847851" cy="911226"/>
        </a:xfrm>
        <a:prstGeom prst="roundRect">
          <a:avLst/>
        </a:prstGeom>
        <a:solidFill>
          <a:schemeClr val="accent6">
            <a:lumMod val="20000"/>
            <a:lumOff val="80000"/>
          </a:schemeClr>
        </a:solidFill>
      </xdr:spPr>
      <xdr:style>
        <a:lnRef idx="2">
          <a:schemeClr val="dk1"/>
        </a:lnRef>
        <a:fillRef idx="1">
          <a:schemeClr val="lt1"/>
        </a:fillRef>
        <a:effectRef idx="0">
          <a:schemeClr val="dk1"/>
        </a:effectRef>
        <a:fontRef idx="minor">
          <a:schemeClr val="dk1"/>
        </a:fontRef>
      </xdr:style>
      <xdr:txBody>
        <a:bodyPr rtlCol="0" anchor="t"/>
        <a:lstStyle/>
        <a:p>
          <a:pPr algn="l"/>
          <a:r>
            <a:rPr lang="en-ID" sz="1100" b="1">
              <a:solidFill>
                <a:schemeClr val="accent6">
                  <a:lumMod val="50000"/>
                </a:schemeClr>
              </a:solidFill>
            </a:rPr>
            <a:t>Total Kredit</a:t>
          </a:r>
        </a:p>
      </xdr:txBody>
    </xdr:sp>
    <xdr:clientData/>
  </xdr:twoCellAnchor>
  <xdr:twoCellAnchor>
    <xdr:from>
      <xdr:col>10</xdr:col>
      <xdr:colOff>4762</xdr:colOff>
      <xdr:row>5</xdr:row>
      <xdr:rowOff>20634</xdr:rowOff>
    </xdr:from>
    <xdr:to>
      <xdr:col>13</xdr:col>
      <xdr:colOff>19050</xdr:colOff>
      <xdr:row>10</xdr:row>
      <xdr:rowOff>19048</xdr:rowOff>
    </xdr:to>
    <xdr:sp macro="" textlink="">
      <xdr:nvSpPr>
        <xdr:cNvPr id="13" name="Rectangle: Rounded Corners 12">
          <a:extLst>
            <a:ext uri="{FF2B5EF4-FFF2-40B4-BE49-F238E27FC236}">
              <a16:creationId xmlns:a16="http://schemas.microsoft.com/office/drawing/2014/main" id="{11F6108A-1272-4C36-8028-72F3D5C06BF9}"/>
            </a:ext>
          </a:extLst>
        </xdr:cNvPr>
        <xdr:cNvSpPr/>
      </xdr:nvSpPr>
      <xdr:spPr>
        <a:xfrm>
          <a:off x="6116637" y="933447"/>
          <a:ext cx="1847851" cy="911226"/>
        </a:xfrm>
        <a:prstGeom prst="roundRect">
          <a:avLst/>
        </a:prstGeom>
        <a:solidFill>
          <a:schemeClr val="accent6">
            <a:lumMod val="20000"/>
            <a:lumOff val="80000"/>
          </a:schemeClr>
        </a:solidFill>
      </xdr:spPr>
      <xdr:style>
        <a:lnRef idx="2">
          <a:schemeClr val="dk1"/>
        </a:lnRef>
        <a:fillRef idx="1">
          <a:schemeClr val="lt1"/>
        </a:fillRef>
        <a:effectRef idx="0">
          <a:schemeClr val="dk1"/>
        </a:effectRef>
        <a:fontRef idx="minor">
          <a:schemeClr val="dk1"/>
        </a:fontRef>
      </xdr:style>
      <xdr:txBody>
        <a:bodyPr rtlCol="0" anchor="t"/>
        <a:lstStyle/>
        <a:p>
          <a:pPr algn="l"/>
          <a:r>
            <a:rPr lang="en-ID" sz="1100" b="1">
              <a:solidFill>
                <a:schemeClr val="accent6">
                  <a:lumMod val="50000"/>
                </a:schemeClr>
              </a:solidFill>
            </a:rPr>
            <a:t>Total Dana Pihak Ketiga </a:t>
          </a:r>
        </a:p>
      </xdr:txBody>
    </xdr:sp>
    <xdr:clientData/>
  </xdr:twoCellAnchor>
  <xdr:twoCellAnchor>
    <xdr:from>
      <xdr:col>13</xdr:col>
      <xdr:colOff>347661</xdr:colOff>
      <xdr:row>5</xdr:row>
      <xdr:rowOff>22221</xdr:rowOff>
    </xdr:from>
    <xdr:to>
      <xdr:col>16</xdr:col>
      <xdr:colOff>361950</xdr:colOff>
      <xdr:row>10</xdr:row>
      <xdr:rowOff>20635</xdr:rowOff>
    </xdr:to>
    <xdr:sp macro="" textlink="">
      <xdr:nvSpPr>
        <xdr:cNvPr id="14" name="Rectangle: Rounded Corners 13">
          <a:extLst>
            <a:ext uri="{FF2B5EF4-FFF2-40B4-BE49-F238E27FC236}">
              <a16:creationId xmlns:a16="http://schemas.microsoft.com/office/drawing/2014/main" id="{EA9450FB-6B6F-4A94-BC8B-25E2F4B1EDF0}"/>
            </a:ext>
          </a:extLst>
        </xdr:cNvPr>
        <xdr:cNvSpPr/>
      </xdr:nvSpPr>
      <xdr:spPr>
        <a:xfrm>
          <a:off x="8293099" y="935034"/>
          <a:ext cx="1847851" cy="911226"/>
        </a:xfrm>
        <a:prstGeom prst="round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rtlCol="0" anchor="t"/>
        <a:lstStyle/>
        <a:p>
          <a:pPr algn="l"/>
          <a:r>
            <a:rPr lang="en-ID" sz="1100" b="1">
              <a:solidFill>
                <a:schemeClr val="accent6">
                  <a:lumMod val="50000"/>
                </a:schemeClr>
              </a:solidFill>
            </a:rPr>
            <a:t>Capital Adequacy Ratio</a:t>
          </a:r>
        </a:p>
      </xdr:txBody>
    </xdr:sp>
    <xdr:clientData/>
  </xdr:twoCellAnchor>
  <xdr:twoCellAnchor>
    <xdr:from>
      <xdr:col>17</xdr:col>
      <xdr:colOff>63498</xdr:colOff>
      <xdr:row>5</xdr:row>
      <xdr:rowOff>15871</xdr:rowOff>
    </xdr:from>
    <xdr:to>
      <xdr:col>20</xdr:col>
      <xdr:colOff>77787</xdr:colOff>
      <xdr:row>10</xdr:row>
      <xdr:rowOff>14285</xdr:rowOff>
    </xdr:to>
    <xdr:sp macro="" textlink="">
      <xdr:nvSpPr>
        <xdr:cNvPr id="15" name="Rectangle: Rounded Corners 14">
          <a:extLst>
            <a:ext uri="{FF2B5EF4-FFF2-40B4-BE49-F238E27FC236}">
              <a16:creationId xmlns:a16="http://schemas.microsoft.com/office/drawing/2014/main" id="{9F458AB5-D5A2-4871-8BFE-B10933871DEB}"/>
            </a:ext>
          </a:extLst>
        </xdr:cNvPr>
        <xdr:cNvSpPr/>
      </xdr:nvSpPr>
      <xdr:spPr>
        <a:xfrm>
          <a:off x="10453686" y="928684"/>
          <a:ext cx="1847851" cy="911226"/>
        </a:xfrm>
        <a:prstGeom prst="round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rtlCol="0" anchor="t"/>
        <a:lstStyle/>
        <a:p>
          <a:pPr algn="l"/>
          <a:r>
            <a:rPr lang="en-ID" sz="1100" b="1">
              <a:solidFill>
                <a:schemeClr val="accent6">
                  <a:lumMod val="50000"/>
                </a:schemeClr>
              </a:solidFill>
            </a:rPr>
            <a:t>Return On Assets</a:t>
          </a:r>
        </a:p>
      </xdr:txBody>
    </xdr:sp>
    <xdr:clientData/>
  </xdr:twoCellAnchor>
  <xdr:twoCellAnchor>
    <xdr:from>
      <xdr:col>3</xdr:col>
      <xdr:colOff>25399</xdr:colOff>
      <xdr:row>11</xdr:row>
      <xdr:rowOff>1588</xdr:rowOff>
    </xdr:from>
    <xdr:to>
      <xdr:col>16</xdr:col>
      <xdr:colOff>285750</xdr:colOff>
      <xdr:row>18</xdr:row>
      <xdr:rowOff>23813</xdr:rowOff>
    </xdr:to>
    <xdr:sp macro="" textlink="">
      <xdr:nvSpPr>
        <xdr:cNvPr id="16" name="Rectangle 15">
          <a:extLst>
            <a:ext uri="{FF2B5EF4-FFF2-40B4-BE49-F238E27FC236}">
              <a16:creationId xmlns:a16="http://schemas.microsoft.com/office/drawing/2014/main" id="{2D59B62D-1251-4487-8BBC-76D1D076E7D0}"/>
            </a:ext>
          </a:extLst>
        </xdr:cNvPr>
        <xdr:cNvSpPr/>
      </xdr:nvSpPr>
      <xdr:spPr>
        <a:xfrm>
          <a:off x="1858962" y="2009776"/>
          <a:ext cx="8205788" cy="1300162"/>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3</xdr:col>
      <xdr:colOff>34924</xdr:colOff>
      <xdr:row>19</xdr:row>
      <xdr:rowOff>3175</xdr:rowOff>
    </xdr:from>
    <xdr:to>
      <xdr:col>16</xdr:col>
      <xdr:colOff>295275</xdr:colOff>
      <xdr:row>26</xdr:row>
      <xdr:rowOff>25400</xdr:rowOff>
    </xdr:to>
    <xdr:sp macro="" textlink="">
      <xdr:nvSpPr>
        <xdr:cNvPr id="19" name="Rectangle 18">
          <a:extLst>
            <a:ext uri="{FF2B5EF4-FFF2-40B4-BE49-F238E27FC236}">
              <a16:creationId xmlns:a16="http://schemas.microsoft.com/office/drawing/2014/main" id="{7E36A02B-8D31-4497-AC43-A0F96C2A8789}"/>
            </a:ext>
          </a:extLst>
        </xdr:cNvPr>
        <xdr:cNvSpPr/>
      </xdr:nvSpPr>
      <xdr:spPr>
        <a:xfrm>
          <a:off x="1868487" y="3471863"/>
          <a:ext cx="8205788" cy="1300162"/>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16</xdr:col>
      <xdr:colOff>423861</xdr:colOff>
      <xdr:row>11</xdr:row>
      <xdr:rowOff>1</xdr:rowOff>
    </xdr:from>
    <xdr:to>
      <xdr:col>20</xdr:col>
      <xdr:colOff>198437</xdr:colOff>
      <xdr:row>26</xdr:row>
      <xdr:rowOff>63500</xdr:rowOff>
    </xdr:to>
    <xdr:sp macro="" textlink="">
      <xdr:nvSpPr>
        <xdr:cNvPr id="20" name="Rectangle 19">
          <a:extLst>
            <a:ext uri="{FF2B5EF4-FFF2-40B4-BE49-F238E27FC236}">
              <a16:creationId xmlns:a16="http://schemas.microsoft.com/office/drawing/2014/main" id="{880CA165-58BB-4E63-8B54-7B8D30B33BF7}"/>
            </a:ext>
          </a:extLst>
        </xdr:cNvPr>
        <xdr:cNvSpPr/>
      </xdr:nvSpPr>
      <xdr:spPr>
        <a:xfrm>
          <a:off x="10202861" y="2008189"/>
          <a:ext cx="2219326" cy="2801936"/>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l"/>
          <a:endParaRPr lang="en-ID" sz="1100"/>
        </a:p>
      </xdr:txBody>
    </xdr:sp>
    <xdr:clientData/>
  </xdr:twoCellAnchor>
  <xdr:twoCellAnchor>
    <xdr:from>
      <xdr:col>3</xdr:col>
      <xdr:colOff>126999</xdr:colOff>
      <xdr:row>5</xdr:row>
      <xdr:rowOff>174624</xdr:rowOff>
    </xdr:from>
    <xdr:to>
      <xdr:col>5</xdr:col>
      <xdr:colOff>365125</xdr:colOff>
      <xdr:row>9</xdr:row>
      <xdr:rowOff>111125</xdr:rowOff>
    </xdr:to>
    <xdr:sp macro="" textlink="'Pivot Analysis'!$C$66">
      <xdr:nvSpPr>
        <xdr:cNvPr id="22" name="TextBox 21">
          <a:extLst>
            <a:ext uri="{FF2B5EF4-FFF2-40B4-BE49-F238E27FC236}">
              <a16:creationId xmlns:a16="http://schemas.microsoft.com/office/drawing/2014/main" id="{284DDBDC-A012-3C0B-339A-478D049A8B68}"/>
            </a:ext>
          </a:extLst>
        </xdr:cNvPr>
        <xdr:cNvSpPr txBox="1"/>
      </xdr:nvSpPr>
      <xdr:spPr>
        <a:xfrm>
          <a:off x="1960562" y="1087437"/>
          <a:ext cx="1460501" cy="66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3D8097-486C-4D9A-BFBE-3B567F1A0F6E}" type="TxLink">
            <a:rPr lang="en-US" sz="1800" b="1" i="0" u="none" strike="noStrike">
              <a:solidFill>
                <a:srgbClr val="000000"/>
              </a:solidFill>
              <a:latin typeface="Calibri"/>
              <a:ea typeface="Calibri"/>
              <a:cs typeface="Calibri"/>
            </a:rPr>
            <a:pPr algn="ctr"/>
            <a:t>Rp78.436,68</a:t>
          </a:fld>
          <a:endParaRPr lang="en-US" sz="1800" b="1"/>
        </a:p>
      </xdr:txBody>
    </xdr:sp>
    <xdr:clientData/>
  </xdr:twoCellAnchor>
  <xdr:twoCellAnchor>
    <xdr:from>
      <xdr:col>6</xdr:col>
      <xdr:colOff>438150</xdr:colOff>
      <xdr:row>6</xdr:row>
      <xdr:rowOff>9524</xdr:rowOff>
    </xdr:from>
    <xdr:to>
      <xdr:col>8</xdr:col>
      <xdr:colOff>595313</xdr:colOff>
      <xdr:row>9</xdr:row>
      <xdr:rowOff>103187</xdr:rowOff>
    </xdr:to>
    <xdr:sp macro="" textlink="'Pivot Analysis'!$C$79">
      <xdr:nvSpPr>
        <xdr:cNvPr id="23" name="TextBox 22">
          <a:extLst>
            <a:ext uri="{FF2B5EF4-FFF2-40B4-BE49-F238E27FC236}">
              <a16:creationId xmlns:a16="http://schemas.microsoft.com/office/drawing/2014/main" id="{C1F64EA5-35DC-4489-8BDF-2C37516FB6A1}"/>
            </a:ext>
          </a:extLst>
        </xdr:cNvPr>
        <xdr:cNvSpPr txBox="1"/>
      </xdr:nvSpPr>
      <xdr:spPr>
        <a:xfrm>
          <a:off x="4105275" y="1104899"/>
          <a:ext cx="1379538" cy="641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9DD170-61BE-4FCC-AAFD-0DAB24AD1564}" type="TxLink">
            <a:rPr lang="en-US" sz="1800" b="1" i="0" u="none" strike="noStrike">
              <a:solidFill>
                <a:srgbClr val="000000"/>
              </a:solidFill>
              <a:latin typeface="Calibri"/>
              <a:ea typeface="Calibri"/>
              <a:cs typeface="Calibri"/>
            </a:rPr>
            <a:t>Rp53.165,40</a:t>
          </a:fld>
          <a:endParaRPr lang="en-US" sz="2800" b="1"/>
        </a:p>
      </xdr:txBody>
    </xdr:sp>
    <xdr:clientData/>
  </xdr:twoCellAnchor>
  <xdr:twoCellAnchor>
    <xdr:from>
      <xdr:col>10</xdr:col>
      <xdr:colOff>130175</xdr:colOff>
      <xdr:row>6</xdr:row>
      <xdr:rowOff>11112</xdr:rowOff>
    </xdr:from>
    <xdr:to>
      <xdr:col>12</xdr:col>
      <xdr:colOff>301625</xdr:colOff>
      <xdr:row>9</xdr:row>
      <xdr:rowOff>134937</xdr:rowOff>
    </xdr:to>
    <xdr:sp macro="" textlink="'Pivot Analysis'!$C$85">
      <xdr:nvSpPr>
        <xdr:cNvPr id="24" name="TextBox 23">
          <a:extLst>
            <a:ext uri="{FF2B5EF4-FFF2-40B4-BE49-F238E27FC236}">
              <a16:creationId xmlns:a16="http://schemas.microsoft.com/office/drawing/2014/main" id="{2BCFA750-FA69-475D-8DA9-4CD3F301B85C}"/>
            </a:ext>
          </a:extLst>
        </xdr:cNvPr>
        <xdr:cNvSpPr txBox="1"/>
      </xdr:nvSpPr>
      <xdr:spPr>
        <a:xfrm>
          <a:off x="6242050" y="1106487"/>
          <a:ext cx="1393825" cy="67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92E67-7641-4C23-ACF3-5302FED1E090}" type="TxLink">
            <a:rPr lang="en-US" sz="1800" b="1" i="0" u="none" strike="noStrike">
              <a:solidFill>
                <a:srgbClr val="000000"/>
              </a:solidFill>
              <a:latin typeface="Calibri"/>
              <a:ea typeface="Calibri"/>
              <a:cs typeface="Calibri"/>
            </a:rPr>
            <a:t>Rp61.060,28</a:t>
          </a:fld>
          <a:endParaRPr lang="en-US" sz="2800" b="1"/>
        </a:p>
      </xdr:txBody>
    </xdr:sp>
    <xdr:clientData/>
  </xdr:twoCellAnchor>
  <xdr:twoCellAnchor>
    <xdr:from>
      <xdr:col>14</xdr:col>
      <xdr:colOff>60326</xdr:colOff>
      <xdr:row>6</xdr:row>
      <xdr:rowOff>68266</xdr:rowOff>
    </xdr:from>
    <xdr:to>
      <xdr:col>16</xdr:col>
      <xdr:colOff>123826</xdr:colOff>
      <xdr:row>9</xdr:row>
      <xdr:rowOff>179391</xdr:rowOff>
    </xdr:to>
    <xdr:sp macro="" textlink="'Pivot Analysis'!$C$91">
      <xdr:nvSpPr>
        <xdr:cNvPr id="25" name="TextBox 24">
          <a:extLst>
            <a:ext uri="{FF2B5EF4-FFF2-40B4-BE49-F238E27FC236}">
              <a16:creationId xmlns:a16="http://schemas.microsoft.com/office/drawing/2014/main" id="{50175632-A972-4C2C-A1C4-FAB67339E09C}"/>
            </a:ext>
          </a:extLst>
        </xdr:cNvPr>
        <xdr:cNvSpPr txBox="1"/>
      </xdr:nvSpPr>
      <xdr:spPr>
        <a:xfrm>
          <a:off x="8616951" y="1163641"/>
          <a:ext cx="128587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A22AA3-B677-4EAE-B341-8F6406084AC4}" type="TxLink">
            <a:rPr lang="en-US" sz="2400" b="1" i="0" u="none" strike="noStrike">
              <a:solidFill>
                <a:srgbClr val="000000"/>
              </a:solidFill>
              <a:latin typeface="Calibri"/>
              <a:ea typeface="Calibri"/>
              <a:cs typeface="Calibri"/>
            </a:rPr>
            <a:t>30%</a:t>
          </a:fld>
          <a:endParaRPr lang="en-US" sz="3600" b="1"/>
        </a:p>
      </xdr:txBody>
    </xdr:sp>
    <xdr:clientData/>
  </xdr:twoCellAnchor>
  <xdr:twoCellAnchor>
    <xdr:from>
      <xdr:col>17</xdr:col>
      <xdr:colOff>371474</xdr:colOff>
      <xdr:row>6</xdr:row>
      <xdr:rowOff>53978</xdr:rowOff>
    </xdr:from>
    <xdr:to>
      <xdr:col>19</xdr:col>
      <xdr:colOff>434974</xdr:colOff>
      <xdr:row>9</xdr:row>
      <xdr:rowOff>165103</xdr:rowOff>
    </xdr:to>
    <xdr:sp macro="" textlink="'Pivot Analysis'!$C$97">
      <xdr:nvSpPr>
        <xdr:cNvPr id="26" name="TextBox 25">
          <a:extLst>
            <a:ext uri="{FF2B5EF4-FFF2-40B4-BE49-F238E27FC236}">
              <a16:creationId xmlns:a16="http://schemas.microsoft.com/office/drawing/2014/main" id="{A2C5EAEE-F5FA-40DE-AE69-8092B2F96CB5}"/>
            </a:ext>
          </a:extLst>
        </xdr:cNvPr>
        <xdr:cNvSpPr txBox="1"/>
      </xdr:nvSpPr>
      <xdr:spPr>
        <a:xfrm>
          <a:off x="10761662" y="1149353"/>
          <a:ext cx="128587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FABE48-D498-4B5B-B629-58A3966E5781}" type="TxLink">
            <a:rPr lang="en-US" sz="2400" b="1" i="0" u="none" strike="noStrike">
              <a:solidFill>
                <a:srgbClr val="000000"/>
              </a:solidFill>
              <a:latin typeface="Calibri"/>
              <a:ea typeface="Calibri"/>
              <a:cs typeface="Calibri"/>
            </a:rPr>
            <a:t>2,03%</a:t>
          </a:fld>
          <a:endParaRPr lang="en-US" sz="3600" b="1"/>
        </a:p>
      </xdr:txBody>
    </xdr:sp>
    <xdr:clientData/>
  </xdr:twoCellAnchor>
  <xdr:twoCellAnchor>
    <xdr:from>
      <xdr:col>5</xdr:col>
      <xdr:colOff>253999</xdr:colOff>
      <xdr:row>6</xdr:row>
      <xdr:rowOff>87314</xdr:rowOff>
    </xdr:from>
    <xdr:to>
      <xdr:col>5</xdr:col>
      <xdr:colOff>507999</xdr:colOff>
      <xdr:row>8</xdr:row>
      <xdr:rowOff>142876</xdr:rowOff>
    </xdr:to>
    <xdr:sp macro="" textlink="">
      <xdr:nvSpPr>
        <xdr:cNvPr id="27" name="TextBox 26">
          <a:extLst>
            <a:ext uri="{FF2B5EF4-FFF2-40B4-BE49-F238E27FC236}">
              <a16:creationId xmlns:a16="http://schemas.microsoft.com/office/drawing/2014/main" id="{43455B42-6CDC-AAD0-CEBD-E4E87E6FE13B}"/>
            </a:ext>
          </a:extLst>
        </xdr:cNvPr>
        <xdr:cNvSpPr txBox="1"/>
      </xdr:nvSpPr>
      <xdr:spPr>
        <a:xfrm>
          <a:off x="3309937" y="1182689"/>
          <a:ext cx="25400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0"/>
            <a:t>T</a:t>
          </a:r>
        </a:p>
      </xdr:txBody>
    </xdr:sp>
    <xdr:clientData/>
  </xdr:twoCellAnchor>
  <xdr:twoCellAnchor>
    <xdr:from>
      <xdr:col>8</xdr:col>
      <xdr:colOff>533400</xdr:colOff>
      <xdr:row>6</xdr:row>
      <xdr:rowOff>104776</xdr:rowOff>
    </xdr:from>
    <xdr:to>
      <xdr:col>9</xdr:col>
      <xdr:colOff>176212</xdr:colOff>
      <xdr:row>8</xdr:row>
      <xdr:rowOff>160338</xdr:rowOff>
    </xdr:to>
    <xdr:sp macro="" textlink="">
      <xdr:nvSpPr>
        <xdr:cNvPr id="28" name="TextBox 27">
          <a:extLst>
            <a:ext uri="{FF2B5EF4-FFF2-40B4-BE49-F238E27FC236}">
              <a16:creationId xmlns:a16="http://schemas.microsoft.com/office/drawing/2014/main" id="{568E370B-571D-455A-B740-FCA4623E601E}"/>
            </a:ext>
          </a:extLst>
        </xdr:cNvPr>
        <xdr:cNvSpPr txBox="1"/>
      </xdr:nvSpPr>
      <xdr:spPr>
        <a:xfrm>
          <a:off x="5422900" y="1200151"/>
          <a:ext cx="25400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0"/>
            <a:t>T</a:t>
          </a:r>
        </a:p>
      </xdr:txBody>
    </xdr:sp>
    <xdr:clientData/>
  </xdr:twoCellAnchor>
  <xdr:twoCellAnchor>
    <xdr:from>
      <xdr:col>12</xdr:col>
      <xdr:colOff>201613</xdr:colOff>
      <xdr:row>6</xdr:row>
      <xdr:rowOff>106363</xdr:rowOff>
    </xdr:from>
    <xdr:to>
      <xdr:col>12</xdr:col>
      <xdr:colOff>455613</xdr:colOff>
      <xdr:row>8</xdr:row>
      <xdr:rowOff>161925</xdr:rowOff>
    </xdr:to>
    <xdr:sp macro="" textlink="">
      <xdr:nvSpPr>
        <xdr:cNvPr id="29" name="TextBox 28">
          <a:extLst>
            <a:ext uri="{FF2B5EF4-FFF2-40B4-BE49-F238E27FC236}">
              <a16:creationId xmlns:a16="http://schemas.microsoft.com/office/drawing/2014/main" id="{1ABAFE07-923A-4A3F-A135-0F38BBA2E6B0}"/>
            </a:ext>
          </a:extLst>
        </xdr:cNvPr>
        <xdr:cNvSpPr txBox="1"/>
      </xdr:nvSpPr>
      <xdr:spPr>
        <a:xfrm>
          <a:off x="7535863" y="1201738"/>
          <a:ext cx="25400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0"/>
            <a:t>T</a:t>
          </a:r>
        </a:p>
      </xdr:txBody>
    </xdr:sp>
    <xdr:clientData/>
  </xdr:twoCellAnchor>
  <xdr:twoCellAnchor>
    <xdr:from>
      <xdr:col>3</xdr:col>
      <xdr:colOff>104775</xdr:colOff>
      <xdr:row>11</xdr:row>
      <xdr:rowOff>103187</xdr:rowOff>
    </xdr:from>
    <xdr:to>
      <xdr:col>16</xdr:col>
      <xdr:colOff>214313</xdr:colOff>
      <xdr:row>18</xdr:row>
      <xdr:rowOff>1</xdr:rowOff>
    </xdr:to>
    <xdr:graphicFrame macro="">
      <xdr:nvGraphicFramePr>
        <xdr:cNvPr id="30" name="Chart 29">
          <a:extLst>
            <a:ext uri="{FF2B5EF4-FFF2-40B4-BE49-F238E27FC236}">
              <a16:creationId xmlns:a16="http://schemas.microsoft.com/office/drawing/2014/main" id="{A4020B2D-7260-4036-B480-95246F4D4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111124</xdr:colOff>
      <xdr:row>19</xdr:row>
      <xdr:rowOff>47625</xdr:rowOff>
    </xdr:from>
    <xdr:to>
      <xdr:col>16</xdr:col>
      <xdr:colOff>230188</xdr:colOff>
      <xdr:row>25</xdr:row>
      <xdr:rowOff>147638</xdr:rowOff>
    </xdr:to>
    <xdr:graphicFrame macro="">
      <xdr:nvGraphicFramePr>
        <xdr:cNvPr id="31" name="Chart 30">
          <a:extLst>
            <a:ext uri="{FF2B5EF4-FFF2-40B4-BE49-F238E27FC236}">
              <a16:creationId xmlns:a16="http://schemas.microsoft.com/office/drawing/2014/main" id="{9581A490-8D91-467A-A870-9786A4BB8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10</xdr:row>
      <xdr:rowOff>71436</xdr:rowOff>
    </xdr:from>
    <xdr:to>
      <xdr:col>12</xdr:col>
      <xdr:colOff>269876</xdr:colOff>
      <xdr:row>11</xdr:row>
      <xdr:rowOff>166686</xdr:rowOff>
    </xdr:to>
    <xdr:sp macro="" textlink="">
      <xdr:nvSpPr>
        <xdr:cNvPr id="32" name="TextBox 31">
          <a:extLst>
            <a:ext uri="{FF2B5EF4-FFF2-40B4-BE49-F238E27FC236}">
              <a16:creationId xmlns:a16="http://schemas.microsoft.com/office/drawing/2014/main" id="{DE65D382-4304-7338-EC50-C5699FF9AC6E}"/>
            </a:ext>
          </a:extLst>
        </xdr:cNvPr>
        <xdr:cNvSpPr txBox="1"/>
      </xdr:nvSpPr>
      <xdr:spPr>
        <a:xfrm>
          <a:off x="4659313" y="1897061"/>
          <a:ext cx="2944813" cy="27781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ysClr val="windowText" lastClr="000000"/>
              </a:solidFill>
            </a:rPr>
            <a:t>Total</a:t>
          </a:r>
          <a:r>
            <a:rPr lang="en-ID" sz="1100" b="1" baseline="0">
              <a:solidFill>
                <a:sysClr val="windowText" lastClr="000000"/>
              </a:solidFill>
            </a:rPr>
            <a:t> Kredit vs Total DPK dalam Satu Semester</a:t>
          </a:r>
          <a:endParaRPr lang="en-ID" sz="1100" b="1">
            <a:solidFill>
              <a:sysClr val="windowText" lastClr="000000"/>
            </a:solidFill>
          </a:endParaRPr>
        </a:p>
      </xdr:txBody>
    </xdr:sp>
    <xdr:clientData/>
  </xdr:twoCellAnchor>
  <xdr:twoCellAnchor>
    <xdr:from>
      <xdr:col>7</xdr:col>
      <xdr:colOff>366713</xdr:colOff>
      <xdr:row>18</xdr:row>
      <xdr:rowOff>80961</xdr:rowOff>
    </xdr:from>
    <xdr:to>
      <xdr:col>12</xdr:col>
      <xdr:colOff>255589</xdr:colOff>
      <xdr:row>19</xdr:row>
      <xdr:rowOff>176211</xdr:rowOff>
    </xdr:to>
    <xdr:sp macro="" textlink="">
      <xdr:nvSpPr>
        <xdr:cNvPr id="33" name="TextBox 32">
          <a:extLst>
            <a:ext uri="{FF2B5EF4-FFF2-40B4-BE49-F238E27FC236}">
              <a16:creationId xmlns:a16="http://schemas.microsoft.com/office/drawing/2014/main" id="{84C824EF-6AFC-4643-BEDC-03F3967ACF09}"/>
            </a:ext>
          </a:extLst>
        </xdr:cNvPr>
        <xdr:cNvSpPr txBox="1"/>
      </xdr:nvSpPr>
      <xdr:spPr>
        <a:xfrm>
          <a:off x="4645026" y="3367086"/>
          <a:ext cx="2944813" cy="27781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Rata-rata LDR</a:t>
          </a:r>
          <a:r>
            <a:rPr lang="en-ID" sz="1100" b="1" baseline="0"/>
            <a:t> vs NIM dalam Satu Semester (%)</a:t>
          </a:r>
          <a:endParaRPr lang="en-ID" sz="1100" b="1"/>
        </a:p>
      </xdr:txBody>
    </xdr:sp>
    <xdr:clientData/>
  </xdr:twoCellAnchor>
  <xdr:twoCellAnchor>
    <xdr:from>
      <xdr:col>16</xdr:col>
      <xdr:colOff>444500</xdr:colOff>
      <xdr:row>11</xdr:row>
      <xdr:rowOff>87312</xdr:rowOff>
    </xdr:from>
    <xdr:to>
      <xdr:col>20</xdr:col>
      <xdr:colOff>206375</xdr:colOff>
      <xdr:row>25</xdr:row>
      <xdr:rowOff>134936</xdr:rowOff>
    </xdr:to>
    <xdr:graphicFrame macro="">
      <xdr:nvGraphicFramePr>
        <xdr:cNvPr id="34" name="Chart 33">
          <a:extLst>
            <a:ext uri="{FF2B5EF4-FFF2-40B4-BE49-F238E27FC236}">
              <a16:creationId xmlns:a16="http://schemas.microsoft.com/office/drawing/2014/main" id="{C90B08E2-47F2-458D-82B2-EA3911FB1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406403</xdr:colOff>
      <xdr:row>10</xdr:row>
      <xdr:rowOff>80961</xdr:rowOff>
    </xdr:from>
    <xdr:to>
      <xdr:col>20</xdr:col>
      <xdr:colOff>238127</xdr:colOff>
      <xdr:row>11</xdr:row>
      <xdr:rowOff>174625</xdr:rowOff>
    </xdr:to>
    <xdr:sp macro="" textlink="">
      <xdr:nvSpPr>
        <xdr:cNvPr id="35" name="TextBox 34">
          <a:extLst>
            <a:ext uri="{FF2B5EF4-FFF2-40B4-BE49-F238E27FC236}">
              <a16:creationId xmlns:a16="http://schemas.microsoft.com/office/drawing/2014/main" id="{CC2C31C1-A3D1-4E28-BC1D-3289C32B1EE7}"/>
            </a:ext>
          </a:extLst>
        </xdr:cNvPr>
        <xdr:cNvSpPr txBox="1"/>
      </xdr:nvSpPr>
      <xdr:spPr>
        <a:xfrm>
          <a:off x="10185403" y="1906586"/>
          <a:ext cx="2276474" cy="27622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ysClr val="windowText" lastClr="000000"/>
              </a:solidFill>
            </a:rPr>
            <a:t>Rerata</a:t>
          </a:r>
          <a:r>
            <a:rPr lang="en-ID" sz="1100" b="1" baseline="0">
              <a:solidFill>
                <a:sysClr val="windowText" lastClr="000000"/>
              </a:solidFill>
            </a:rPr>
            <a:t> </a:t>
          </a:r>
          <a:r>
            <a:rPr lang="en-ID" sz="1100" b="1">
              <a:solidFill>
                <a:sysClr val="windowText" lastClr="000000"/>
              </a:solidFill>
            </a:rPr>
            <a:t>RPKMM vs Rasio Modal Inti</a:t>
          </a:r>
        </a:p>
      </xdr:txBody>
    </xdr:sp>
    <xdr:clientData/>
  </xdr:twoCellAnchor>
  <xdr:twoCellAnchor editAs="oneCell">
    <xdr:from>
      <xdr:col>0</xdr:col>
      <xdr:colOff>166687</xdr:colOff>
      <xdr:row>0</xdr:row>
      <xdr:rowOff>158751</xdr:rowOff>
    </xdr:from>
    <xdr:to>
      <xdr:col>2</xdr:col>
      <xdr:colOff>341312</xdr:colOff>
      <xdr:row>11</xdr:row>
      <xdr:rowOff>119062</xdr:rowOff>
    </xdr:to>
    <mc:AlternateContent xmlns:mc="http://schemas.openxmlformats.org/markup-compatibility/2006">
      <mc:Choice xmlns:a14="http://schemas.microsoft.com/office/drawing/2010/main" Requires="a14">
        <xdr:graphicFrame macro="">
          <xdr:nvGraphicFramePr>
            <xdr:cNvPr id="36" name="Bulan">
              <a:extLst>
                <a:ext uri="{FF2B5EF4-FFF2-40B4-BE49-F238E27FC236}">
                  <a16:creationId xmlns:a16="http://schemas.microsoft.com/office/drawing/2014/main" id="{42C9B5C9-1CB3-42EB-8686-56161CF9A3F6}"/>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dr:sp macro="" textlink="">
          <xdr:nvSpPr>
            <xdr:cNvPr id="0" name=""/>
            <xdr:cNvSpPr>
              <a:spLocks noTextEdit="1"/>
            </xdr:cNvSpPr>
          </xdr:nvSpPr>
          <xdr:spPr>
            <a:xfrm>
              <a:off x="166687" y="158751"/>
              <a:ext cx="1397000" cy="19684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150813</xdr:colOff>
      <xdr:row>12</xdr:row>
      <xdr:rowOff>134938</xdr:rowOff>
    </xdr:from>
    <xdr:to>
      <xdr:col>2</xdr:col>
      <xdr:colOff>341313</xdr:colOff>
      <xdr:row>20</xdr:row>
      <xdr:rowOff>161926</xdr:rowOff>
    </xdr:to>
    <mc:AlternateContent xmlns:mc="http://schemas.openxmlformats.org/markup-compatibility/2006">
      <mc:Choice xmlns:a14="http://schemas.microsoft.com/office/drawing/2010/main" Requires="a14">
        <xdr:graphicFrame macro="">
          <xdr:nvGraphicFramePr>
            <xdr:cNvPr id="37" name="Kelompok Bank">
              <a:extLst>
                <a:ext uri="{FF2B5EF4-FFF2-40B4-BE49-F238E27FC236}">
                  <a16:creationId xmlns:a16="http://schemas.microsoft.com/office/drawing/2014/main" id="{A5983942-A7BC-4A83-8E6F-EDADC59483FE}"/>
                </a:ext>
              </a:extLst>
            </xdr:cNvPr>
            <xdr:cNvGraphicFramePr/>
          </xdr:nvGraphicFramePr>
          <xdr:xfrm>
            <a:off x="0" y="0"/>
            <a:ext cx="0" cy="0"/>
          </xdr:xfrm>
          <a:graphic>
            <a:graphicData uri="http://schemas.microsoft.com/office/drawing/2010/slicer">
              <sle:slicer xmlns:sle="http://schemas.microsoft.com/office/drawing/2010/slicer" name="Kelompok Bank"/>
            </a:graphicData>
          </a:graphic>
        </xdr:graphicFrame>
      </mc:Choice>
      <mc:Fallback>
        <xdr:sp macro="" textlink="">
          <xdr:nvSpPr>
            <xdr:cNvPr id="0" name=""/>
            <xdr:cNvSpPr>
              <a:spLocks noTextEdit="1"/>
            </xdr:cNvSpPr>
          </xdr:nvSpPr>
          <xdr:spPr>
            <a:xfrm>
              <a:off x="150813" y="2325688"/>
              <a:ext cx="1412875" cy="14874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134938</xdr:colOff>
      <xdr:row>21</xdr:row>
      <xdr:rowOff>127000</xdr:rowOff>
    </xdr:from>
    <xdr:to>
      <xdr:col>2</xdr:col>
      <xdr:colOff>333374</xdr:colOff>
      <xdr:row>26</xdr:row>
      <xdr:rowOff>150813</xdr:rowOff>
    </xdr:to>
    <mc:AlternateContent xmlns:mc="http://schemas.openxmlformats.org/markup-compatibility/2006">
      <mc:Choice xmlns:a14="http://schemas.microsoft.com/office/drawing/2010/main" Requires="a14">
        <xdr:graphicFrame macro="">
          <xdr:nvGraphicFramePr>
            <xdr:cNvPr id="38" name="KBMI">
              <a:extLst>
                <a:ext uri="{FF2B5EF4-FFF2-40B4-BE49-F238E27FC236}">
                  <a16:creationId xmlns:a16="http://schemas.microsoft.com/office/drawing/2014/main" id="{03D866D6-93FD-487C-BF1D-7886AE97E14A}"/>
                </a:ext>
              </a:extLst>
            </xdr:cNvPr>
            <xdr:cNvGraphicFramePr/>
          </xdr:nvGraphicFramePr>
          <xdr:xfrm>
            <a:off x="0" y="0"/>
            <a:ext cx="0" cy="0"/>
          </xdr:xfrm>
          <a:graphic>
            <a:graphicData uri="http://schemas.microsoft.com/office/drawing/2010/slicer">
              <sle:slicer xmlns:sle="http://schemas.microsoft.com/office/drawing/2010/slicer" name="KBMI"/>
            </a:graphicData>
          </a:graphic>
        </xdr:graphicFrame>
      </mc:Choice>
      <mc:Fallback>
        <xdr:sp macro="" textlink="">
          <xdr:nvSpPr>
            <xdr:cNvPr id="0" name=""/>
            <xdr:cNvSpPr>
              <a:spLocks noTextEdit="1"/>
            </xdr:cNvSpPr>
          </xdr:nvSpPr>
          <xdr:spPr>
            <a:xfrm>
              <a:off x="134938" y="3960813"/>
              <a:ext cx="1420811" cy="9366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8078702" backgroundQuery="1" createdVersion="8" refreshedVersion="8" minRefreshableVersion="3" recordCount="0" supportSubquery="1" supportAdvancedDrill="1" xr:uid="{C535B141-D862-4C10-BD8D-4F57F5845B72}">
  <cacheSource type="external" connectionId="5"/>
  <cacheFields count="5">
    <cacheField name="[Append1].[Akun].[Akun]" caption="Akun" numFmtId="0" hierarchy="3" level="1">
      <sharedItems count="6">
        <s v="001.Rasio Pemenuhan Kecukupan Modal Minimum (%)"/>
        <s v="002.Rasio Modal Inti terhadap ATMR (%)"/>
        <s v="005.Net Interest Margin Ratio  (%)" u="1"/>
        <s v="006.Loan to Deposits Ratio (%)" u="1"/>
        <s v="001.Kredit / Pembiayaan Yang Diberikan" u="1"/>
        <s v="009.Dana Pihak Ketiga" u="1"/>
      </sharedItems>
    </cacheField>
    <cacheField name="[Append1].[Komponen].[Komponen]" caption="Komponen" numFmtId="0" hierarchy="5" level="1">
      <sharedItems containsSemiMixedTypes="0" containsNonDate="0" containsString="0"/>
    </cacheField>
    <cacheField name="[Append1].[Bulan (Month)].[Bulan (Month)]" caption="Bulan (Month)" numFmtId="0" hierarchy="6" level="1">
      <sharedItems count="6">
        <s v="Jan"/>
        <s v="Feb"/>
        <s v="Mar"/>
        <s v="Apr"/>
        <s v="May"/>
        <s v="Jun"/>
      </sharedItems>
    </cacheField>
    <cacheField name="[Measures].[Average of Nilai]" caption="Average of Nilai" numFmtId="0" hierarchy="11"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4"/>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2"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2" memberValueDatatype="130" unbalanced="0">
      <fieldsUsage count="2">
        <fieldUsage x="-1"/>
        <fieldUsage x="2"/>
      </fieldsUsage>
    </cacheHierarchy>
    <cacheHierarchy uniqueName="[Append1].[Bulan (Month Index)]" caption="Bulan (Month Index)" attribute="1" defaultMemberUniqueName="[Append1].[Bulan (Month Index)].[All]" allUniqueName="[Append1].[Bulan (Month Index)].[All]" dimensionUniqueName="[Append1]" displayFolder="" count="2"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0787036" backgroundQuery="1" createdVersion="8" refreshedVersion="8" minRefreshableVersion="3" recordCount="0" supportSubquery="1" supportAdvancedDrill="1" xr:uid="{D594212A-6313-432C-851E-5EA2FC99F8A2}">
  <cacheSource type="external" connectionId="5"/>
  <cacheFields count="7">
    <cacheField name="[Append1].[Bulan].[Bulan]" caption="Bulan" numFmtId="0" level="1">
      <sharedItems containsSemiMixedTypes="0" containsNonDate="0" containsDate="1" containsString="0" minDate="2026-01-01T00:00:00" maxDate="2026-01-02T00:00:00" count="1">
        <d v="2026-01-01T00:00:00"/>
      </sharedItems>
    </cacheField>
    <cacheField name="[Append1].[Bulan (Month)].[Bulan (Month)]" caption="Bulan (Month)" numFmtId="0" hierarchy="6" level="1">
      <sharedItems count="6">
        <s v="Jan"/>
        <s v="Feb"/>
        <s v="Mar"/>
        <s v="Apr"/>
        <s v="May"/>
        <s v="Jun"/>
      </sharedItems>
    </cacheField>
    <cacheField name="[Append1].[Komponen].[Komponen]" caption="Komponen" numFmtId="0" hierarchy="5" level="1">
      <sharedItems containsSemiMixedTypes="0" containsNonDate="0" containsString="0"/>
    </cacheField>
    <cacheField name="[Append1].[Kelompok Bank].[Kelompok Bank]" caption="Kelompok Bank" numFmtId="0" hierarchy="1" level="1">
      <sharedItems containsSemiMixedTypes="0" containsNonDate="0" containsString="0"/>
    </cacheField>
    <cacheField name="[Append1].[Akun].[Akun]" caption="Akun" numFmtId="0" hierarchy="3" level="1">
      <sharedItems count="7">
        <s v="001.Rasio Pemenuhan Kecukupan Modal Minimum (%)"/>
        <s v="002.Rasio Modal Inti terhadap ATMR (%)"/>
        <s v="003.Return On Assets Ratio (%)"/>
        <s v="004.Biaya Operasional thdp Pendapatan Operasional (%)"/>
        <s v="005.Net Interest Margin Ratio  (%)"/>
        <s v="006.Loan to Deposits Ratio (%)"/>
        <s v="007.Rasio Aset Likuid (%)"/>
      </sharedItems>
    </cacheField>
    <cacheField name="[Measures].[Sum of Nilai]" caption="Sum of Nilai" numFmtId="0" hierarchy="10"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fieldsUsage count="2">
        <fieldUsage x="-1"/>
        <fieldUsage x="0"/>
      </fieldsUsage>
    </cacheHierarchy>
    <cacheHierarchy uniqueName="[Append1].[Kelompok Bank]" caption="Kelompok Bank" attribute="1" defaultMemberUniqueName="[Append1].[Kelompok Bank].[All]" allUniqueName="[Append1].[Kelompok Bank].[All]" dimensionUniqueName="[Append1]" displayFolder="" count="2" memberValueDatatype="130" unbalanced="0">
      <fieldsUsage count="2">
        <fieldUsage x="-1"/>
        <fieldUsage x="3"/>
      </fieldsUsage>
    </cacheHierarchy>
    <cacheHierarchy uniqueName="[Append1].[KBMI]" caption="KBMI" attribute="1" defaultMemberUniqueName="[Append1].[KBMI].[All]" allUniqueName="[Append1].[KBMI].[All]" dimensionUniqueName="[Append1]" displayFolder="" count="2" memberValueDatatype="130" unbalanced="0">
      <fieldsUsage count="2">
        <fieldUsage x="-1"/>
        <fieldUsage x="6"/>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4"/>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2"/>
      </fieldsUsage>
    </cacheHierarchy>
    <cacheHierarchy uniqueName="[Append1].[Bulan (Month)]" caption="Bulan (Month)" attribute="1" defaultMemberUniqueName="[Append1].[Bulan (Month)].[All]" allUniqueName="[Append1].[Bulan (Month)].[All]" dimensionUniqueName="[Append1]" displayFolder="" count="2" memberValueDatatype="130" unbalanced="0">
      <fieldsUsage count="2">
        <fieldUsage x="-1"/>
        <fieldUsage x="1"/>
      </fieldsUsage>
    </cacheHierarchy>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oneField="1" hidden="1">
      <fieldsUsage count="1">
        <fieldUsage x="5"/>
      </fieldsUsage>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1365744" backgroundQuery="1" createdVersion="8" refreshedVersion="8" minRefreshableVersion="3" recordCount="0" supportSubquery="1" supportAdvancedDrill="1" xr:uid="{734078E4-AA33-4C66-87EE-E4C5EDC825C2}">
  <cacheSource type="external" connectionId="5"/>
  <cacheFields count="4">
    <cacheField name="[Append1].[Akun].[Akun]" caption="Akun" numFmtId="0" hierarchy="3" level="1">
      <sharedItems count="1">
        <s v="003.Return On Assets Ratio (%)"/>
      </sharedItems>
    </cacheField>
    <cacheField name="[Append1].[Komponen].[Komponen]" caption="Komponen" numFmtId="0" hierarchy="5" level="1">
      <sharedItems containsSemiMixedTypes="0" containsNonDate="0" containsString="0"/>
    </cacheField>
    <cacheField name="[Measures].[Average of Nilai]" caption="Average of Nilai" numFmtId="0" hierarchy="11"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2291667" backgroundQuery="1" createdVersion="8" refreshedVersion="8" minRefreshableVersion="3" recordCount="0" supportSubquery="1" supportAdvancedDrill="1" xr:uid="{ECDEBD98-F6BE-4389-BE7F-1F8CDFCE91E5}">
  <cacheSource type="external" connectionId="5"/>
  <cacheFields count="5">
    <cacheField name="[Append1].[Akun].[Akun]" caption="Akun" numFmtId="0" hierarchy="3" level="1">
      <sharedItems count="2">
        <s v="001.Kredit / Pembiayaan Yang Diberikan"/>
        <s v="009.Dana Pihak Ketiga"/>
      </sharedItems>
    </cacheField>
    <cacheField name="[Append1].[Komponen].[Komponen]" caption="Komponen" numFmtId="0" hierarchy="5" level="1">
      <sharedItems containsSemiMixedTypes="0" containsNonDate="0" containsString="0"/>
    </cacheField>
    <cacheField name="[Append1].[Bulan (Month)].[Bulan (Month)]" caption="Bulan (Month)" numFmtId="0" hierarchy="6" level="1">
      <sharedItems count="6">
        <s v="Jan"/>
        <s v="Feb"/>
        <s v="Mar"/>
        <s v="Apr"/>
        <s v="May"/>
        <s v="Jun"/>
      </sharedItems>
    </cacheField>
    <cacheField name="[Measures].[Sum of Nilai]" caption="Sum of Nilai" numFmtId="0" hierarchy="10"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4"/>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2" memberValueDatatype="130" unbalanced="0">
      <fieldsUsage count="2">
        <fieldUsage x="-1"/>
        <fieldUsage x="2"/>
      </fieldsUsage>
    </cacheHierarchy>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oneField="1" hidden="1">
      <fieldsUsage count="1">
        <fieldUsage x="3"/>
      </fieldsUsage>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3217591" backgroundQuery="1" createdVersion="8" refreshedVersion="8" minRefreshableVersion="3" recordCount="0" supportSubquery="1" supportAdvancedDrill="1" xr:uid="{87FE051F-BF78-49C9-934D-53BD94BBA71C}">
  <cacheSource type="external" connectionId="5"/>
  <cacheFields count="5">
    <cacheField name="[Append1].[Akun].[Akun]" caption="Akun" numFmtId="0" hierarchy="3" level="1">
      <sharedItems count="4">
        <s v="005.Net Interest Margin Ratio  (%)"/>
        <s v="006.Loan to Deposits Ratio (%)"/>
        <s v="001.Kredit / Pembiayaan Yang Diberikan" u="1"/>
        <s v="009.Dana Pihak Ketiga" u="1"/>
      </sharedItems>
    </cacheField>
    <cacheField name="[Append1].[Komponen].[Komponen]" caption="Komponen" numFmtId="0" hierarchy="5" level="1">
      <sharedItems containsSemiMixedTypes="0" containsNonDate="0" containsString="0"/>
    </cacheField>
    <cacheField name="[Append1].[Bulan (Month)].[Bulan (Month)]" caption="Bulan (Month)" numFmtId="0" hierarchy="6" level="1">
      <sharedItems count="6">
        <s v="Jan"/>
        <s v="Feb"/>
        <s v="Mar"/>
        <s v="Apr"/>
        <s v="May"/>
        <s v="Jun"/>
      </sharedItems>
    </cacheField>
    <cacheField name="[Measures].[Average of Nilai]" caption="Average of Nilai" numFmtId="0" hierarchy="11"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4"/>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2" memberValueDatatype="130" unbalanced="0">
      <fieldsUsage count="2">
        <fieldUsage x="-1"/>
        <fieldUsage x="2"/>
      </fieldsUsage>
    </cacheHierarchy>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3796299" backgroundQuery="1" createdVersion="8" refreshedVersion="8" minRefreshableVersion="3" recordCount="0" supportSubquery="1" supportAdvancedDrill="1" xr:uid="{D3BB37BB-3A24-4E65-89DE-20E1C29522E1}">
  <cacheSource type="external" connectionId="5"/>
  <cacheFields count="4">
    <cacheField name="[Append1].[Akun].[Akun]" caption="Akun" numFmtId="0" hierarchy="3" level="1">
      <sharedItems count="4">
        <s v="003.Return On Assets Ratio (%)"/>
        <s v="004.Biaya Operasional thdp Pendapatan Operasional (%)"/>
        <s v="005.Net Interest Margin Ratio  (%)"/>
        <s v="006.Loan to Deposits Ratio (%)"/>
      </sharedItems>
    </cacheField>
    <cacheField name="[Append1].[Komponen].[Komponen]" caption="Komponen" numFmtId="0" hierarchy="5" level="1">
      <sharedItems containsSemiMixedTypes="0" containsNonDate="0" containsString="0"/>
    </cacheField>
    <cacheField name="[Measures].[Average of Nilai]" caption="Average of Nilai" numFmtId="0" hierarchy="11"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4490738" backgroundQuery="1" createdVersion="8" refreshedVersion="8" minRefreshableVersion="3" recordCount="0" supportSubquery="1" supportAdvancedDrill="1" xr:uid="{00C01966-5E97-4ED3-B438-041F361B6590}">
  <cacheSource type="external" connectionId="5"/>
  <cacheFields count="6">
    <cacheField name="[Append1].[Akun].[Akun]" caption="Akun" numFmtId="0" hierarchy="3" level="1">
      <sharedItems count="8">
        <s v="001.Kredit / Pembiayaan Yang Diberikan"/>
        <s v="002.Penempatan pada Bank Lain"/>
        <s v="003.Penempatan pada Bank Indonesia"/>
        <s v="004.Surat Berharga"/>
        <s v="005.Penyertaan"/>
        <s v="006.Cadangan Kerugian Penurunan Nilai Aset Keuangan (CKPN)"/>
        <s v="007.Tagihan Spot dan Derivatif"/>
        <s v="008.Tagihan Lainnya"/>
      </sharedItems>
    </cacheField>
    <cacheField name="[Measures].[Sum of Nilai]" caption="Sum of Nilai" numFmtId="0" hierarchy="10" level="32767"/>
    <cacheField name="[Append1].[Bulan (Month)].[Bulan (Month)]" caption="Bulan (Month)" numFmtId="0" hierarchy="6" level="1">
      <sharedItems count="6">
        <s v="Jan"/>
        <s v="Feb"/>
        <s v="Mar"/>
        <s v="Apr"/>
        <s v="May"/>
        <s v="Jun"/>
      </sharedItems>
    </cacheField>
    <cacheField name="[Append1].[Kelompok Bank].[Kelompok Bank]" caption="Kelompok Bank" numFmtId="0" hierarchy="1" level="1">
      <sharedItems count="4">
        <s v="1. Bank Persero"/>
        <s v="2. BPD"/>
        <s v="3. Bank Swasta Nasional"/>
        <s v="4. Kantor Cabang Dari Bank Yang Berkedudukan Di Luar Negeri"/>
      </sharedItems>
    </cacheField>
    <cacheField name="[Append1].[Komponen].[Komponen]" caption="Komponen" numFmtId="0" hierarchy="5" level="1">
      <sharedItems containsSemiMixedTypes="0" containsNonDate="0" containsString="0"/>
    </cacheField>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fieldsUsage count="2">
        <fieldUsage x="-1"/>
        <fieldUsage x="3"/>
      </fieldsUsage>
    </cacheHierarchy>
    <cacheHierarchy uniqueName="[Append1].[KBMI]" caption="KBMI" attribute="1" defaultMemberUniqueName="[Append1].[KBMI].[All]" allUniqueName="[Append1].[KBMI].[All]" dimensionUniqueName="[Append1]" displayFolder="" count="2" memberValueDatatype="130" unbalanced="0">
      <fieldsUsage count="2">
        <fieldUsage x="-1"/>
        <fieldUsage x="5"/>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4"/>
      </fieldsUsage>
    </cacheHierarchy>
    <cacheHierarchy uniqueName="[Append1].[Bulan (Month)]" caption="Bulan (Month)" attribute="1" defaultMemberUniqueName="[Append1].[Bulan (Month)].[All]" allUniqueName="[Append1].[Bulan (Month)].[All]" dimensionUniqueName="[Append1]" displayFolder="" count="2" memberValueDatatype="130" unbalanced="0">
      <fieldsUsage count="2">
        <fieldUsage x="-1"/>
        <fieldUsage x="2"/>
      </fieldsUsage>
    </cacheHierarchy>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5185185" backgroundQuery="1" createdVersion="8" refreshedVersion="8" minRefreshableVersion="3" recordCount="0" supportSubquery="1" supportAdvancedDrill="1" xr:uid="{25313B82-0686-46EA-815A-C658D2C0182D}">
  <cacheSource type="external" connectionId="5"/>
  <cacheFields count="4">
    <cacheField name="[Append1].[Akun].[Akun]" caption="Akun" numFmtId="0" hierarchy="3" level="1">
      <sharedItems count="2">
        <s v="001.Rasio Pemenuhan Kecukupan Modal Minimum (%)"/>
        <s v="004.Biaya Operasional thdp Pendapatan Operasional (%)"/>
      </sharedItems>
    </cacheField>
    <cacheField name="[Append1].[Komponen].[Komponen]" caption="Komponen" numFmtId="0" hierarchy="5" level="1">
      <sharedItems containsSemiMixedTypes="0" containsNonDate="0" containsString="0"/>
    </cacheField>
    <cacheField name="[Measures].[Average of Nilai]" caption="Average of Nilai" numFmtId="0" hierarchy="11"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5648147" backgroundQuery="1" createdVersion="8" refreshedVersion="8" minRefreshableVersion="3" recordCount="0" supportSubquery="1" supportAdvancedDrill="1" xr:uid="{627FBE5F-E242-4C99-9990-B534508D9E00}">
  <cacheSource type="external" connectionId="5"/>
  <cacheFields count="4">
    <cacheField name="[Append1].[Akun].[Akun]" caption="Akun" numFmtId="0" hierarchy="3" level="1">
      <sharedItems count="8">
        <s v="001.Kredit / Pembiayaan Yang Diberikan"/>
        <s v="002.Penempatan pada Bank Lain"/>
        <s v="003.Penempatan pada Bank Indonesia"/>
        <s v="004.Surat Berharga"/>
        <s v="005.Penyertaan"/>
        <s v="006.Cadangan Kerugian Penurunan Nilai Aset Keuangan (CKPN)"/>
        <s v="007.Tagihan Spot dan Derivatif"/>
        <s v="008.Tagihan Lainnya"/>
      </sharedItems>
    </cacheField>
    <cacheField name="[Append1].[Komponen].[Komponen]" caption="Komponen" numFmtId="0" hierarchy="5" level="1">
      <sharedItems containsSemiMixedTypes="0" containsNonDate="0" containsString="0"/>
    </cacheField>
    <cacheField name="[Measures].[Sum of Nilai]" caption="Sum of Nilai" numFmtId="0" hierarchy="10"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6226855" backgroundQuery="1" createdVersion="8" refreshedVersion="8" minRefreshableVersion="3" recordCount="0" supportSubquery="1" supportAdvancedDrill="1" xr:uid="{98AFBA61-6082-4796-B154-570759995FFF}">
  <cacheSource type="external" connectionId="5"/>
  <cacheFields count="4">
    <cacheField name="[Append1].[Akun].[Akun]" caption="Akun" numFmtId="0" hierarchy="3" level="1">
      <sharedItems count="1">
        <s v="001.Kredit / Pembiayaan Yang Diberikan"/>
      </sharedItems>
    </cacheField>
    <cacheField name="[Append1].[Komponen].[Komponen]" caption="Komponen" numFmtId="0" hierarchy="5" level="1">
      <sharedItems containsSemiMixedTypes="0" containsNonDate="0" containsString="0"/>
    </cacheField>
    <cacheField name="[Measures].[Sum of Nilai]" caption="Sum of Nilai" numFmtId="0" hierarchy="10"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6689817" backgroundQuery="1" createdVersion="8" refreshedVersion="8" minRefreshableVersion="3" recordCount="0" supportSubquery="1" supportAdvancedDrill="1" xr:uid="{AB0B5ACE-46E6-4737-91E0-3282BA866597}">
  <cacheSource type="external" connectionId="5"/>
  <cacheFields count="4">
    <cacheField name="[Append1].[Akun].[Akun]" caption="Akun" numFmtId="0" hierarchy="3" level="1">
      <sharedItems count="1">
        <s v="009.Dana Pihak Ketiga"/>
      </sharedItems>
    </cacheField>
    <cacheField name="[Append1].[Komponen].[Komponen]" caption="Komponen" numFmtId="0" hierarchy="5" level="1">
      <sharedItems containsSemiMixedTypes="0" containsNonDate="0" containsString="0"/>
    </cacheField>
    <cacheField name="[Measures].[Sum of Nilai]" caption="Sum of Nilai" numFmtId="0" hierarchy="10"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6487152778" backgroundQuery="1" createdVersion="8" refreshedVersion="8" minRefreshableVersion="3" recordCount="0" supportSubquery="1" supportAdvancedDrill="1" xr:uid="{D072DBB6-5BC0-4990-AC57-B45E5AD4C6EE}">
  <cacheSource type="external" connectionId="5"/>
  <cacheFields count="4">
    <cacheField name="[Append1].[Akun].[Akun]" caption="Akun" numFmtId="0" hierarchy="3" level="1">
      <sharedItems count="1">
        <s v="001.Rasio Pemenuhan Kecukupan Modal Minimum (%)"/>
      </sharedItems>
    </cacheField>
    <cacheField name="[Append1].[Komponen].[Komponen]" caption="Komponen" numFmtId="0" hierarchy="5" level="1">
      <sharedItems containsSemiMixedTypes="0" containsNonDate="0" containsString="0"/>
    </cacheField>
    <cacheField name="[Measures].[Average of Nilai]" caption="Average of Nilai" numFmtId="0" hierarchy="11" level="32767"/>
    <cacheField name="[Append1].[KBMI].[KBMI]" caption="KBMI" numFmtId="0" hierarchy="2" level="1">
      <sharedItems containsSemiMixedTypes="0" containsNonDate="0" containsString="0"/>
    </cacheField>
  </cacheFields>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fieldsUsage count="2">
        <fieldUsage x="-1"/>
        <fieldUsage x="3"/>
      </fieldsUsage>
    </cacheHierarchy>
    <cacheHierarchy uniqueName="[Append1].[Akun]" caption="Akun" attribute="1" defaultMemberUniqueName="[Append1].[Akun].[All]" allUniqueName="[Append1].[Akun].[All]" dimensionUniqueName="[Append1]" displayFolder="" count="2" memberValueDatatype="130" unbalanced="0">
      <fieldsUsage count="2">
        <fieldUsage x="-1"/>
        <fieldUsage x="0"/>
      </fieldsUsage>
    </cacheHierarchy>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2" memberValueDatatype="130" unbalanced="0">
      <fieldsUsage count="2">
        <fieldUsage x="-1"/>
        <fieldUsage x="1"/>
      </fieldsUsage>
    </cacheHierarchy>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0.962070717593" backgroundQuery="1" createdVersion="3" refreshedVersion="8" minRefreshableVersion="3" recordCount="0" supportSubquery="1" supportAdvancedDrill="1" xr:uid="{1BA21B64-7DF2-4E6B-AD42-E4E4499E5DC6}">
  <cacheSource type="external" connectionId="5">
    <extLst>
      <ext xmlns:x14="http://schemas.microsoft.com/office/spreadsheetml/2009/9/main" uri="{F057638F-6D5F-4e77-A914-E7F072B9BCA8}">
        <x14:sourceConnection name="ThisWorkbookDataModel"/>
      </ext>
    </extLst>
  </cacheSource>
  <cacheFields count="0"/>
  <cacheHierarchies count="12">
    <cacheHierarchy uniqueName="[Append1].[Bulan]" caption="Bulan" attribute="1" time="1" defaultMemberUniqueName="[Append1].[Bulan].[All]" allUniqueName="[Append1].[Bulan].[All]" dimensionUniqueName="[Append1]" displayFolder="" count="2" memberValueDatatype="7" unbalanced="0"/>
    <cacheHierarchy uniqueName="[Append1].[Kelompok Bank]" caption="Kelompok Bank" attribute="1" defaultMemberUniqueName="[Append1].[Kelompok Bank].[All]" allUniqueName="[Append1].[Kelompok Bank].[All]" dimensionUniqueName="[Append1]" displayFolder="" count="2" memberValueDatatype="130" unbalanced="0"/>
    <cacheHierarchy uniqueName="[Append1].[KBMI]" caption="KBMI" attribute="1" defaultMemberUniqueName="[Append1].[KBMI].[All]" allUniqueName="[Append1].[KBMI].[All]" dimensionUniqueName="[Append1]" displayFolder="" count="2" memberValueDatatype="130" unbalanced="0"/>
    <cacheHierarchy uniqueName="[Append1].[Akun]" caption="Akun" attribute="1" defaultMemberUniqueName="[Append1].[Akun].[All]" allUniqueName="[Append1].[Akun].[All]" dimensionUniqueName="[Append1]" displayFolder="" count="0" memberValueDatatype="130" unbalanced="0"/>
    <cacheHierarchy uniqueName="[Append1].[Nilai]" caption="Nilai" attribute="1" defaultMemberUniqueName="[Append1].[Nilai].[All]" allUniqueName="[Append1].[Nilai].[All]" dimensionUniqueName="[Append1]" displayFolder="" count="0" memberValueDatatype="5" unbalanced="0"/>
    <cacheHierarchy uniqueName="[Append1].[Komponen]" caption="Komponen" attribute="1" defaultMemberUniqueName="[Append1].[Komponen].[All]" allUniqueName="[Append1].[Komponen].[All]" dimensionUniqueName="[Append1]" displayFolder="" count="0" memberValueDatatype="130" unbalanced="0"/>
    <cacheHierarchy uniqueName="[Append1].[Bulan (Month)]" caption="Bulan (Month)" attribute="1" defaultMemberUniqueName="[Append1].[Bulan (Month)].[All]" allUniqueName="[Append1].[Bulan (Month)].[All]" dimensionUniqueName="[Append1]" displayFolder="" count="0" memberValueDatatype="130" unbalanced="0"/>
    <cacheHierarchy uniqueName="[Append1].[Bulan (Month Index)]" caption="Bulan (Month Index)" attribute="1" defaultMemberUniqueName="[Append1].[Bulan (Month Index)].[All]" allUniqueName="[Append1].[Bulan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Nilai]" caption="Sum of Nilai" measure="1" displayFolder="" measureGroup="Append1" count="0" hidden="1">
      <extLst>
        <ext xmlns:x15="http://schemas.microsoft.com/office/spreadsheetml/2010/11/main" uri="{B97F6D7D-B522-45F9-BDA1-12C45D357490}">
          <x15:cacheHierarchy aggregatedColumn="4"/>
        </ext>
      </extLst>
    </cacheHierarchy>
    <cacheHierarchy uniqueName="[Measures].[Average of Nilai]" caption="Average of Nilai" measure="1" displayFolder="" measureGroup="Append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3759238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B1217-852F-4A03-9AF7-DE28F1E2D624}" name="PivotTable13" cacheId="77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2">
  <location ref="A130:C138" firstHeaderRow="1" firstDataRow="2" firstDataCol="1" rowPageCount="1" colPageCount="1"/>
  <pivotFields count="5">
    <pivotField axis="axisCol" allDrilled="1" subtotalTop="0" showAll="0" dataSourceSort="1" defaultSubtotal="0" defaultAttributeDrillState="1">
      <items count="6">
        <item s="1" x="0"/>
        <item s="1" x="1"/>
        <item x="2"/>
        <item x="3"/>
        <item x="4"/>
        <item x="5"/>
      </items>
    </pivotField>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2"/>
  </rowFields>
  <rowItems count="7">
    <i>
      <x/>
    </i>
    <i>
      <x v="1"/>
    </i>
    <i>
      <x v="2"/>
    </i>
    <i>
      <x v="3"/>
    </i>
    <i>
      <x v="4"/>
    </i>
    <i>
      <x v="5"/>
    </i>
    <i t="grand">
      <x/>
    </i>
  </rowItems>
  <colFields count="1">
    <field x="0"/>
  </colFields>
  <colItems count="2">
    <i>
      <x/>
    </i>
    <i>
      <x v="1"/>
    </i>
  </colItems>
  <pageFields count="1">
    <pageField fld="1" hier="5" name="[Append1].[Komponen].&amp;[Rasio Keuangan]" cap="Rasio Keuangan"/>
  </pageFields>
  <dataFields count="1">
    <dataField name="Average of Nilai" fld="3" subtotal="average" baseField="2" baseItem="0"/>
  </dataFields>
  <chartFormats count="14">
    <chartFormat chart="0" format="0" series="1">
      <pivotArea type="data" outline="0" fieldPosition="0">
        <references count="2">
          <reference field="4294967294" count="1" selected="0">
            <x v="0"/>
          </reference>
          <reference field="0" count="1" selected="0">
            <x v="4"/>
          </reference>
        </references>
      </pivotArea>
    </chartFormat>
    <chartFormat chart="0" format="1" series="1">
      <pivotArea type="data" outline="0" fieldPosition="0">
        <references count="2">
          <reference field="4294967294" count="1" selected="0">
            <x v="0"/>
          </reference>
          <reference field="0" count="1" selected="0">
            <x v="5"/>
          </reference>
        </references>
      </pivotArea>
    </chartFormat>
    <chartFormat chart="5" format="4" series="1">
      <pivotArea type="data" outline="0" fieldPosition="0">
        <references count="2">
          <reference field="4294967294" count="1" selected="0">
            <x v="0"/>
          </reference>
          <reference field="0" count="1" selected="0">
            <x v="4"/>
          </reference>
        </references>
      </pivotArea>
    </chartFormat>
    <chartFormat chart="5" format="5" series="1">
      <pivotArea type="data" outline="0" fieldPosition="0">
        <references count="2">
          <reference field="4294967294" count="1" selected="0">
            <x v="0"/>
          </reference>
          <reference field="0" count="1" selected="0">
            <x v="5"/>
          </reference>
        </references>
      </pivotArea>
    </chartFormat>
    <chartFormat chart="6" format="0" series="1">
      <pivotArea type="data" outline="0" fieldPosition="0">
        <references count="2">
          <reference field="4294967294" count="1" selected="0">
            <x v="0"/>
          </reference>
          <reference field="0" count="1" selected="0">
            <x v="2"/>
          </reference>
        </references>
      </pivotArea>
    </chartFormat>
    <chartFormat chart="6" format="1" series="1">
      <pivotArea type="data" outline="0" fieldPosition="0">
        <references count="2">
          <reference field="4294967294" count="1" selected="0">
            <x v="0"/>
          </reference>
          <reference field="0" count="1" selected="0">
            <x v="3"/>
          </reference>
        </references>
      </pivotArea>
    </chartFormat>
    <chartFormat chart="9" format="0" series="1">
      <pivotArea type="data" outline="0" fieldPosition="0">
        <references count="2">
          <reference field="4294967294" count="1" selected="0">
            <x v="0"/>
          </reference>
          <reference field="0" count="1" selected="0">
            <x v="2"/>
          </reference>
        </references>
      </pivotArea>
    </chartFormat>
    <chartFormat chart="9" format="1"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2"/>
          </reference>
        </references>
      </pivotArea>
    </chartFormat>
    <chartFormat chart="12" format="5" series="1">
      <pivotArea type="data" outline="0" fieldPosition="0">
        <references count="2">
          <reference field="4294967294" count="1" selected="0">
            <x v="0"/>
          </reference>
          <reference field="0" count="1" selected="0">
            <x v="3"/>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20" format="4" series="1">
      <pivotArea type="data" outline="0" fieldPosition="0">
        <references count="2">
          <reference field="4294967294" count="1" selected="0">
            <x v="0"/>
          </reference>
          <reference field="0" count="1" selected="0">
            <x v="0"/>
          </reference>
        </references>
      </pivotArea>
    </chartFormat>
    <chartFormat chart="20" format="5" series="1">
      <pivotArea type="data" outline="0" fieldPosition="0">
        <references count="2">
          <reference field="4294967294" count="1" selected="0">
            <x v="0"/>
          </reference>
          <reference field="0" count="1" selected="0">
            <x v="1"/>
          </reference>
        </references>
      </pivotArea>
    </chartFormat>
  </chartFormat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492A99-667E-4E9F-881E-4B2F27CC73A8}" name="PivotTable12" cacheId="76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5">
  <location ref="A116:C124" firstHeaderRow="1" firstDataRow="2" firstDataCol="1" rowPageCount="1" colPageCount="1"/>
  <pivotFields count="5">
    <pivotField axis="axisCol" allDrilled="1" subtotalTop="0" showAll="0" dataSourceSort="1" defaultSubtotal="0" defaultAttributeDrillState="1">
      <items count="4">
        <item s="1" x="0"/>
        <item s="1" x="1"/>
        <item x="2"/>
        <item s="1" x="3"/>
      </items>
    </pivotField>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2"/>
  </rowFields>
  <rowItems count="7">
    <i>
      <x/>
    </i>
    <i>
      <x v="1"/>
    </i>
    <i>
      <x v="2"/>
    </i>
    <i>
      <x v="3"/>
    </i>
    <i>
      <x v="4"/>
    </i>
    <i>
      <x v="5"/>
    </i>
    <i t="grand">
      <x/>
    </i>
  </rowItems>
  <colFields count="1">
    <field x="0"/>
  </colFields>
  <colItems count="2">
    <i>
      <x/>
    </i>
    <i>
      <x v="1"/>
    </i>
  </colItems>
  <pageFields count="1">
    <pageField fld="1" hier="5" name="[Append1].[Komponen].&amp;[Rasio Keuangan]" cap="Rasio Keuangan"/>
  </pageFields>
  <dataFields count="1">
    <dataField name="Average of Nilai" fld="3" subtotal="average" baseField="2" baseItem="0"/>
  </dataFields>
  <chartFormats count="6">
    <chartFormat chart="0" format="0"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20363-3CFE-4282-8802-410754302462}" name="PivotTable11" cacheId="75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6">
  <location ref="A104:C112" firstHeaderRow="1" firstDataRow="2" firstDataCol="1" rowPageCount="1" colPageCount="1"/>
  <pivotFields count="5">
    <pivotField axis="axisCol" allDrilled="1" subtotalTop="0" showAll="0" dataSourceSort="1" defaultSubtotal="0" defaultAttributeDrillState="1">
      <items count="2">
        <item s="1" x="0"/>
        <item s="1" x="1"/>
      </items>
    </pivotField>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2"/>
  </rowFields>
  <rowItems count="7">
    <i>
      <x/>
    </i>
    <i>
      <x v="1"/>
    </i>
    <i>
      <x v="2"/>
    </i>
    <i>
      <x v="3"/>
    </i>
    <i>
      <x v="4"/>
    </i>
    <i>
      <x v="5"/>
    </i>
    <i t="grand">
      <x/>
    </i>
  </rowItems>
  <colFields count="1">
    <field x="0"/>
  </colFields>
  <colItems count="2">
    <i>
      <x/>
    </i>
    <i>
      <x v="1"/>
    </i>
  </colItems>
  <pageFields count="1">
    <pageField fld="1" hier="5" name="[Append1].[Komponen].&amp;[Laporan Posisi (Neraca)]" cap="Laporan Posisi (Neraca)"/>
  </pageFields>
  <dataFields count="1">
    <dataField name="Sum of Nilai" fld="3" baseField="2" baseItem="0"/>
  </dataFields>
  <chartFormats count="2">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12">
    <pivotHierarchy multipleItemSelectionAllowed="1" dragToData="1"/>
    <pivotHierarchy multipleItemSelectionAllowed="1" dragToData="1"/>
    <pivotHierarchy multipleItemSelectionAllowed="1" dragToData="1"/>
    <pivotHierarchy dragToData="1">
      <members count="3" level="1">
        <member name=""/>
        <member name="[Append1].[Akun].&amp;[003.Return On Assets Ratio (%)]"/>
        <member nam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9ECEE-EDED-4769-AA14-FF405F99B14D}" name="PivotTable10" cacheId="75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96:B98" firstHeaderRow="1" firstDataRow="1" firstDataCol="1" rowPageCount="1" colPageCount="1"/>
  <pivotFields count="4">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pageFields count="1">
    <pageField fld="1" hier="5" name="[Append1].[Komponen].&amp;[Rasio Keuangan]" cap="Rasio Keuangan"/>
  </pageFields>
  <dataFields count="1">
    <dataField name="Average of Nilai" fld="2" subtotal="average"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56588F-A911-4F91-99C3-326E3F057B2C}" name="PivotTable9" cacheId="77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90:B92" firstHeaderRow="1" firstDataRow="1" firstDataCol="1" rowPageCount="1" colPageCount="1"/>
  <pivotFields count="4">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pageFields count="1">
    <pageField fld="1" hier="5" name="[Append1].[Komponen].&amp;[Rasio Keuangan]" cap="Rasio Keuangan"/>
  </pageFields>
  <dataFields count="1">
    <dataField name="Average of Nilai" fld="2" subtotal="average"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FA8C10-8693-4627-9EEB-708C2C66EF21}" name="PivotTable8" cacheId="77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84:B86" firstHeaderRow="1" firstDataRow="1" firstDataCol="1" rowPageCount="1" colPageCount="1"/>
  <pivotFields count="4">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pageFields count="1">
    <pageField fld="1" hier="5" name="[Append1].[Komponen].&amp;[Laporan Posisi (Neraca)]" cap="Laporan Posisi (Neraca)"/>
  </pageFields>
  <dataFields count="1">
    <dataField name="Sum of Nilai" fld="2"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D93CC6-86A9-4AA1-ACFC-88E221596767}" name="PivotTable7" cacheId="77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78:B80" firstHeaderRow="1" firstDataRow="1" firstDataCol="1" rowPageCount="1" colPageCount="1"/>
  <pivotFields count="4">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pageFields count="1">
    <pageField fld="1" hier="5" name="[Append1].[Komponen].&amp;[Laporan Posisi (Neraca)]" cap="Laporan Posisi (Neraca)"/>
  </pageFields>
  <dataFields count="1">
    <dataField name="Sum of Nilai" fld="2"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1DB159-1FDF-4751-B916-279EB02A108E}" name="PivotTable6" cacheId="76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65:B74" firstHeaderRow="1" firstDataRow="1" firstDataCol="1" rowPageCount="1" colPageCount="1"/>
  <pivotFields count="4">
    <pivotField axis="axisRow" allDrilled="1" subtotalTop="0" showAll="0" dataSourceSort="1" defaultSubtotal="0" defaultAttributeDrillState="1">
      <items count="8">
        <item s="1" x="0"/>
        <item s="1" x="1"/>
        <item s="1" x="2"/>
        <item s="1" x="3"/>
        <item s="1" x="4"/>
        <item s="1" x="5"/>
        <item s="1" x="6"/>
        <item s="1" x="7"/>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pageFields count="1">
    <pageField fld="1" hier="5" name="[Append1].[Komponen].&amp;[Laporan Posisi (Neraca)]" cap="Laporan Posisi (Neraca)"/>
  </pageFields>
  <dataFields count="1">
    <dataField name="Sum of Nilai" fld="2"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532142-BEFF-4CD0-9B37-29FE9E068C27}" name="PivotTable5" cacheId="76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57:C59" firstHeaderRow="1" firstDataRow="2" firstDataCol="1" rowPageCount="1" colPageCount="1"/>
  <pivotFields count="4">
    <pivotField axis="axisCol" allDrilled="1" subtotalTop="0" showAll="0" dataSourceSort="1" defaultSubtotal="0" defaultAttributeDrillState="1">
      <items count="2">
        <item s="1" x="0"/>
        <item s="1" x="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0"/>
  </colFields>
  <colItems count="2">
    <i>
      <x/>
    </i>
    <i>
      <x v="1"/>
    </i>
  </colItems>
  <pageFields count="1">
    <pageField fld="1" hier="5" name="[Append1].[Komponen].&amp;[Rasio Keuangan]" cap="Rasio Keuangan"/>
  </pageFields>
  <dataFields count="1">
    <dataField name="Average of Nilai" fld="2" subtotal="average"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Nilai"/>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3AD4E6-D5E3-48FB-9D05-FC9197312E0E}" name="PivotTable3" cacheId="764" applyNumberFormats="0" applyBorderFormats="0" applyFontFormats="0" applyPatternFormats="0" applyAlignmentFormats="0" applyWidthHeightFormats="1" dataCaption="Values" updatedVersion="8" minRefreshableVersion="3" subtotalHiddenItems="1" colGrandTotals="0" itemPrintTitles="1" createdVersion="8" indent="0" outline="1" outlineData="1" multipleFieldFilters="0">
  <location ref="A21:I53" firstHeaderRow="1" firstDataRow="2" firstDataCol="1" rowPageCount="1" colPageCount="1"/>
  <pivotFields count="6">
    <pivotField axis="axisCol"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2">
    <field x="2"/>
    <field x="3"/>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Fields count="1">
    <field x="0"/>
  </colFields>
  <colItems count="8">
    <i>
      <x/>
    </i>
    <i>
      <x v="1"/>
    </i>
    <i>
      <x v="2"/>
    </i>
    <i>
      <x v="3"/>
    </i>
    <i>
      <x v="4"/>
    </i>
    <i>
      <x v="5"/>
    </i>
    <i>
      <x v="6"/>
    </i>
    <i>
      <x v="7"/>
    </i>
  </colItems>
  <pageFields count="1">
    <pageField fld="4" hier="5" name="[Append1].[Komponen].&amp;[Laporan Posisi (Neraca)]" cap="Laporan Posisi (Neraca)"/>
  </pageFields>
  <dataFields count="1">
    <dataField name="Sum of Nilai" fld="1" baseField="0" baseItem="0"/>
  </dataFields>
  <pivotHierarchies count="12">
    <pivotHierarchy multipleItemSelectionAllowed="1" dragToData="1"/>
    <pivotHierarchy multipleItemSelectionAllowed="1" dragToData="1"/>
    <pivotHierarchy multipleItemSelectionAllowed="1" dragToData="1"/>
    <pivotHierarchy dragToData="1">
      <members count="9" level="1">
        <member name=""/>
        <member name=""/>
        <member name=""/>
        <member name="[Append1].[Akun].&amp;[007.Rasio Aset Likuid (%)]"/>
        <member name=""/>
        <member name=""/>
        <member name=""/>
        <member name=""/>
        <member nam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Nilai"/>
    <pivotHierarchy dragToData="1" caption="Average of Nilai"/>
  </pivotHierarchies>
  <pivotTableStyleInfo name="PivotStyleLight16" showRowHeaders="1" showColHeaders="1" showRowStripes="0" showColStripes="0" showLastColumn="1"/>
  <rowHierarchiesUsage count="2">
    <rowHierarchyUsage hierarchyUsage="6"/>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3BB6A9-BD42-4AB9-92D0-15797C480016}" name="PivotTable2" cacheId="76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15:E17" firstHeaderRow="1" firstDataRow="2" firstDataCol="1" rowPageCount="1" colPageCount="1"/>
  <pivotFields count="4">
    <pivotField axis="axisCol" allDrilled="1" subtotalTop="0" showAll="0" dataSourceSort="1" defaultSubtotal="0" defaultAttributeDrillState="1">
      <items count="4">
        <item s="1" x="0"/>
        <item s="1" x="1"/>
        <item s="1" x="2"/>
        <item s="1" x="3"/>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0"/>
  </colFields>
  <colItems count="4">
    <i>
      <x/>
    </i>
    <i>
      <x v="1"/>
    </i>
    <i>
      <x v="2"/>
    </i>
    <i>
      <x v="3"/>
    </i>
  </colItems>
  <pageFields count="1">
    <pageField fld="1" hier="5" name="[Append1].[Komponen].&amp;[Rasio Keuangan]" cap="Rasio Keuangan"/>
  </pageFields>
  <dataFields count="1">
    <dataField name="Average of Nilai" fld="2" subtotal="average"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Nilai"/>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7A3DEE-E374-45EE-BD59-6BAA1E7D590B}" name="PivotTable1" cacheId="75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3:H11" firstHeaderRow="1" firstDataRow="2" firstDataCol="1" rowPageCount="1" colPageCount="1"/>
  <pivotFields count="7">
    <pivotField axis="axisRow" allDrilled="1" subtotalTop="0" showAll="0" dataSourceSort="1" defaultSubtotal="0" defaultAttributeDrillState="1">
      <items count="1">
        <item x="0"/>
      </items>
    </pivotField>
    <pivotField axis="axisRow" allDrilled="1" subtotalTop="0" showAll="0" dataSourceSort="1" defaultSubtotal="0">
      <items count="6">
        <item x="0" e="0"/>
        <item x="1" e="0"/>
        <item x="2" e="0"/>
        <item x="3" e="0"/>
        <item x="4" e="0"/>
        <item x="5" e="0"/>
      </items>
    </pivotField>
    <pivotField axis="axisPage" allDrilled="1" subtotalTop="0" showAll="0" dataSourceSort="1" defaultSubtotal="0" defaultAttributeDrillState="1"/>
    <pivotField axis="axisRow" allDrilled="1" subtotalTop="0" showAll="0" dataSourceSort="1" defaultSubtotal="0" defaultAttributeDrillState="1"/>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3">
    <field x="1"/>
    <field x="0"/>
    <field x="3"/>
  </rowFields>
  <rowItems count="7">
    <i>
      <x/>
    </i>
    <i>
      <x v="1"/>
    </i>
    <i>
      <x v="2"/>
    </i>
    <i>
      <x v="3"/>
    </i>
    <i>
      <x v="4"/>
    </i>
    <i>
      <x v="5"/>
    </i>
    <i t="grand">
      <x/>
    </i>
  </rowItems>
  <colFields count="1">
    <field x="4"/>
  </colFields>
  <colItems count="7">
    <i>
      <x/>
    </i>
    <i>
      <x v="1"/>
    </i>
    <i>
      <x v="2"/>
    </i>
    <i>
      <x v="3"/>
    </i>
    <i>
      <x v="4"/>
    </i>
    <i>
      <x v="5"/>
    </i>
    <i>
      <x v="6"/>
    </i>
  </colItems>
  <pageFields count="1">
    <pageField fld="2" hier="5" name="[Append1].[Komponen].&amp;[Rasio Keuangan]" cap="Rasio Keuangan"/>
  </pageFields>
  <dataFields count="1">
    <dataField name="Sum of Nilai" fld="5" baseField="0" baseItem="0"/>
  </dataFields>
  <pivotHierarchies count="12">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0"/>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9B3BC9AE-6F50-4E4C-8AF8-8B857A6CCF65}" sourceName="[Append1].[Bulan]">
  <pivotTables>
    <pivotTable tabId="11" name="PivotTable13"/>
    <pivotTable tabId="11" name="PivotTable1"/>
    <pivotTable tabId="11" name="PivotTable10"/>
    <pivotTable tabId="11" name="PivotTable11"/>
    <pivotTable tabId="11" name="PivotTable12"/>
    <pivotTable tabId="11" name="PivotTable2"/>
    <pivotTable tabId="11" name="PivotTable3"/>
    <pivotTable tabId="11" name="PivotTable5"/>
    <pivotTable tabId="11" name="PivotTable6"/>
    <pivotTable tabId="11" name="PivotTable7"/>
    <pivotTable tabId="11" name="PivotTable8"/>
    <pivotTable tabId="11" name="PivotTable9"/>
  </pivotTables>
  <data>
    <olap pivotCacheId="375923862">
      <levels count="2">
        <level uniqueName="[Append1].[Bulan].[(All)]" sourceCaption="(All)" count="0"/>
        <level uniqueName="[Append1].[Bulan].[Bulan]" sourceCaption="Bulan" count="6">
          <ranges>
            <range startItem="0">
              <i n="[Append1].[Bulan].&amp;[2026-01-01T00:00:00]" c="01/01/2026"/>
              <i n="[Append1].[Bulan].&amp;[2026-02-01T00:00:00]" c="01/02/2026"/>
              <i n="[Append1].[Bulan].&amp;[2026-03-01T00:00:00]" c="01/03/2026"/>
              <i n="[Append1].[Bulan].&amp;[2026-04-01T00:00:00]" c="01/04/2026"/>
              <i n="[Append1].[Bulan].&amp;[2026-05-01T00:00:00]" c="01/05/2026"/>
              <i n="[Append1].[Bulan].&amp;[2026-06-01T00:00:00]" c="01/06/2026"/>
            </range>
          </ranges>
        </level>
      </levels>
      <selections count="1">
        <selection n="[Append1].[Bula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Bank" xr10:uid="{1E2A08D4-710D-4F23-ADA0-943390982599}" sourceName="[Append1].[Kelompok Bank]">
  <pivotTables>
    <pivotTable tabId="11" name="PivotTable13"/>
    <pivotTable tabId="11" name="PivotTable1"/>
    <pivotTable tabId="11" name="PivotTable10"/>
    <pivotTable tabId="11" name="PivotTable11"/>
    <pivotTable tabId="11" name="PivotTable12"/>
    <pivotTable tabId="11" name="PivotTable2"/>
    <pivotTable tabId="11" name="PivotTable3"/>
    <pivotTable tabId="11" name="PivotTable5"/>
    <pivotTable tabId="11" name="PivotTable6"/>
    <pivotTable tabId="11" name="PivotTable7"/>
    <pivotTable tabId="11" name="PivotTable8"/>
    <pivotTable tabId="11" name="PivotTable9"/>
  </pivotTables>
  <data>
    <olap pivotCacheId="375923862">
      <levels count="2">
        <level uniqueName="[Append1].[Kelompok Bank].[(All)]" sourceCaption="(All)" count="0"/>
        <level uniqueName="[Append1].[Kelompok Bank].[Kelompok Bank]" sourceCaption="Kelompok Bank" count="4">
          <ranges>
            <range startItem="0">
              <i n="[Append1].[Kelompok Bank].&amp;[1. Bank Persero]" c="1. Bank Persero"/>
              <i n="[Append1].[Kelompok Bank].&amp;[2. BPD]" c="2. BPD"/>
              <i n="[Append1].[Kelompok Bank].&amp;[3. Bank Swasta Nasional]" c="3. Bank Swasta Nasional"/>
              <i n="[Append1].[Kelompok Bank].&amp;[4. Kantor Cabang Dari Bank Yang Berkedudukan Di Luar Negeri]" c="4. Kantor Cabang Dari Bank Yang Berkedudukan Di Luar Negeri"/>
            </range>
          </ranges>
        </level>
      </levels>
      <selections count="1">
        <selection n="[Append1].[Kelompok Ban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BMI" xr10:uid="{287BB5E5-681C-4159-BD58-911932AD0FC5}" sourceName="[Append1].[KBMI]">
  <pivotTables>
    <pivotTable tabId="11" name="PivotTable13"/>
    <pivotTable tabId="11" name="PivotTable1"/>
    <pivotTable tabId="11" name="PivotTable10"/>
    <pivotTable tabId="11" name="PivotTable11"/>
    <pivotTable tabId="11" name="PivotTable12"/>
    <pivotTable tabId="11" name="PivotTable2"/>
    <pivotTable tabId="11" name="PivotTable3"/>
    <pivotTable tabId="11" name="PivotTable5"/>
    <pivotTable tabId="11" name="PivotTable6"/>
    <pivotTable tabId="11" name="PivotTable7"/>
    <pivotTable tabId="11" name="PivotTable8"/>
    <pivotTable tabId="11" name="PivotTable9"/>
  </pivotTables>
  <data>
    <olap pivotCacheId="375923862">
      <levels count="2">
        <level uniqueName="[Append1].[KBMI].[(All)]" sourceCaption="(All)" count="0"/>
        <level uniqueName="[Append1].[KBMI].[KBMI]" sourceCaption="KBMI" count="4">
          <ranges>
            <range startItem="0">
              <i n="[Append1].[KBMI].&amp;[KBMI 1]" c="KBMI 1"/>
              <i n="[Append1].[KBMI].&amp;[KBMI 2]" c="KBMI 2"/>
              <i n="[Append1].[KBMI].&amp;[KBMI 3]" c="KBMI 3"/>
              <i n="[Append1].[KBMI].&amp;[KBMI 4]" c="KBMI 4"/>
            </range>
          </ranges>
        </level>
      </levels>
      <selections count="1">
        <selection n="[Append1].[KBM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C5970EAF-9985-4C02-BC6C-5AE1A39177ED}" cache="Slicer_Bulan" caption="Bulan" level="1" rowHeight="241300"/>
  <slicer name="Kelompok Bank" xr10:uid="{217B7229-3091-4412-8F17-FC66FC3190F2}" cache="Slicer_Kelompok_Bank" caption="Kelompok Bank" level="1" rowHeight="241300"/>
  <slicer name="KBMI" xr10:uid="{6719A57D-74E6-478C-A3A7-BA7C10BF4698}" cache="Slicer_KBMI" caption="KBMI"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EB89D8-AF23-47CC-951F-EC7614B7E993}" name="Table4" displayName="Table4" ref="A2:J65" totalsRowShown="0" headerRowDxfId="87" dataDxfId="88">
  <autoFilter ref="A2:J65" xr:uid="{19EB89D8-AF23-47CC-951F-EC7614B7E993}"/>
  <tableColumns count="10">
    <tableColumn id="1" xr3:uid="{BF651D8C-3DE1-4807-8AEE-3606296BD548}" name="Bulan" dataDxfId="98"/>
    <tableColumn id="2" xr3:uid="{E3E8389D-0E10-4D99-AF3C-B6715C90CF3F}" name="Kelompok Bank" dataDxfId="97"/>
    <tableColumn id="3" xr3:uid="{F11FBEF8-41B4-4E5F-99E7-F3CDF8493E76}" name="KBMI" dataDxfId="96"/>
    <tableColumn id="4" xr3:uid="{9F508BD8-8EA7-4416-B713-89F0A4382443}" name="007.Rasio Aset Likuid (%)" dataDxfId="95"/>
    <tableColumn id="5" xr3:uid="{7E24C351-A987-4161-B127-D2D3DA1D1019}" name="006.Loan to Deposits Ratio (%)" dataDxfId="94"/>
    <tableColumn id="6" xr3:uid="{1C1C00E9-4F65-4396-868F-36465BDC1A3D}" name="005.Net Interest Margin Ratio  (%)" dataDxfId="93"/>
    <tableColumn id="7" xr3:uid="{0A812129-0F13-4A58-A272-818C65F59B99}" name="004.Biaya Operasional thdp Pendapatan Operasional (%)" dataDxfId="92"/>
    <tableColumn id="8" xr3:uid="{312F5544-4881-43C7-A0A9-753D2E4E2A39}" name="003.Return On Assets Ratio (%)" dataDxfId="91"/>
    <tableColumn id="9" xr3:uid="{1D6EA33A-7CE7-49B9-B8C4-1809C01447B0}" name="002.Rasio Modal Inti terhadap ATMR (%)" dataDxfId="90"/>
    <tableColumn id="10" xr3:uid="{5170268C-3140-4176-BCA6-77BAF83E814E}" name="001.Rasio Pemenuhan Kecukupan Modal Minimum (%)" dataDxfId="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78901F-F908-4CF3-A171-8214480139C0}" name="Table5" displayName="Table5" ref="A1:AL64" totalsRowShown="0" headerRowDxfId="47" dataDxfId="48">
  <autoFilter ref="A1:AL64" xr:uid="{B078901F-F908-4CF3-A171-8214480139C0}"/>
  <tableColumns count="38">
    <tableColumn id="1" xr3:uid="{AB0EC3CF-91EC-48EF-A3CA-E987BD3383EB}" name="Bulan" dataDxfId="86"/>
    <tableColumn id="2" xr3:uid="{9BAA7006-BD39-4FCA-99B5-8CBF1CA01442}" name="Kelompok Bank" dataDxfId="85"/>
    <tableColumn id="3" xr3:uid="{0528FF42-7EDC-4B23-8758-2306E02B8404}" name="KBMI" dataDxfId="84"/>
    <tableColumn id="4" xr3:uid="{1703D646-F1E6-4E32-93B9-A465DB40AC4C}" name="001.Kredit / Pembiayaan Yang Diberikan" dataDxfId="83"/>
    <tableColumn id="5" xr3:uid="{BFBBD133-1D13-4376-836E-EEF96D14EE1D}" name="002.Penempatan pada Bank Lain" dataDxfId="82"/>
    <tableColumn id="6" xr3:uid="{11609F40-E5AB-4387-9AA8-0E9CE3722A71}" name="003.Penempatan pada Bank Indonesia" dataDxfId="81"/>
    <tableColumn id="7" xr3:uid="{8D06C7B3-9B24-43DE-92FF-1858994EE932}" name="004.Surat Berharga" dataDxfId="80"/>
    <tableColumn id="8" xr3:uid="{02FED189-46D1-4F79-9348-69A6ED438C71}" name="005.Penyertaan" dataDxfId="79"/>
    <tableColumn id="9" xr3:uid="{D4CA1993-882D-4D09-8399-37EF564A9B43}" name="006.Cadangan Kerugian Penurunan Nilai Aset Keuangan (CKPN)" dataDxfId="78"/>
    <tableColumn id="10" xr3:uid="{A8BF4224-0768-4FBC-A2FD-EA06732F2377}" name="006.a.Kredit &amp; Pembiayaan yang diberikan" dataDxfId="77"/>
    <tableColumn id="11" xr3:uid="{95DED858-92A0-458F-BD58-1E8FEB91DD08}" name="006.b.Surat Berharga" dataDxfId="76"/>
    <tableColumn id="12" xr3:uid="{FA1090F8-F4FA-473F-8080-2795E89E4AD8}" name="006.c.Lainnya" dataDxfId="75"/>
    <tableColumn id="13" xr3:uid="{AF1AB7FD-1054-474C-B26F-88D298E99913}" name="007.Tagihan Spot dan Derivatif" dataDxfId="74"/>
    <tableColumn id="14" xr3:uid="{1B55B8EA-A40B-4C28-95BB-F61D0B158085}" name="008.Tagihan Lainnya" dataDxfId="73"/>
    <tableColumn id="15" xr3:uid="{A72E8412-1A77-4764-AC3C-0A2147472423}" name="009.1.Dana Pihak Ketiga-Rupiah" dataDxfId="72"/>
    <tableColumn id="16" xr3:uid="{8A688BBC-E99C-4F65-A203-E407DA632AD0}" name="009.1.a.Dana Pihak Ketiga-Rupiah-Giro" dataDxfId="71"/>
    <tableColumn id="17" xr3:uid="{F8129E3E-CE6A-4879-9FD9-448D0E599AF9}" name="009.1.b.Dana Pihak Ketiga-Rupiah-Tabungan" dataDxfId="70"/>
    <tableColumn id="18" xr3:uid="{5703180D-19A1-4AE0-ABF3-4425EE3E31D8}" name="009.1.c.Dana Pihak Ketiga-Rupiah-Simpanan Berjangka" dataDxfId="69"/>
    <tableColumn id="19" xr3:uid="{E34CD66E-B38C-4E05-BC23-DAA6252954AD}" name="009.2.Dana Pihak Ketiga-Valas" dataDxfId="68"/>
    <tableColumn id="20" xr3:uid="{9F35459D-65B1-4FC4-B282-3D107441B464}" name="009.2.a.Dana Pihak Ketiga-Valas-Giro" dataDxfId="67"/>
    <tableColumn id="21" xr3:uid="{920E2B2F-07B9-4461-90E1-E311DAF259A4}" name="009.2.b.Dana Pihak Ketiga-Valas-Tabungan" dataDxfId="66"/>
    <tableColumn id="22" xr3:uid="{C8F7E706-5567-4951-A104-98A70052E944}" name="009.2.c.Dana Pihak Ketiga-Valas-Simpanan Berjangka" dataDxfId="65"/>
    <tableColumn id="23" xr3:uid="{D1E01C71-7344-4B8A-A1AD-BD7C248AA58B}" name="009.Dana Pihak Ketiga" dataDxfId="64"/>
    <tableColumn id="24" xr3:uid="{9E1DFAC7-4345-4DA7-BD13-CC3CAC11E67A}" name="010.Kewajiban kepada Bank Indonesia" dataDxfId="63"/>
    <tableColumn id="25" xr3:uid="{03DCD42B-7583-4412-9D8A-02EFCC5A04E0}" name="011.Kewajiban kepada Bank lain" dataDxfId="62"/>
    <tableColumn id="26" xr3:uid="{AF6837C4-F4A9-4F74-B170-9D1780CDD111}" name="012.Surat Berharga yang diterbitkan" dataDxfId="61"/>
    <tableColumn id="27" xr3:uid="{E60FEC65-94C1-4451-87B0-2330E321505B}" name="013.Pinjaman yang Diterima" dataDxfId="60"/>
    <tableColumn id="28" xr3:uid="{BF5683A7-8980-4D0D-8658-33B10474DB30}" name="013.a.Rupiah" dataDxfId="59"/>
    <tableColumn id="29" xr3:uid="{59774231-6E3B-446B-8746-B3F69D37CC80}" name="013.b.Valas" dataDxfId="58"/>
    <tableColumn id="30" xr3:uid="{293C3D23-770E-4341-95A4-3C63C4A0C7FE}" name="014.Kewajiban Spot dan Derivatif" dataDxfId="57"/>
    <tableColumn id="31" xr3:uid="{E25508CD-9264-4D27-8249-7CEE0D00082B}" name="015.Kewajiban Lainnya" dataDxfId="56"/>
    <tableColumn id="32" xr3:uid="{6145A860-A0CA-46B5-8EF8-24978EC8BB8F}" name="016.Setoran Jaminan" dataDxfId="55"/>
    <tableColumn id="33" xr3:uid="{4C50955B-A4B6-4C49-B0B8-62015189077D}" name="017.Modal Disetor" dataDxfId="54"/>
    <tableColumn id="34" xr3:uid="{D91CB05C-DEDB-4AA1-90BC-2CB8D83789BE}" name="018.Cadangan" dataDxfId="53"/>
    <tableColumn id="35" xr3:uid="{DCCFF8B4-E355-4323-823E-2305C8CDCA7B}" name="019.L/R Tahun lalu 1" dataDxfId="52"/>
    <tableColumn id="36" xr3:uid="{513D0C83-54A2-4D31-B327-B72885887104}" name="020.L/R Tahun berjalan sesudah pajak 2" dataDxfId="51"/>
    <tableColumn id="37" xr3:uid="{9A67EBD8-6847-4181-8229-EF5B9AB3545C}" name="021.Tambahan modal disetor" dataDxfId="50"/>
    <tableColumn id="38" xr3:uid="{82FBD0BA-0491-4301-A84A-C92F7B05C5C8}" name="022.Modal Pinjaman" dataDxfId="49"/>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6988CC-AF52-4FB1-91D4-E91CDB76B21D}" name="Table6" displayName="Table6" ref="A1:AS64" totalsRowShown="0" headerRowDxfId="0" dataDxfId="1">
  <autoFilter ref="A1:AS64" xr:uid="{9A6988CC-AF52-4FB1-91D4-E91CDB76B21D}"/>
  <tableColumns count="45">
    <tableColumn id="1" xr3:uid="{658A5092-67B9-4A26-B29B-198F1DA739C0}" name="Bulan" dataDxfId="46"/>
    <tableColumn id="2" xr3:uid="{3C539FD3-F2B0-469F-A763-FF107DC27BB4}" name="KBMI" dataDxfId="45"/>
    <tableColumn id="3" xr3:uid="{28245363-9792-457A-B6C9-4AA37EF9D766}" name="Kelompok Bank" dataDxfId="44"/>
    <tableColumn id="4" xr3:uid="{947918B5-3312-4483-9A83-AE597CC8F8E6}" name="001.Pendapatan Bunga/Pendapatan bagi hasil" dataDxfId="43"/>
    <tableColumn id="5" xr3:uid="{8C8A1B50-7FF6-4A07-BB95-A20A7A2BA716}" name="001.a.Dari Bank Indonesia" dataDxfId="42"/>
    <tableColumn id="6" xr3:uid="{1D216754-E780-40FF-AACA-D46DC65A9286}" name="001.b.Dari Penempatan pada Bank lain" dataDxfId="41"/>
    <tableColumn id="7" xr3:uid="{426E1C98-F838-43DA-B0BC-E77039CBEBE1}" name="001.c.Dari Surat Berharga" dataDxfId="40"/>
    <tableColumn id="8" xr3:uid="{F359D2C2-57C9-46E9-8EF6-877F6D71AAA4}" name="001.d.1.Kepada Pihak Ketiga bukan Bank" dataDxfId="39"/>
    <tableColumn id="9" xr3:uid="{E0363778-FED8-4FC7-BF25-A4A870C8D266}" name="001.d.2.Kepada Bank lain" dataDxfId="38"/>
    <tableColumn id="10" xr3:uid="{4C66204D-8CE5-4934-A697-FDB5341F2ADD}" name="001.d.Dari Kredit/Pembiayaan yang diberikan" dataDxfId="37"/>
    <tableColumn id="11" xr3:uid="{1F3A5861-A63A-425A-BE08-CA350E23B1F2}" name="001.e.Lainnya" dataDxfId="36"/>
    <tableColumn id="12" xr3:uid="{AAAC50AF-A4E1-4659-A887-B6BD4D1601C2}" name="002.Beban Bunga" dataDxfId="35"/>
    <tableColumn id="13" xr3:uid="{40DEFB01-FF76-46C7-A4B7-2B4024049ADF}" name="002.a.Kepada Bank Indonesia" dataDxfId="34"/>
    <tableColumn id="14" xr3:uid="{3D4AA148-7A0A-44B0-9C29-2AF5EDFE7967}" name="002.b.Kewajiban kepada Bank lain" dataDxfId="33"/>
    <tableColumn id="15" xr3:uid="{834410D4-56D7-4AAE-BF8B-F711662FF7EA}" name="002.c.1.Giro" dataDxfId="32"/>
    <tableColumn id="16" xr3:uid="{AC0E3C83-7B25-4AD7-AA35-578E86DBA81D}" name="002.c.2.Tabungan" dataDxfId="31"/>
    <tableColumn id="17" xr3:uid="{1AACCA66-8711-4A79-A504-FC1939A11763}" name="002.c.3.Simpanan Berjangka" dataDxfId="30"/>
    <tableColumn id="18" xr3:uid="{ABF1701D-9CEF-49B5-810D-B71A213BE7BE}" name="002.c.Kepada Pihak Ketiga bukan Bank" dataDxfId="29"/>
    <tableColumn id="19" xr3:uid="{948B7D8A-AB27-4439-93AE-5B8481DD4255}" name="002.d.Surat Berharga" dataDxfId="28"/>
    <tableColumn id="20" xr3:uid="{58D0D7C2-F6F3-4420-87E1-3D6D566CF254}" name="002.e.Pinjaman yang diterima" dataDxfId="27"/>
    <tableColumn id="21" xr3:uid="{D511DDB7-96CB-4892-A460-2D2CE5DCFEE2}" name="002.f.Lainnya" dataDxfId="26"/>
    <tableColumn id="22" xr3:uid="{64E7349C-0758-4FCF-B083-4D321120C009}" name="003.Pendapatan Bunga/Bagi hasil bersih" dataDxfId="25"/>
    <tableColumn id="23" xr3:uid="{169BFCD5-8370-4330-83B0-9998D8EC3EB3}" name="004.Pendapatan Operasional Selain Bunga/Bagi Hasil" dataDxfId="24"/>
    <tableColumn id="24" xr3:uid="{770ED2C3-8034-402A-8D55-AD65E439C67F}" name="004.a.Peningkatan Nilai Wajar dan Keuntungan Penjualan Surat Berharga" dataDxfId="23"/>
    <tableColumn id="25" xr3:uid="{CF5B3582-5E01-408D-ADE0-AAFD66E977A8}" name="004.b.Peningkatan Nilai Wajar dan Keuntungan Penjualan Kredit/Pembiayaan yang diberikan" dataDxfId="22"/>
    <tableColumn id="26" xr3:uid="{48F9C01B-F94A-4D86-99D8-3793727C7165}" name="004.c.Peningkatan Nilai Wajar dan Keuntungan Penjualan Aset Keuangan Lainnya" dataDxfId="21"/>
    <tableColumn id="27" xr3:uid="{44EEEF37-CEBF-4EB1-ADC2-594BBADD0355}" name="004.d.Keuntungan Transaksi Spot dan Derivatif" dataDxfId="20"/>
    <tableColumn id="28" xr3:uid="{817C4DCB-6517-4686-AEB1-DB65FB66998C}" name="004.e.Deviden, keuntungan penyertaan equity method, komisi/provisi/fee" dataDxfId="19"/>
    <tableColumn id="29" xr3:uid="{F5FE622C-8E8C-41C1-8CE0-D87366E23C2D}" name="004.f.Lainnya" dataDxfId="18"/>
    <tableColumn id="30" xr3:uid="{607D6549-E0CA-492D-82AC-E156DE2CB9B2}" name="005.Beban Operasional Selain Beban Bunga" dataDxfId="17"/>
    <tableColumn id="31" xr3:uid="{A335FB85-4F1F-4D1D-8304-E1D24189573F}" name="005.a.Penurunan Nilai Wajar dan kerugian penjualan surat berharga" dataDxfId="16"/>
    <tableColumn id="32" xr3:uid="{E9A80B86-0635-4686-95AD-1E2772FBC896}" name="005.b.Penurunan Nilai Wajar dan kerugian penjualan kredit/pembiayaan yang diberikan" dataDxfId="15"/>
    <tableColumn id="33" xr3:uid="{B621B262-3B47-4C75-8F3A-934A8DB26DBF}" name="005.c.Penurunan Nilai Wajar dan kerugian penjualan aset keuangan lainnya" dataDxfId="14"/>
    <tableColumn id="34" xr3:uid="{F74DA244-461C-48E0-B28E-10331AF0CC42}" name="005.d.Kerugian Transaksi Spot dan Derivatif" dataDxfId="13"/>
    <tableColumn id="35" xr3:uid="{9D0B7BD6-9661-4C4B-8FA5-0B3484E05992}" name="005.e.Penyusutan/Amortisasi" dataDxfId="12"/>
    <tableColumn id="36" xr3:uid="{9878F041-E319-4C11-A38E-076B2E40B512}" name="005.f.Kerugian penyertaan equity method komisi/provisi/fee, administrasi" dataDxfId="11"/>
    <tableColumn id="37" xr3:uid="{4ABCDAE7-8417-481D-A761-97F76789C434}" name="005.g.Lainnya" dataDxfId="10"/>
    <tableColumn id="38" xr3:uid="{581409E4-9F4E-450E-B25D-BAA87BA24BBA}" name="006.Laba/Rugi Operasional" dataDxfId="9"/>
    <tableColumn id="39" xr3:uid="{8BD0A474-83AC-48F5-B715-77D548DF7CE1}" name="007.Pendapatan Non-Operasional" dataDxfId="8"/>
    <tableColumn id="40" xr3:uid="{7FBD5EF6-6D45-4818-B1F8-1BA9AA53A466}" name="008.Beban Non-Operasional" dataDxfId="7"/>
    <tableColumn id="41" xr3:uid="{A40FE6C2-3C7A-4FAB-B074-7D3FB0941F85}" name="009.Laba/Rugi Non-Operasional" dataDxfId="6"/>
    <tableColumn id="42" xr3:uid="{6459D679-9706-481E-AA1E-836AAF8C3E26}" name="010.Laba/Rugi tahun berjalan sebelum pajak" dataDxfId="5"/>
    <tableColumn id="43" xr3:uid="{6610FC48-04C2-4634-9F31-4B76696EE8F0}" name="011.Penerimaan Transfer Laba/Rugi" dataDxfId="4"/>
    <tableColumn id="44" xr3:uid="{3F7ACE31-8B1F-4186-B241-23E7F4197842}" name="012.Transfer Laba/Rugi ke Kantor Pusat" dataDxfId="3"/>
    <tableColumn id="45" xr3:uid="{D3CB6785-96F2-4789-B6E1-ECC33C955799}" name="013.Jumlah Laba/Rugi bersih (setelah taksiran pajak penghasilan)" dataDxfId="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27F9-3DD4-4014-A11A-EE742480A4F0}">
  <dimension ref="A1:B2"/>
  <sheetViews>
    <sheetView workbookViewId="0"/>
  </sheetViews>
  <sheetFormatPr defaultRowHeight="14.5" x14ac:dyDescent="0.35"/>
  <cols>
    <col min="1" max="1" width="40" customWidth="1"/>
    <col min="2" max="2" width="80" customWidth="1"/>
  </cols>
  <sheetData>
    <row r="1" spans="1:2" x14ac:dyDescent="0.35">
      <c r="A1" s="1"/>
    </row>
    <row r="2" spans="1:2" x14ac:dyDescent="0.35">
      <c r="A2" t="s">
        <v>0</v>
      </c>
      <c r="B2" t="s">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4.5" x14ac:dyDescent="0.35"/>
  <cols>
    <col min="1" max="1" width="40" customWidth="1"/>
    <col min="2" max="2" width="80" customWidth="1"/>
  </cols>
  <sheetData>
    <row r="1" spans="1:2" x14ac:dyDescent="0.35">
      <c r="A1" s="1"/>
    </row>
    <row r="2" spans="1:2" x14ac:dyDescent="0.35">
      <c r="A2" t="s">
        <v>0</v>
      </c>
      <c r="B2" t="s">
        <v>1</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EC33-3418-4551-B160-F3CB6979BEBE}">
  <dimension ref="A1:B2"/>
  <sheetViews>
    <sheetView topLeftCell="G1" workbookViewId="0">
      <selection activeCell="A15" sqref="A15"/>
    </sheetView>
  </sheetViews>
  <sheetFormatPr defaultRowHeight="14.5" x14ac:dyDescent="0.35"/>
  <cols>
    <col min="1" max="1" width="40" customWidth="1"/>
    <col min="2" max="2" width="80" customWidth="1"/>
  </cols>
  <sheetData>
    <row r="1" spans="1:2" x14ac:dyDescent="0.35">
      <c r="A1" s="1"/>
    </row>
    <row r="2" spans="1:2" x14ac:dyDescent="0.35">
      <c r="A2" t="s">
        <v>0</v>
      </c>
      <c r="B2" t="s">
        <v>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70"/>
  <sheetViews>
    <sheetView workbookViewId="0">
      <pane xSplit="3" ySplit="7" topLeftCell="D8" activePane="bottomRight" state="frozen"/>
      <selection pane="topRight"/>
      <selection pane="bottomLeft"/>
      <selection pane="bottomRight" activeCell="F7" sqref="F7:J70"/>
    </sheetView>
  </sheetViews>
  <sheetFormatPr defaultRowHeight="14.5" x14ac:dyDescent="0.35"/>
  <cols>
    <col min="1" max="1" width="32" customWidth="1"/>
    <col min="2" max="2" width="59" customWidth="1"/>
    <col min="3" max="3" width="21" customWidth="1"/>
    <col min="4" max="4" width="25" customWidth="1"/>
    <col min="5" max="5" width="30" customWidth="1"/>
    <col min="6" max="6" width="34" customWidth="1"/>
    <col min="7" max="7" width="53" customWidth="1"/>
    <col min="8" max="8" width="30" customWidth="1"/>
    <col min="9" max="9" width="38" customWidth="1"/>
    <col min="10" max="10" width="47" customWidth="1"/>
    <col min="11" max="12" width="21" customWidth="1"/>
  </cols>
  <sheetData>
    <row r="1" spans="1:12" ht="23.5" customHeight="1" x14ac:dyDescent="0.35">
      <c r="A1" s="5"/>
      <c r="B1" s="5"/>
      <c r="C1" s="5"/>
      <c r="D1" s="6" t="s">
        <v>2</v>
      </c>
      <c r="E1" s="6"/>
      <c r="F1" s="6"/>
      <c r="G1" s="6"/>
      <c r="H1" s="6"/>
      <c r="I1" s="6"/>
      <c r="J1" s="6"/>
      <c r="K1" s="6"/>
      <c r="L1" s="6"/>
    </row>
    <row r="2" spans="1:12" ht="23.5" customHeight="1" x14ac:dyDescent="0.35">
      <c r="A2" s="5"/>
      <c r="B2" s="5"/>
      <c r="C2" s="5"/>
      <c r="D2" s="6" t="s">
        <v>3</v>
      </c>
      <c r="E2" s="6"/>
      <c r="F2" s="6"/>
      <c r="G2" s="6"/>
      <c r="H2" s="6"/>
      <c r="I2" s="6"/>
      <c r="J2" s="6"/>
      <c r="K2" s="6"/>
      <c r="L2" s="6"/>
    </row>
    <row r="3" spans="1:12" ht="23.5" customHeight="1" x14ac:dyDescent="0.35">
      <c r="A3" s="5"/>
      <c r="B3" s="5"/>
      <c r="C3" s="5"/>
      <c r="D3" s="6" t="s">
        <v>4</v>
      </c>
      <c r="E3" s="6"/>
      <c r="F3" s="6"/>
      <c r="G3" s="6"/>
      <c r="H3" s="6"/>
      <c r="I3" s="6"/>
      <c r="J3" s="6"/>
      <c r="K3" s="6"/>
      <c r="L3" s="6"/>
    </row>
    <row r="5" spans="1:12" x14ac:dyDescent="0.35">
      <c r="A5" t="s">
        <v>5</v>
      </c>
    </row>
    <row r="6" spans="1:12" x14ac:dyDescent="0.35">
      <c r="D6" t="s">
        <v>6</v>
      </c>
    </row>
    <row r="7" spans="1:12" ht="29" x14ac:dyDescent="0.35">
      <c r="A7" s="2" t="s">
        <v>7</v>
      </c>
      <c r="B7" t="s">
        <v>8</v>
      </c>
      <c r="C7" t="s">
        <v>9</v>
      </c>
      <c r="D7" s="2" t="s">
        <v>10</v>
      </c>
      <c r="E7" s="2" t="s">
        <v>11</v>
      </c>
      <c r="F7" s="2" t="s">
        <v>12</v>
      </c>
      <c r="G7" s="2" t="s">
        <v>13</v>
      </c>
      <c r="H7" s="2" t="s">
        <v>14</v>
      </c>
      <c r="I7" s="2" t="s">
        <v>15</v>
      </c>
      <c r="J7" s="2" t="s">
        <v>16</v>
      </c>
    </row>
    <row r="8" spans="1:12" x14ac:dyDescent="0.35">
      <c r="A8" s="7" t="s">
        <v>17</v>
      </c>
      <c r="B8" s="7" t="s">
        <v>18</v>
      </c>
      <c r="C8" s="3" t="s">
        <v>19</v>
      </c>
      <c r="D8" s="4">
        <v>16.420000000000002</v>
      </c>
      <c r="E8" s="4">
        <v>90.42</v>
      </c>
      <c r="F8" s="4">
        <v>4.33</v>
      </c>
      <c r="G8" s="4">
        <v>79.34</v>
      </c>
      <c r="H8" s="4">
        <v>1.58</v>
      </c>
      <c r="I8" s="4">
        <v>18.899999999999999</v>
      </c>
      <c r="J8" s="4">
        <v>20.49</v>
      </c>
    </row>
    <row r="9" spans="1:12" x14ac:dyDescent="0.35">
      <c r="A9" s="7"/>
      <c r="B9" s="7"/>
      <c r="C9" s="3" t="s">
        <v>20</v>
      </c>
      <c r="D9" s="4">
        <v>8.5399999999999991</v>
      </c>
      <c r="E9" s="4">
        <v>89.67</v>
      </c>
      <c r="F9" s="4">
        <v>4.78</v>
      </c>
      <c r="G9" s="4">
        <v>72.27</v>
      </c>
      <c r="H9" s="4">
        <v>2.7</v>
      </c>
      <c r="I9" s="4">
        <v>19.14</v>
      </c>
      <c r="J9" s="4">
        <v>20.3</v>
      </c>
    </row>
    <row r="10" spans="1:12" x14ac:dyDescent="0.35">
      <c r="A10" s="7"/>
      <c r="B10" s="7" t="s">
        <v>21</v>
      </c>
      <c r="C10" s="3" t="s">
        <v>22</v>
      </c>
      <c r="D10" s="4">
        <v>15.57</v>
      </c>
      <c r="E10" s="4">
        <v>84.51</v>
      </c>
      <c r="F10" s="4">
        <v>5.64</v>
      </c>
      <c r="G10" s="4">
        <v>73.97</v>
      </c>
      <c r="H10" s="4">
        <v>2.36</v>
      </c>
      <c r="I10" s="4">
        <v>27.05</v>
      </c>
      <c r="J10" s="4">
        <v>28.07</v>
      </c>
    </row>
    <row r="11" spans="1:12" x14ac:dyDescent="0.35">
      <c r="A11" s="7"/>
      <c r="B11" s="7"/>
      <c r="C11" s="3" t="s">
        <v>23</v>
      </c>
      <c r="D11" s="4">
        <v>16.579999999999998</v>
      </c>
      <c r="E11" s="4">
        <v>79.790000000000006</v>
      </c>
      <c r="F11" s="4">
        <v>5.15</v>
      </c>
      <c r="G11" s="4">
        <v>81</v>
      </c>
      <c r="H11" s="4">
        <v>1.61</v>
      </c>
      <c r="I11" s="4">
        <v>27.25</v>
      </c>
      <c r="J11" s="4">
        <v>28.36</v>
      </c>
    </row>
    <row r="12" spans="1:12" x14ac:dyDescent="0.35">
      <c r="A12" s="7"/>
      <c r="B12" s="7"/>
      <c r="C12" s="3" t="s">
        <v>19</v>
      </c>
      <c r="D12" s="4">
        <v>19.7</v>
      </c>
      <c r="E12" s="4">
        <v>82.02</v>
      </c>
      <c r="F12" s="4">
        <v>4.03</v>
      </c>
      <c r="G12" s="4">
        <v>88.27</v>
      </c>
      <c r="H12" s="4">
        <v>1.01</v>
      </c>
      <c r="I12" s="4">
        <v>17.559999999999999</v>
      </c>
      <c r="J12" s="4">
        <v>21.22</v>
      </c>
    </row>
    <row r="13" spans="1:12" x14ac:dyDescent="0.35">
      <c r="A13" s="7"/>
      <c r="B13" s="7" t="s">
        <v>24</v>
      </c>
      <c r="C13" s="3" t="s">
        <v>22</v>
      </c>
      <c r="D13" s="4">
        <v>17.75</v>
      </c>
      <c r="E13" s="4">
        <v>75.75</v>
      </c>
      <c r="F13" s="4">
        <v>4.03</v>
      </c>
      <c r="G13" s="4">
        <v>88.49</v>
      </c>
      <c r="H13" s="4">
        <v>0.98</v>
      </c>
      <c r="I13" s="4">
        <v>30.36</v>
      </c>
      <c r="J13" s="4">
        <v>32.130000000000003</v>
      </c>
    </row>
    <row r="14" spans="1:12" x14ac:dyDescent="0.35">
      <c r="A14" s="7"/>
      <c r="B14" s="7"/>
      <c r="C14" s="3" t="s">
        <v>23</v>
      </c>
      <c r="D14" s="4">
        <v>17.649999999999999</v>
      </c>
      <c r="E14" s="4">
        <v>85.93</v>
      </c>
      <c r="F14" s="4">
        <v>5.67</v>
      </c>
      <c r="G14" s="4">
        <v>85.85</v>
      </c>
      <c r="H14" s="4">
        <v>1.52</v>
      </c>
      <c r="I14" s="4">
        <v>33.47</v>
      </c>
      <c r="J14" s="4">
        <v>34.72</v>
      </c>
    </row>
    <row r="15" spans="1:12" x14ac:dyDescent="0.35">
      <c r="A15" s="7"/>
      <c r="B15" s="7"/>
      <c r="C15" s="3" t="s">
        <v>19</v>
      </c>
      <c r="D15" s="4">
        <v>20.73</v>
      </c>
      <c r="E15" s="4">
        <v>83.51</v>
      </c>
      <c r="F15" s="4">
        <v>3.7</v>
      </c>
      <c r="G15" s="4">
        <v>80.150000000000006</v>
      </c>
      <c r="H15" s="4">
        <v>1.84</v>
      </c>
      <c r="I15" s="4">
        <v>24.7</v>
      </c>
      <c r="J15" s="4">
        <v>26.01</v>
      </c>
    </row>
    <row r="16" spans="1:12" x14ac:dyDescent="0.35">
      <c r="A16" s="7"/>
      <c r="B16" s="7"/>
      <c r="C16" s="3" t="s">
        <v>20</v>
      </c>
      <c r="D16" s="4">
        <v>14.57</v>
      </c>
      <c r="E16" s="4">
        <v>75.33</v>
      </c>
      <c r="F16" s="4">
        <v>5.54</v>
      </c>
      <c r="G16" s="4">
        <v>43.25</v>
      </c>
      <c r="H16" s="4">
        <v>4.72</v>
      </c>
      <c r="I16" s="4">
        <v>28.81</v>
      </c>
      <c r="J16" s="4">
        <v>29.93</v>
      </c>
    </row>
    <row r="17" spans="1:10" x14ac:dyDescent="0.35">
      <c r="A17" s="7"/>
      <c r="B17" s="7" t="s">
        <v>25</v>
      </c>
      <c r="C17" s="3" t="s">
        <v>22</v>
      </c>
      <c r="D17" s="4">
        <v>42.03</v>
      </c>
      <c r="E17" s="4">
        <v>49.09</v>
      </c>
      <c r="F17" s="4">
        <v>2.59</v>
      </c>
      <c r="G17" s="4">
        <v>88.39</v>
      </c>
      <c r="H17" s="4">
        <v>3.38</v>
      </c>
      <c r="I17" s="4">
        <v>46.22</v>
      </c>
      <c r="J17" s="4">
        <v>47.02</v>
      </c>
    </row>
    <row r="18" spans="1:10" x14ac:dyDescent="0.35">
      <c r="A18" s="7"/>
      <c r="B18" s="7"/>
      <c r="C18" s="3" t="s">
        <v>23</v>
      </c>
      <c r="D18" s="4">
        <v>28.25</v>
      </c>
      <c r="E18" s="4">
        <v>75.11</v>
      </c>
      <c r="F18" s="4">
        <v>3.58</v>
      </c>
      <c r="G18" s="4">
        <v>67.48</v>
      </c>
      <c r="H18" s="4">
        <v>2.84</v>
      </c>
      <c r="I18" s="4">
        <v>51.76</v>
      </c>
      <c r="J18" s="4">
        <v>52.59</v>
      </c>
    </row>
    <row r="19" spans="1:10" x14ac:dyDescent="0.35">
      <c r="A19" s="7" t="s">
        <v>26</v>
      </c>
      <c r="B19" s="7" t="s">
        <v>18</v>
      </c>
      <c r="C19" s="3" t="s">
        <v>19</v>
      </c>
      <c r="D19" s="4">
        <v>11.84</v>
      </c>
      <c r="E19" s="4">
        <v>89.35</v>
      </c>
      <c r="F19" s="4">
        <v>4.29</v>
      </c>
      <c r="G19" s="4">
        <v>78.569999999999993</v>
      </c>
      <c r="H19" s="4">
        <v>1.59</v>
      </c>
      <c r="I19" s="4">
        <v>19.2</v>
      </c>
      <c r="J19" s="4">
        <v>20.77</v>
      </c>
    </row>
    <row r="20" spans="1:10" x14ac:dyDescent="0.35">
      <c r="A20" s="7"/>
      <c r="B20" s="7"/>
      <c r="C20" s="3" t="s">
        <v>20</v>
      </c>
      <c r="D20" s="4">
        <v>10.01</v>
      </c>
      <c r="E20" s="4">
        <v>87.9</v>
      </c>
      <c r="F20" s="4">
        <v>4.5599999999999996</v>
      </c>
      <c r="G20" s="4">
        <v>71.27</v>
      </c>
      <c r="H20" s="4">
        <v>2.67</v>
      </c>
      <c r="I20" s="4">
        <v>19.149999999999999</v>
      </c>
      <c r="J20" s="4">
        <v>20.3</v>
      </c>
    </row>
    <row r="21" spans="1:10" x14ac:dyDescent="0.35">
      <c r="A21" s="7"/>
      <c r="B21" s="7" t="s">
        <v>21</v>
      </c>
      <c r="C21" s="3" t="s">
        <v>22</v>
      </c>
      <c r="D21" s="4">
        <v>15.34</v>
      </c>
      <c r="E21" s="4">
        <v>84.55</v>
      </c>
      <c r="F21" s="4">
        <v>5.64</v>
      </c>
      <c r="G21" s="4">
        <v>76</v>
      </c>
      <c r="H21" s="4">
        <v>2.0699999999999998</v>
      </c>
      <c r="I21" s="4">
        <v>26.6</v>
      </c>
      <c r="J21" s="4">
        <v>27.68</v>
      </c>
    </row>
    <row r="22" spans="1:10" x14ac:dyDescent="0.35">
      <c r="A22" s="7"/>
      <c r="B22" s="7"/>
      <c r="C22" s="3" t="s">
        <v>23</v>
      </c>
      <c r="D22" s="4">
        <v>16.809999999999999</v>
      </c>
      <c r="E22" s="4">
        <v>81.38</v>
      </c>
      <c r="F22" s="4">
        <v>4.99</v>
      </c>
      <c r="G22" s="4">
        <v>81.45</v>
      </c>
      <c r="H22" s="4">
        <v>1.54</v>
      </c>
      <c r="I22" s="4">
        <v>27.18</v>
      </c>
      <c r="J22" s="4">
        <v>28.25</v>
      </c>
    </row>
    <row r="23" spans="1:10" x14ac:dyDescent="0.35">
      <c r="A23" s="7"/>
      <c r="B23" s="7"/>
      <c r="C23" s="3" t="s">
        <v>19</v>
      </c>
      <c r="D23" s="4">
        <v>15.61</v>
      </c>
      <c r="E23" s="4">
        <v>86.42</v>
      </c>
      <c r="F23" s="4">
        <v>4.04</v>
      </c>
      <c r="G23" s="4">
        <v>87.62</v>
      </c>
      <c r="H23" s="4">
        <v>1.05</v>
      </c>
      <c r="I23" s="4">
        <v>17.62</v>
      </c>
      <c r="J23" s="4">
        <v>21.22</v>
      </c>
    </row>
    <row r="24" spans="1:10" x14ac:dyDescent="0.35">
      <c r="A24" s="7"/>
      <c r="B24" s="7" t="s">
        <v>24</v>
      </c>
      <c r="C24" s="3" t="s">
        <v>22</v>
      </c>
      <c r="D24" s="4">
        <v>15.38</v>
      </c>
      <c r="E24" s="4">
        <v>76.83</v>
      </c>
      <c r="F24" s="4">
        <v>3.91</v>
      </c>
      <c r="G24" s="4">
        <v>84.63</v>
      </c>
      <c r="H24" s="4">
        <v>1</v>
      </c>
      <c r="I24" s="4">
        <v>30.29</v>
      </c>
      <c r="J24" s="4">
        <v>32.06</v>
      </c>
    </row>
    <row r="25" spans="1:10" x14ac:dyDescent="0.35">
      <c r="A25" s="7"/>
      <c r="B25" s="7"/>
      <c r="C25" s="3" t="s">
        <v>23</v>
      </c>
      <c r="D25" s="4">
        <v>16.07</v>
      </c>
      <c r="E25" s="4">
        <v>86.68</v>
      </c>
      <c r="F25" s="4">
        <v>5.54</v>
      </c>
      <c r="G25" s="4">
        <v>85.32</v>
      </c>
      <c r="H25" s="4">
        <v>1.51</v>
      </c>
      <c r="I25" s="4">
        <v>33.24</v>
      </c>
      <c r="J25" s="4">
        <v>34.5</v>
      </c>
    </row>
    <row r="26" spans="1:10" x14ac:dyDescent="0.35">
      <c r="A26" s="7"/>
      <c r="B26" s="7"/>
      <c r="C26" s="3" t="s">
        <v>19</v>
      </c>
      <c r="D26" s="4">
        <v>19.53</v>
      </c>
      <c r="E26" s="4">
        <v>85.42</v>
      </c>
      <c r="F26" s="4">
        <v>3.54</v>
      </c>
      <c r="G26" s="4">
        <v>80.489999999999995</v>
      </c>
      <c r="H26" s="4">
        <v>1.64</v>
      </c>
      <c r="I26" s="4">
        <v>24.65</v>
      </c>
      <c r="J26" s="4">
        <v>25.98</v>
      </c>
    </row>
    <row r="27" spans="1:10" x14ac:dyDescent="0.35">
      <c r="A27" s="7"/>
      <c r="B27" s="7"/>
      <c r="C27" s="3" t="s">
        <v>20</v>
      </c>
      <c r="D27" s="4">
        <v>14.75</v>
      </c>
      <c r="E27" s="4">
        <v>75.53</v>
      </c>
      <c r="F27" s="4">
        <v>5.37</v>
      </c>
      <c r="G27" s="4">
        <v>44.75</v>
      </c>
      <c r="H27" s="4">
        <v>4.3600000000000003</v>
      </c>
      <c r="I27" s="4">
        <v>28.78</v>
      </c>
      <c r="J27" s="4">
        <v>29.89</v>
      </c>
    </row>
    <row r="28" spans="1:10" x14ac:dyDescent="0.35">
      <c r="A28" s="7"/>
      <c r="B28" s="7" t="s">
        <v>25</v>
      </c>
      <c r="C28" s="3" t="s">
        <v>22</v>
      </c>
      <c r="D28" s="4">
        <v>32.1</v>
      </c>
      <c r="E28" s="4">
        <v>53.33</v>
      </c>
      <c r="F28" s="4">
        <v>2.27</v>
      </c>
      <c r="G28" s="4">
        <v>87.79</v>
      </c>
      <c r="H28" s="4">
        <v>1.95</v>
      </c>
      <c r="I28" s="4">
        <v>39.17</v>
      </c>
      <c r="J28" s="4">
        <v>39.82</v>
      </c>
    </row>
    <row r="29" spans="1:10" x14ac:dyDescent="0.35">
      <c r="A29" s="7"/>
      <c r="B29" s="7"/>
      <c r="C29" s="3" t="s">
        <v>23</v>
      </c>
      <c r="D29" s="4">
        <v>27.6</v>
      </c>
      <c r="E29" s="4">
        <v>74.510000000000005</v>
      </c>
      <c r="F29" s="4">
        <v>3.75</v>
      </c>
      <c r="G29" s="4">
        <v>54.37</v>
      </c>
      <c r="H29" s="4">
        <v>2.77</v>
      </c>
      <c r="I29" s="4">
        <v>52.48</v>
      </c>
      <c r="J29" s="4">
        <v>53.31</v>
      </c>
    </row>
    <row r="30" spans="1:10" x14ac:dyDescent="0.35">
      <c r="A30" s="7" t="s">
        <v>27</v>
      </c>
      <c r="B30" s="7" t="s">
        <v>18</v>
      </c>
      <c r="C30" s="3" t="s">
        <v>19</v>
      </c>
      <c r="D30" s="4">
        <v>11.56</v>
      </c>
      <c r="E30" s="4">
        <v>90.54</v>
      </c>
      <c r="F30" s="4">
        <v>4.43</v>
      </c>
      <c r="G30" s="4">
        <v>76.62</v>
      </c>
      <c r="H30" s="4">
        <v>1.75</v>
      </c>
      <c r="I30" s="4">
        <v>19.28</v>
      </c>
      <c r="J30" s="4">
        <v>20.84</v>
      </c>
    </row>
    <row r="31" spans="1:10" x14ac:dyDescent="0.35">
      <c r="A31" s="7"/>
      <c r="B31" s="7"/>
      <c r="C31" s="3" t="s">
        <v>20</v>
      </c>
      <c r="D31" s="4">
        <v>8.93</v>
      </c>
      <c r="E31" s="4">
        <v>87.79</v>
      </c>
      <c r="F31" s="4">
        <v>4.6100000000000003</v>
      </c>
      <c r="G31" s="4">
        <v>70.84</v>
      </c>
      <c r="H31" s="4">
        <v>2.73</v>
      </c>
      <c r="I31" s="4">
        <v>18.649999999999999</v>
      </c>
      <c r="J31" s="4">
        <v>19.79</v>
      </c>
    </row>
    <row r="32" spans="1:10" x14ac:dyDescent="0.35">
      <c r="A32" s="7"/>
      <c r="B32" s="7" t="s">
        <v>21</v>
      </c>
      <c r="C32" s="3" t="s">
        <v>22</v>
      </c>
      <c r="D32" s="4">
        <v>14.15</v>
      </c>
      <c r="E32" s="4">
        <v>85.57</v>
      </c>
      <c r="F32" s="4">
        <v>5.86</v>
      </c>
      <c r="G32" s="4">
        <v>74.66</v>
      </c>
      <c r="H32" s="4">
        <v>2.27</v>
      </c>
      <c r="I32" s="4">
        <v>26.43</v>
      </c>
      <c r="J32" s="4">
        <v>27.51</v>
      </c>
    </row>
    <row r="33" spans="1:10" x14ac:dyDescent="0.35">
      <c r="A33" s="7"/>
      <c r="B33" s="7"/>
      <c r="C33" s="3" t="s">
        <v>23</v>
      </c>
      <c r="D33" s="4">
        <v>16.600000000000001</v>
      </c>
      <c r="E33" s="4">
        <v>81.64</v>
      </c>
      <c r="F33" s="4">
        <v>5.12</v>
      </c>
      <c r="G33" s="4">
        <v>83.11</v>
      </c>
      <c r="H33" s="4">
        <v>1.55</v>
      </c>
      <c r="I33" s="4">
        <v>26.17</v>
      </c>
      <c r="J33" s="4">
        <v>27.25</v>
      </c>
    </row>
    <row r="34" spans="1:10" x14ac:dyDescent="0.35">
      <c r="A34" s="7"/>
      <c r="B34" s="7"/>
      <c r="C34" s="3" t="s">
        <v>19</v>
      </c>
      <c r="D34" s="4">
        <v>15.84</v>
      </c>
      <c r="E34" s="4">
        <v>83.54</v>
      </c>
      <c r="F34" s="4">
        <v>3.95</v>
      </c>
      <c r="G34" s="4">
        <v>87.97</v>
      </c>
      <c r="H34" s="4">
        <v>1.04</v>
      </c>
      <c r="I34" s="4">
        <v>16.79</v>
      </c>
      <c r="J34" s="4">
        <v>20.29</v>
      </c>
    </row>
    <row r="35" spans="1:10" x14ac:dyDescent="0.35">
      <c r="A35" s="7"/>
      <c r="B35" s="7" t="s">
        <v>24</v>
      </c>
      <c r="C35" s="3" t="s">
        <v>22</v>
      </c>
      <c r="D35" s="4">
        <v>14.68</v>
      </c>
      <c r="E35" s="4">
        <v>78.400000000000006</v>
      </c>
      <c r="F35" s="4">
        <v>3.96</v>
      </c>
      <c r="G35" s="4">
        <v>85.38</v>
      </c>
      <c r="H35" s="4">
        <v>1.04</v>
      </c>
      <c r="I35" s="4">
        <v>30.12</v>
      </c>
      <c r="J35" s="4">
        <v>31.91</v>
      </c>
    </row>
    <row r="36" spans="1:10" x14ac:dyDescent="0.35">
      <c r="A36" s="7"/>
      <c r="B36" s="7"/>
      <c r="C36" s="3" t="s">
        <v>23</v>
      </c>
      <c r="D36" s="4">
        <v>15.76</v>
      </c>
      <c r="E36" s="4">
        <v>88.34</v>
      </c>
      <c r="F36" s="4">
        <v>5.66</v>
      </c>
      <c r="G36" s="4">
        <v>85.1</v>
      </c>
      <c r="H36" s="4">
        <v>1.55</v>
      </c>
      <c r="I36" s="4">
        <v>33.04</v>
      </c>
      <c r="J36" s="4">
        <v>34.29</v>
      </c>
    </row>
    <row r="37" spans="1:10" x14ac:dyDescent="0.35">
      <c r="A37" s="7"/>
      <c r="B37" s="7"/>
      <c r="C37" s="3" t="s">
        <v>19</v>
      </c>
      <c r="D37" s="4">
        <v>19.16</v>
      </c>
      <c r="E37" s="4">
        <v>85.34</v>
      </c>
      <c r="F37" s="4">
        <v>3.62</v>
      </c>
      <c r="G37" s="4">
        <v>82.25</v>
      </c>
      <c r="H37" s="4">
        <v>1.57</v>
      </c>
      <c r="I37" s="4">
        <v>24.04</v>
      </c>
      <c r="J37" s="4">
        <v>25.36</v>
      </c>
    </row>
    <row r="38" spans="1:10" x14ac:dyDescent="0.35">
      <c r="A38" s="7"/>
      <c r="B38" s="7"/>
      <c r="C38" s="3" t="s">
        <v>20</v>
      </c>
      <c r="D38" s="4">
        <v>14.42</v>
      </c>
      <c r="E38" s="4">
        <v>74.099999999999994</v>
      </c>
      <c r="F38" s="4">
        <v>5.43</v>
      </c>
      <c r="G38" s="4">
        <v>41.42</v>
      </c>
      <c r="H38" s="4">
        <v>4.9000000000000004</v>
      </c>
      <c r="I38" s="4">
        <v>25.81</v>
      </c>
      <c r="J38" s="4">
        <v>26.95</v>
      </c>
    </row>
    <row r="39" spans="1:10" x14ac:dyDescent="0.35">
      <c r="A39" s="7"/>
      <c r="B39" s="7" t="s">
        <v>25</v>
      </c>
      <c r="C39" s="3" t="s">
        <v>22</v>
      </c>
      <c r="D39" s="4">
        <v>30.43</v>
      </c>
      <c r="E39" s="4">
        <v>51.35</v>
      </c>
      <c r="F39" s="4">
        <v>2.27</v>
      </c>
      <c r="G39" s="4">
        <v>94.58</v>
      </c>
      <c r="H39" s="4">
        <v>0.65</v>
      </c>
      <c r="I39" s="4">
        <v>39.880000000000003</v>
      </c>
      <c r="J39" s="4">
        <v>40.549999999999997</v>
      </c>
    </row>
    <row r="40" spans="1:10" x14ac:dyDescent="0.35">
      <c r="A40" s="7"/>
      <c r="B40" s="7"/>
      <c r="C40" s="3" t="s">
        <v>23</v>
      </c>
      <c r="D40" s="4">
        <v>27.02</v>
      </c>
      <c r="E40" s="4">
        <v>71.680000000000007</v>
      </c>
      <c r="F40" s="4">
        <v>3.78</v>
      </c>
      <c r="G40" s="4">
        <v>59.17</v>
      </c>
      <c r="H40" s="4">
        <v>2.9</v>
      </c>
      <c r="I40" s="4">
        <v>53.44</v>
      </c>
      <c r="J40" s="4">
        <v>54.28</v>
      </c>
    </row>
    <row r="41" spans="1:10" x14ac:dyDescent="0.35">
      <c r="A41" s="7" t="s">
        <v>28</v>
      </c>
      <c r="B41" s="7" t="s">
        <v>18</v>
      </c>
      <c r="C41" s="3" t="s">
        <v>19</v>
      </c>
      <c r="D41" s="4">
        <v>11.61</v>
      </c>
      <c r="E41" s="4">
        <v>91.18</v>
      </c>
      <c r="F41" s="4">
        <v>4.3099999999999996</v>
      </c>
      <c r="G41" s="4">
        <v>77.27</v>
      </c>
      <c r="H41" s="4">
        <v>1.68</v>
      </c>
      <c r="I41" s="4">
        <v>18.41</v>
      </c>
      <c r="J41" s="4">
        <v>19.95</v>
      </c>
    </row>
    <row r="42" spans="1:10" x14ac:dyDescent="0.35">
      <c r="A42" s="7"/>
      <c r="B42" s="7"/>
      <c r="C42" s="3" t="s">
        <v>20</v>
      </c>
      <c r="D42" s="4">
        <v>8.3000000000000007</v>
      </c>
      <c r="E42" s="4">
        <v>92</v>
      </c>
      <c r="F42" s="4">
        <v>4.6399999999999997</v>
      </c>
      <c r="G42" s="4">
        <v>70.84</v>
      </c>
      <c r="H42" s="4">
        <v>2.73</v>
      </c>
      <c r="I42" s="4">
        <v>16.57</v>
      </c>
      <c r="J42" s="4">
        <v>17.71</v>
      </c>
    </row>
    <row r="43" spans="1:10" x14ac:dyDescent="0.35">
      <c r="A43" s="7"/>
      <c r="B43" s="7" t="s">
        <v>21</v>
      </c>
      <c r="C43" s="3" t="s">
        <v>22</v>
      </c>
      <c r="D43" s="4">
        <v>14.64</v>
      </c>
      <c r="E43" s="4">
        <v>84.68</v>
      </c>
      <c r="F43" s="4">
        <v>5.79</v>
      </c>
      <c r="G43" s="4">
        <v>75.66</v>
      </c>
      <c r="H43" s="4">
        <v>2.16</v>
      </c>
      <c r="I43" s="4">
        <v>25.96</v>
      </c>
      <c r="J43" s="4">
        <v>27.04</v>
      </c>
    </row>
    <row r="44" spans="1:10" x14ac:dyDescent="0.35">
      <c r="A44" s="7"/>
      <c r="B44" s="7"/>
      <c r="C44" s="3" t="s">
        <v>23</v>
      </c>
      <c r="D44" s="4">
        <v>15.29</v>
      </c>
      <c r="E44" s="4">
        <v>83.82</v>
      </c>
      <c r="F44" s="4">
        <v>4.6900000000000004</v>
      </c>
      <c r="G44" s="4">
        <v>84.83</v>
      </c>
      <c r="H44" s="4">
        <v>1.34</v>
      </c>
      <c r="I44" s="4">
        <v>23.14</v>
      </c>
      <c r="J44" s="4">
        <v>25.07</v>
      </c>
    </row>
    <row r="45" spans="1:10" x14ac:dyDescent="0.35">
      <c r="A45" s="7"/>
      <c r="B45" s="7" t="s">
        <v>24</v>
      </c>
      <c r="C45" s="3" t="s">
        <v>22</v>
      </c>
      <c r="D45" s="4">
        <v>15.25</v>
      </c>
      <c r="E45" s="4">
        <v>78.39</v>
      </c>
      <c r="F45" s="4">
        <v>3.97</v>
      </c>
      <c r="G45" s="4">
        <v>87.9</v>
      </c>
      <c r="H45" s="4">
        <v>1.03</v>
      </c>
      <c r="I45" s="4">
        <v>30.05</v>
      </c>
      <c r="J45" s="4">
        <v>31.85</v>
      </c>
    </row>
    <row r="46" spans="1:10" x14ac:dyDescent="0.35">
      <c r="A46" s="7"/>
      <c r="B46" s="7"/>
      <c r="C46" s="3" t="s">
        <v>23</v>
      </c>
      <c r="D46" s="4">
        <v>15.84</v>
      </c>
      <c r="E46" s="4">
        <v>89</v>
      </c>
      <c r="F46" s="4">
        <v>5.68</v>
      </c>
      <c r="G46" s="4">
        <v>84.44</v>
      </c>
      <c r="H46" s="4">
        <v>1.59</v>
      </c>
      <c r="I46" s="4">
        <v>32.81</v>
      </c>
      <c r="J46" s="4">
        <v>34.07</v>
      </c>
    </row>
    <row r="47" spans="1:10" x14ac:dyDescent="0.35">
      <c r="A47" s="7"/>
      <c r="B47" s="7"/>
      <c r="C47" s="3" t="s">
        <v>19</v>
      </c>
      <c r="D47" s="4">
        <v>17.510000000000002</v>
      </c>
      <c r="E47" s="4">
        <v>87.12</v>
      </c>
      <c r="F47" s="4">
        <v>3.62</v>
      </c>
      <c r="G47" s="4">
        <v>80.98</v>
      </c>
      <c r="H47" s="4">
        <v>1.64</v>
      </c>
      <c r="I47" s="4">
        <v>23.26</v>
      </c>
      <c r="J47" s="4">
        <v>24.59</v>
      </c>
    </row>
    <row r="48" spans="1:10" x14ac:dyDescent="0.35">
      <c r="A48" s="7"/>
      <c r="B48" s="7"/>
      <c r="C48" s="3" t="s">
        <v>20</v>
      </c>
      <c r="D48" s="4">
        <v>13.87</v>
      </c>
      <c r="E48" s="4">
        <v>75.22</v>
      </c>
      <c r="F48" s="4">
        <v>5.42</v>
      </c>
      <c r="G48" s="4">
        <v>41.54</v>
      </c>
      <c r="H48" s="4">
        <v>4.8099999999999996</v>
      </c>
      <c r="I48" s="4">
        <v>26.03</v>
      </c>
      <c r="J48" s="4">
        <v>27.15</v>
      </c>
    </row>
    <row r="49" spans="1:10" x14ac:dyDescent="0.35">
      <c r="A49" s="7"/>
      <c r="B49" s="7" t="s">
        <v>25</v>
      </c>
      <c r="C49" s="3" t="s">
        <v>22</v>
      </c>
      <c r="D49" s="4">
        <v>34.1</v>
      </c>
      <c r="E49" s="4">
        <v>55.72</v>
      </c>
      <c r="F49" s="4">
        <v>2.83</v>
      </c>
      <c r="G49" s="4">
        <v>100.53</v>
      </c>
      <c r="H49" s="4">
        <v>-0.06</v>
      </c>
      <c r="I49" s="4">
        <v>44.29</v>
      </c>
      <c r="J49" s="4">
        <v>44.94</v>
      </c>
    </row>
    <row r="50" spans="1:10" x14ac:dyDescent="0.35">
      <c r="A50" s="7"/>
      <c r="B50" s="7"/>
      <c r="C50" s="3" t="s">
        <v>23</v>
      </c>
      <c r="D50" s="4">
        <v>27.46</v>
      </c>
      <c r="E50" s="4">
        <v>70</v>
      </c>
      <c r="F50" s="4">
        <v>3.77</v>
      </c>
      <c r="G50" s="4">
        <v>63.75</v>
      </c>
      <c r="H50" s="4">
        <v>2.76</v>
      </c>
      <c r="I50" s="4">
        <v>51.72</v>
      </c>
      <c r="J50" s="4">
        <v>52.56</v>
      </c>
    </row>
    <row r="51" spans="1:10" x14ac:dyDescent="0.35">
      <c r="A51" s="7" t="s">
        <v>29</v>
      </c>
      <c r="B51" s="7" t="s">
        <v>18</v>
      </c>
      <c r="C51" s="3" t="s">
        <v>19</v>
      </c>
      <c r="D51" s="4">
        <v>12.03</v>
      </c>
      <c r="E51" s="4">
        <v>91.07</v>
      </c>
      <c r="F51" s="4">
        <v>4.3</v>
      </c>
      <c r="G51" s="4">
        <v>77.87</v>
      </c>
      <c r="H51" s="4">
        <v>1.66</v>
      </c>
      <c r="I51" s="4">
        <v>17.95</v>
      </c>
      <c r="J51" s="4">
        <v>19.47</v>
      </c>
    </row>
    <row r="52" spans="1:10" x14ac:dyDescent="0.35">
      <c r="A52" s="7"/>
      <c r="B52" s="7"/>
      <c r="C52" s="3" t="s">
        <v>20</v>
      </c>
      <c r="D52" s="4">
        <v>8.01</v>
      </c>
      <c r="E52" s="4">
        <v>90.79</v>
      </c>
      <c r="F52" s="4">
        <v>4.59</v>
      </c>
      <c r="G52" s="4">
        <v>71</v>
      </c>
      <c r="H52" s="4">
        <v>2.77</v>
      </c>
      <c r="I52" s="4">
        <v>16.72</v>
      </c>
      <c r="J52" s="4">
        <v>17.86</v>
      </c>
    </row>
    <row r="53" spans="1:10" x14ac:dyDescent="0.35">
      <c r="A53" s="7"/>
      <c r="B53" s="7" t="s">
        <v>21</v>
      </c>
      <c r="C53" s="3" t="s">
        <v>22</v>
      </c>
      <c r="D53" s="4">
        <v>14.26</v>
      </c>
      <c r="E53" s="4">
        <v>85.72</v>
      </c>
      <c r="F53" s="4">
        <v>5.82</v>
      </c>
      <c r="G53" s="4">
        <v>75.760000000000005</v>
      </c>
      <c r="H53" s="4">
        <v>2.15</v>
      </c>
      <c r="I53" s="4">
        <v>25.86</v>
      </c>
      <c r="J53" s="4">
        <v>26.94</v>
      </c>
    </row>
    <row r="54" spans="1:10" x14ac:dyDescent="0.35">
      <c r="A54" s="7"/>
      <c r="B54" s="7"/>
      <c r="C54" s="3" t="s">
        <v>23</v>
      </c>
      <c r="D54" s="4">
        <v>16.899999999999999</v>
      </c>
      <c r="E54" s="4">
        <v>80.06</v>
      </c>
      <c r="F54" s="4">
        <v>4.66</v>
      </c>
      <c r="G54" s="4">
        <v>84.97</v>
      </c>
      <c r="H54" s="4">
        <v>1.31</v>
      </c>
      <c r="I54" s="4">
        <v>22.7</v>
      </c>
      <c r="J54" s="4">
        <v>24.59</v>
      </c>
    </row>
    <row r="55" spans="1:10" x14ac:dyDescent="0.35">
      <c r="A55" s="7"/>
      <c r="B55" s="7" t="s">
        <v>24</v>
      </c>
      <c r="C55" s="3" t="s">
        <v>22</v>
      </c>
      <c r="D55" s="4">
        <v>15.73</v>
      </c>
      <c r="E55" s="4">
        <v>80.52</v>
      </c>
      <c r="F55" s="4">
        <v>4</v>
      </c>
      <c r="G55" s="4">
        <v>88</v>
      </c>
      <c r="H55" s="4">
        <v>1.01</v>
      </c>
      <c r="I55" s="4">
        <v>29.73</v>
      </c>
      <c r="J55" s="4">
        <v>31.51</v>
      </c>
    </row>
    <row r="56" spans="1:10" x14ac:dyDescent="0.35">
      <c r="A56" s="7"/>
      <c r="B56" s="7"/>
      <c r="C56" s="3" t="s">
        <v>23</v>
      </c>
      <c r="D56" s="4">
        <v>16.55</v>
      </c>
      <c r="E56" s="4">
        <v>91.27</v>
      </c>
      <c r="F56" s="4">
        <v>5.72</v>
      </c>
      <c r="G56" s="4">
        <v>84.77</v>
      </c>
      <c r="H56" s="4">
        <v>1.56</v>
      </c>
      <c r="I56" s="4">
        <v>31.76</v>
      </c>
      <c r="J56" s="4">
        <v>33.01</v>
      </c>
    </row>
    <row r="57" spans="1:10" x14ac:dyDescent="0.35">
      <c r="A57" s="7"/>
      <c r="B57" s="7"/>
      <c r="C57" s="3" t="s">
        <v>19</v>
      </c>
      <c r="D57" s="4">
        <v>17.96</v>
      </c>
      <c r="E57" s="4">
        <v>87.71</v>
      </c>
      <c r="F57" s="4">
        <v>3.6</v>
      </c>
      <c r="G57" s="4">
        <v>81.36</v>
      </c>
      <c r="H57" s="4">
        <v>1.59</v>
      </c>
      <c r="I57" s="4">
        <v>22.75</v>
      </c>
      <c r="J57" s="4">
        <v>24.07</v>
      </c>
    </row>
    <row r="58" spans="1:10" x14ac:dyDescent="0.35">
      <c r="A58" s="7"/>
      <c r="B58" s="7"/>
      <c r="C58" s="3" t="s">
        <v>20</v>
      </c>
      <c r="D58" s="4">
        <v>14.79</v>
      </c>
      <c r="E58" s="4">
        <v>75.69</v>
      </c>
      <c r="F58" s="4">
        <v>5.44</v>
      </c>
      <c r="G58" s="4">
        <v>41.6</v>
      </c>
      <c r="H58" s="4">
        <v>4.75</v>
      </c>
      <c r="I58" s="4">
        <v>25.97</v>
      </c>
      <c r="J58" s="4">
        <v>27.08</v>
      </c>
    </row>
    <row r="59" spans="1:10" x14ac:dyDescent="0.35">
      <c r="A59" s="7"/>
      <c r="B59" s="7" t="s">
        <v>25</v>
      </c>
      <c r="C59" s="3" t="s">
        <v>22</v>
      </c>
      <c r="D59" s="4">
        <v>33.65</v>
      </c>
      <c r="E59" s="4">
        <v>61.98</v>
      </c>
      <c r="F59" s="4">
        <v>2.74</v>
      </c>
      <c r="G59" s="4">
        <v>96.76</v>
      </c>
      <c r="H59" s="4">
        <v>0.47</v>
      </c>
      <c r="I59" s="4">
        <v>35.69</v>
      </c>
      <c r="J59" s="4">
        <v>36.380000000000003</v>
      </c>
    </row>
    <row r="60" spans="1:10" x14ac:dyDescent="0.35">
      <c r="A60" s="7"/>
      <c r="B60" s="7"/>
      <c r="C60" s="3" t="s">
        <v>23</v>
      </c>
      <c r="D60" s="4">
        <v>28.13</v>
      </c>
      <c r="E60" s="4">
        <v>67.510000000000005</v>
      </c>
      <c r="F60" s="4">
        <v>3.79</v>
      </c>
      <c r="G60" s="4">
        <v>76.56</v>
      </c>
      <c r="H60" s="4">
        <v>2.63</v>
      </c>
      <c r="I60" s="4">
        <v>49.95</v>
      </c>
      <c r="J60" s="4">
        <v>50.8</v>
      </c>
    </row>
    <row r="61" spans="1:10" x14ac:dyDescent="0.35">
      <c r="A61" s="7" t="s">
        <v>30</v>
      </c>
      <c r="B61" s="7" t="s">
        <v>18</v>
      </c>
      <c r="C61" s="3" t="s">
        <v>19</v>
      </c>
      <c r="D61" s="4">
        <v>12.4</v>
      </c>
      <c r="E61" s="4">
        <v>91.23</v>
      </c>
      <c r="F61" s="4">
        <v>4.3099999999999996</v>
      </c>
      <c r="G61" s="4">
        <v>77.010000000000005</v>
      </c>
      <c r="H61" s="4">
        <v>1.71</v>
      </c>
      <c r="I61" s="4">
        <v>17.79</v>
      </c>
      <c r="J61" s="4">
        <v>19.3</v>
      </c>
    </row>
    <row r="62" spans="1:10" x14ac:dyDescent="0.35">
      <c r="A62" s="7"/>
      <c r="B62" s="7"/>
      <c r="C62" s="3" t="s">
        <v>20</v>
      </c>
      <c r="D62" s="4">
        <v>7.84</v>
      </c>
      <c r="E62" s="4">
        <v>90.87</v>
      </c>
      <c r="F62" s="4">
        <v>4.53</v>
      </c>
      <c r="G62" s="4">
        <v>70.62</v>
      </c>
      <c r="H62" s="4">
        <v>2.83</v>
      </c>
      <c r="I62" s="4">
        <v>16.98</v>
      </c>
      <c r="J62" s="4">
        <v>18.12</v>
      </c>
    </row>
    <row r="63" spans="1:10" x14ac:dyDescent="0.35">
      <c r="A63" s="7"/>
      <c r="B63" s="7" t="s">
        <v>21</v>
      </c>
      <c r="C63" s="3" t="s">
        <v>22</v>
      </c>
      <c r="D63" s="4">
        <v>14.92</v>
      </c>
      <c r="E63" s="4">
        <v>91.31</v>
      </c>
      <c r="F63" s="4">
        <v>5.88</v>
      </c>
      <c r="G63" s="4">
        <v>76.73</v>
      </c>
      <c r="H63" s="4">
        <v>2.0299999999999998</v>
      </c>
      <c r="I63" s="4">
        <v>25.54</v>
      </c>
      <c r="J63" s="4">
        <v>26.61</v>
      </c>
    </row>
    <row r="64" spans="1:10" x14ac:dyDescent="0.35">
      <c r="A64" s="7"/>
      <c r="B64" s="7"/>
      <c r="C64" s="3" t="s">
        <v>23</v>
      </c>
      <c r="D64" s="4">
        <v>15.4</v>
      </c>
      <c r="E64" s="4">
        <v>82.23</v>
      </c>
      <c r="F64" s="4">
        <v>4.7</v>
      </c>
      <c r="G64" s="4">
        <v>82.27</v>
      </c>
      <c r="H64" s="4">
        <v>1.54</v>
      </c>
      <c r="I64" s="4">
        <v>22.98</v>
      </c>
      <c r="J64" s="4">
        <v>24.8</v>
      </c>
    </row>
    <row r="65" spans="1:10" x14ac:dyDescent="0.35">
      <c r="A65" s="7"/>
      <c r="B65" s="7" t="s">
        <v>24</v>
      </c>
      <c r="C65" s="3" t="s">
        <v>22</v>
      </c>
      <c r="D65" s="4">
        <v>14.35</v>
      </c>
      <c r="E65" s="4">
        <v>84.32</v>
      </c>
      <c r="F65" s="4">
        <v>4.0199999999999996</v>
      </c>
      <c r="G65" s="4">
        <v>87.94</v>
      </c>
      <c r="H65" s="4">
        <v>1.01</v>
      </c>
      <c r="I65" s="4">
        <v>29.16</v>
      </c>
      <c r="J65" s="4">
        <v>30.93</v>
      </c>
    </row>
    <row r="66" spans="1:10" x14ac:dyDescent="0.35">
      <c r="A66" s="7"/>
      <c r="B66" s="7"/>
      <c r="C66" s="3" t="s">
        <v>23</v>
      </c>
      <c r="D66" s="4">
        <v>14.5</v>
      </c>
      <c r="E66" s="4">
        <v>94.84</v>
      </c>
      <c r="F66" s="4">
        <v>5.73</v>
      </c>
      <c r="G66" s="4">
        <v>83.76</v>
      </c>
      <c r="H66" s="4">
        <v>1.58</v>
      </c>
      <c r="I66" s="4">
        <v>31.2</v>
      </c>
      <c r="J66" s="4">
        <v>32.46</v>
      </c>
    </row>
    <row r="67" spans="1:10" x14ac:dyDescent="0.35">
      <c r="A67" s="7"/>
      <c r="B67" s="7"/>
      <c r="C67" s="3" t="s">
        <v>19</v>
      </c>
      <c r="D67" s="4">
        <v>15.75</v>
      </c>
      <c r="E67" s="4">
        <v>89.4</v>
      </c>
      <c r="F67" s="4">
        <v>3.59</v>
      </c>
      <c r="G67" s="4">
        <v>81.66</v>
      </c>
      <c r="H67" s="4">
        <v>1.62</v>
      </c>
      <c r="I67" s="4">
        <v>22.47</v>
      </c>
      <c r="J67" s="4">
        <v>23.8</v>
      </c>
    </row>
    <row r="68" spans="1:10" x14ac:dyDescent="0.35">
      <c r="A68" s="7"/>
      <c r="B68" s="7"/>
      <c r="C68" s="3" t="s">
        <v>20</v>
      </c>
      <c r="D68" s="4">
        <v>13.39</v>
      </c>
      <c r="E68" s="4">
        <v>78.67</v>
      </c>
      <c r="F68" s="4">
        <v>5.43</v>
      </c>
      <c r="G68" s="4">
        <v>42.32</v>
      </c>
      <c r="H68" s="4">
        <v>4.6500000000000004</v>
      </c>
      <c r="I68" s="4">
        <v>25.67</v>
      </c>
      <c r="J68" s="4">
        <v>26.79</v>
      </c>
    </row>
    <row r="69" spans="1:10" x14ac:dyDescent="0.35">
      <c r="A69" s="7"/>
      <c r="B69" s="7" t="s">
        <v>25</v>
      </c>
      <c r="C69" s="3" t="s">
        <v>22</v>
      </c>
      <c r="D69" s="4">
        <v>30.46</v>
      </c>
      <c r="E69" s="4">
        <v>73.33</v>
      </c>
      <c r="F69" s="4">
        <v>2.57</v>
      </c>
      <c r="G69" s="4">
        <v>97.75</v>
      </c>
      <c r="H69" s="4">
        <v>0.28999999999999998</v>
      </c>
      <c r="I69" s="4">
        <v>36.26</v>
      </c>
      <c r="J69" s="4">
        <v>36.97</v>
      </c>
    </row>
    <row r="70" spans="1:10" x14ac:dyDescent="0.35">
      <c r="A70" s="7"/>
      <c r="B70" s="7"/>
      <c r="C70" s="3" t="s">
        <v>23</v>
      </c>
      <c r="D70" s="4">
        <v>25.96</v>
      </c>
      <c r="E70" s="4">
        <v>77.28</v>
      </c>
      <c r="F70" s="4">
        <v>3.84</v>
      </c>
      <c r="G70" s="4">
        <v>67.11</v>
      </c>
      <c r="H70" s="4">
        <v>2.59</v>
      </c>
      <c r="I70" s="4">
        <v>50.1</v>
      </c>
      <c r="J70" s="4">
        <v>50.95</v>
      </c>
    </row>
  </sheetData>
  <mergeCells count="34">
    <mergeCell ref="A61:A70"/>
    <mergeCell ref="B61:B62"/>
    <mergeCell ref="B63:B64"/>
    <mergeCell ref="B65:B68"/>
    <mergeCell ref="B69:B70"/>
    <mergeCell ref="A51:A60"/>
    <mergeCell ref="B51:B52"/>
    <mergeCell ref="B53:B54"/>
    <mergeCell ref="B55:B58"/>
    <mergeCell ref="B59:B60"/>
    <mergeCell ref="A41:A50"/>
    <mergeCell ref="B41:B42"/>
    <mergeCell ref="B43:B44"/>
    <mergeCell ref="B45:B48"/>
    <mergeCell ref="B49:B50"/>
    <mergeCell ref="A30:A40"/>
    <mergeCell ref="B30:B31"/>
    <mergeCell ref="B32:B34"/>
    <mergeCell ref="B35:B38"/>
    <mergeCell ref="B39:B40"/>
    <mergeCell ref="A19:A29"/>
    <mergeCell ref="B19:B20"/>
    <mergeCell ref="B21:B23"/>
    <mergeCell ref="B24:B27"/>
    <mergeCell ref="B28:B29"/>
    <mergeCell ref="A1:C3"/>
    <mergeCell ref="D1:L1"/>
    <mergeCell ref="D2:L2"/>
    <mergeCell ref="D3:L3"/>
    <mergeCell ref="A8:A18"/>
    <mergeCell ref="B8:B9"/>
    <mergeCell ref="B10:B12"/>
    <mergeCell ref="B13:B16"/>
    <mergeCell ref="B17:B18"/>
  </mergeCells>
  <pageMargins left="0.7" right="0.7" top="0.75" bottom="0.75" header="0.3" footer="0.3"/>
  <pageSetup orientation="portrait" horizontalDpi="4294967295" verticalDpi="429496729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5ACD-1431-411D-9C7F-0337D750A9CC}">
  <dimension ref="A2:J65"/>
  <sheetViews>
    <sheetView zoomScale="80" zoomScaleNormal="80" workbookViewId="0">
      <pane xSplit="3" ySplit="3" topLeftCell="I4" activePane="bottomRight" state="frozen"/>
      <selection pane="topRight" activeCell="D1" sqref="D1"/>
      <selection pane="bottomLeft" activeCell="A4" sqref="A4"/>
      <selection pane="bottomRight" activeCell="M5" sqref="M5"/>
    </sheetView>
  </sheetViews>
  <sheetFormatPr defaultRowHeight="14.5" x14ac:dyDescent="0.35"/>
  <cols>
    <col min="1" max="1" width="15.7265625" customWidth="1"/>
    <col min="2" max="2" width="54.90625" customWidth="1"/>
    <col min="3" max="3" width="12.1796875" customWidth="1"/>
    <col min="4" max="4" width="23.54296875" customWidth="1"/>
    <col min="5" max="5" width="28.36328125" customWidth="1"/>
    <col min="6" max="6" width="31.26953125" customWidth="1"/>
    <col min="7" max="7" width="46.7265625" customWidth="1"/>
    <col min="8" max="8" width="28.81640625" customWidth="1"/>
    <col min="9" max="9" width="36.7265625" customWidth="1"/>
    <col min="10" max="10" width="46.7265625" customWidth="1"/>
  </cols>
  <sheetData>
    <row r="2" spans="1:10" ht="29" x14ac:dyDescent="0.35">
      <c r="A2" s="2" t="s">
        <v>7</v>
      </c>
      <c r="B2" s="8" t="s">
        <v>8</v>
      </c>
      <c r="C2" s="8" t="s">
        <v>9</v>
      </c>
      <c r="D2" s="2" t="s">
        <v>10</v>
      </c>
      <c r="E2" s="2" t="s">
        <v>11</v>
      </c>
      <c r="F2" s="2" t="s">
        <v>12</v>
      </c>
      <c r="G2" s="2" t="s">
        <v>13</v>
      </c>
      <c r="H2" s="2" t="s">
        <v>14</v>
      </c>
      <c r="I2" s="2" t="s">
        <v>15</v>
      </c>
      <c r="J2" s="2" t="s">
        <v>16</v>
      </c>
    </row>
    <row r="3" spans="1:10" x14ac:dyDescent="0.35">
      <c r="A3" s="3" t="s">
        <v>17</v>
      </c>
      <c r="B3" s="3" t="s">
        <v>18</v>
      </c>
      <c r="C3" s="3" t="s">
        <v>19</v>
      </c>
      <c r="D3" s="4">
        <v>16.420000000000002</v>
      </c>
      <c r="E3" s="4">
        <v>90.42</v>
      </c>
      <c r="F3" s="4">
        <v>4.33</v>
      </c>
      <c r="G3" s="4">
        <v>79.34</v>
      </c>
      <c r="H3" s="4">
        <v>1.58</v>
      </c>
      <c r="I3" s="4">
        <v>18.899999999999999</v>
      </c>
      <c r="J3" s="4">
        <v>20.49</v>
      </c>
    </row>
    <row r="4" spans="1:10" x14ac:dyDescent="0.35">
      <c r="A4" s="3"/>
      <c r="B4" s="3"/>
      <c r="C4" s="3" t="s">
        <v>20</v>
      </c>
      <c r="D4" s="4">
        <v>8.5399999999999991</v>
      </c>
      <c r="E4" s="4">
        <v>89.67</v>
      </c>
      <c r="F4" s="4">
        <v>4.78</v>
      </c>
      <c r="G4" s="4">
        <v>72.27</v>
      </c>
      <c r="H4" s="4">
        <v>2.7</v>
      </c>
      <c r="I4" s="4">
        <v>19.14</v>
      </c>
      <c r="J4" s="4">
        <v>20.3</v>
      </c>
    </row>
    <row r="5" spans="1:10" x14ac:dyDescent="0.35">
      <c r="A5" s="3"/>
      <c r="B5" s="3" t="s">
        <v>21</v>
      </c>
      <c r="C5" s="3" t="s">
        <v>22</v>
      </c>
      <c r="D5" s="4">
        <v>15.57</v>
      </c>
      <c r="E5" s="4">
        <v>84.51</v>
      </c>
      <c r="F5" s="4">
        <v>5.64</v>
      </c>
      <c r="G5" s="4">
        <v>73.97</v>
      </c>
      <c r="H5" s="4">
        <v>2.36</v>
      </c>
      <c r="I5" s="4">
        <v>27.05</v>
      </c>
      <c r="J5" s="4">
        <v>28.07</v>
      </c>
    </row>
    <row r="6" spans="1:10" x14ac:dyDescent="0.35">
      <c r="A6" s="3"/>
      <c r="B6" s="3"/>
      <c r="C6" s="3" t="s">
        <v>23</v>
      </c>
      <c r="D6" s="4">
        <v>16.579999999999998</v>
      </c>
      <c r="E6" s="4">
        <v>79.790000000000006</v>
      </c>
      <c r="F6" s="4">
        <v>5.15</v>
      </c>
      <c r="G6" s="4">
        <v>81</v>
      </c>
      <c r="H6" s="4">
        <v>1.61</v>
      </c>
      <c r="I6" s="4">
        <v>27.25</v>
      </c>
      <c r="J6" s="4">
        <v>28.36</v>
      </c>
    </row>
    <row r="7" spans="1:10" x14ac:dyDescent="0.35">
      <c r="A7" s="3"/>
      <c r="B7" s="3"/>
      <c r="C7" s="3" t="s">
        <v>19</v>
      </c>
      <c r="D7" s="4">
        <v>19.7</v>
      </c>
      <c r="E7" s="4">
        <v>82.02</v>
      </c>
      <c r="F7" s="4">
        <v>4.03</v>
      </c>
      <c r="G7" s="4">
        <v>88.27</v>
      </c>
      <c r="H7" s="4">
        <v>1.01</v>
      </c>
      <c r="I7" s="4">
        <v>17.559999999999999</v>
      </c>
      <c r="J7" s="4">
        <v>21.22</v>
      </c>
    </row>
    <row r="8" spans="1:10" x14ac:dyDescent="0.35">
      <c r="A8" s="3"/>
      <c r="B8" s="3" t="s">
        <v>24</v>
      </c>
      <c r="C8" s="3" t="s">
        <v>22</v>
      </c>
      <c r="D8" s="4">
        <v>17.75</v>
      </c>
      <c r="E8" s="4">
        <v>75.75</v>
      </c>
      <c r="F8" s="4">
        <v>4.03</v>
      </c>
      <c r="G8" s="4">
        <v>88.49</v>
      </c>
      <c r="H8" s="4">
        <v>0.98</v>
      </c>
      <c r="I8" s="4">
        <v>30.36</v>
      </c>
      <c r="J8" s="4">
        <v>32.130000000000003</v>
      </c>
    </row>
    <row r="9" spans="1:10" x14ac:dyDescent="0.35">
      <c r="A9" s="3"/>
      <c r="B9" s="3"/>
      <c r="C9" s="3" t="s">
        <v>23</v>
      </c>
      <c r="D9" s="4">
        <v>17.649999999999999</v>
      </c>
      <c r="E9" s="4">
        <v>85.93</v>
      </c>
      <c r="F9" s="4">
        <v>5.67</v>
      </c>
      <c r="G9" s="4">
        <v>85.85</v>
      </c>
      <c r="H9" s="4">
        <v>1.52</v>
      </c>
      <c r="I9" s="4">
        <v>33.47</v>
      </c>
      <c r="J9" s="4">
        <v>34.72</v>
      </c>
    </row>
    <row r="10" spans="1:10" x14ac:dyDescent="0.35">
      <c r="A10" s="3"/>
      <c r="B10" s="3"/>
      <c r="C10" s="3" t="s">
        <v>19</v>
      </c>
      <c r="D10" s="4">
        <v>20.73</v>
      </c>
      <c r="E10" s="4">
        <v>83.51</v>
      </c>
      <c r="F10" s="4">
        <v>3.7</v>
      </c>
      <c r="G10" s="4">
        <v>80.150000000000006</v>
      </c>
      <c r="H10" s="4">
        <v>1.84</v>
      </c>
      <c r="I10" s="4">
        <v>24.7</v>
      </c>
      <c r="J10" s="4">
        <v>26.01</v>
      </c>
    </row>
    <row r="11" spans="1:10" x14ac:dyDescent="0.35">
      <c r="A11" s="3"/>
      <c r="B11" s="3"/>
      <c r="C11" s="3" t="s">
        <v>20</v>
      </c>
      <c r="D11" s="4">
        <v>14.57</v>
      </c>
      <c r="E11" s="4">
        <v>75.33</v>
      </c>
      <c r="F11" s="4">
        <v>5.54</v>
      </c>
      <c r="G11" s="4">
        <v>43.25</v>
      </c>
      <c r="H11" s="4">
        <v>4.72</v>
      </c>
      <c r="I11" s="4">
        <v>28.81</v>
      </c>
      <c r="J11" s="4">
        <v>29.93</v>
      </c>
    </row>
    <row r="12" spans="1:10" x14ac:dyDescent="0.35">
      <c r="A12" s="3"/>
      <c r="B12" s="3" t="s">
        <v>25</v>
      </c>
      <c r="C12" s="3" t="s">
        <v>22</v>
      </c>
      <c r="D12" s="4">
        <v>42.03</v>
      </c>
      <c r="E12" s="4">
        <v>49.09</v>
      </c>
      <c r="F12" s="4">
        <v>2.59</v>
      </c>
      <c r="G12" s="4">
        <v>88.39</v>
      </c>
      <c r="H12" s="4">
        <v>3.38</v>
      </c>
      <c r="I12" s="4">
        <v>46.22</v>
      </c>
      <c r="J12" s="4">
        <v>47.02</v>
      </c>
    </row>
    <row r="13" spans="1:10" x14ac:dyDescent="0.35">
      <c r="A13" s="3"/>
      <c r="B13" s="3"/>
      <c r="C13" s="3" t="s">
        <v>23</v>
      </c>
      <c r="D13" s="4">
        <v>28.25</v>
      </c>
      <c r="E13" s="4">
        <v>75.11</v>
      </c>
      <c r="F13" s="4">
        <v>3.58</v>
      </c>
      <c r="G13" s="4">
        <v>67.48</v>
      </c>
      <c r="H13" s="4">
        <v>2.84</v>
      </c>
      <c r="I13" s="4">
        <v>51.76</v>
      </c>
      <c r="J13" s="4">
        <v>52.59</v>
      </c>
    </row>
    <row r="14" spans="1:10" x14ac:dyDescent="0.35">
      <c r="A14" s="3" t="s">
        <v>26</v>
      </c>
      <c r="B14" s="3" t="s">
        <v>18</v>
      </c>
      <c r="C14" s="3" t="s">
        <v>19</v>
      </c>
      <c r="D14" s="4">
        <v>11.84</v>
      </c>
      <c r="E14" s="4">
        <v>89.35</v>
      </c>
      <c r="F14" s="4">
        <v>4.29</v>
      </c>
      <c r="G14" s="4">
        <v>78.569999999999993</v>
      </c>
      <c r="H14" s="4">
        <v>1.59</v>
      </c>
      <c r="I14" s="4">
        <v>19.2</v>
      </c>
      <c r="J14" s="4">
        <v>20.77</v>
      </c>
    </row>
    <row r="15" spans="1:10" x14ac:dyDescent="0.35">
      <c r="A15" s="3"/>
      <c r="B15" s="3"/>
      <c r="C15" s="3" t="s">
        <v>20</v>
      </c>
      <c r="E15" s="4">
        <v>87.9</v>
      </c>
      <c r="F15" s="4">
        <v>4.5599999999999996</v>
      </c>
      <c r="G15" s="4">
        <v>71.27</v>
      </c>
      <c r="H15" s="4">
        <v>2.67</v>
      </c>
      <c r="I15" s="4">
        <v>19.149999999999999</v>
      </c>
      <c r="J15" s="4">
        <v>20.3</v>
      </c>
    </row>
    <row r="16" spans="1:10" x14ac:dyDescent="0.35">
      <c r="A16" s="3"/>
      <c r="B16" s="3" t="s">
        <v>21</v>
      </c>
      <c r="C16" s="3" t="s">
        <v>22</v>
      </c>
      <c r="D16" s="4">
        <v>15.34</v>
      </c>
      <c r="E16" s="4">
        <v>84.55</v>
      </c>
      <c r="F16" s="4">
        <v>5.64</v>
      </c>
      <c r="G16" s="4">
        <v>76</v>
      </c>
      <c r="H16" s="4">
        <v>2.0699999999999998</v>
      </c>
      <c r="I16" s="4">
        <v>26.6</v>
      </c>
      <c r="J16" s="4">
        <v>27.68</v>
      </c>
    </row>
    <row r="17" spans="1:10" x14ac:dyDescent="0.35">
      <c r="A17" s="3"/>
      <c r="B17" s="3"/>
      <c r="C17" s="3" t="s">
        <v>23</v>
      </c>
      <c r="D17" s="4">
        <v>16.809999999999999</v>
      </c>
      <c r="E17" s="4">
        <v>81.38</v>
      </c>
      <c r="F17" s="4">
        <v>4.99</v>
      </c>
      <c r="G17" s="4">
        <v>81.45</v>
      </c>
      <c r="H17" s="4">
        <v>1.54</v>
      </c>
      <c r="I17" s="4">
        <v>27.18</v>
      </c>
      <c r="J17" s="4">
        <v>28.25</v>
      </c>
    </row>
    <row r="18" spans="1:10" x14ac:dyDescent="0.35">
      <c r="A18" s="3"/>
      <c r="B18" s="3"/>
      <c r="C18" s="3" t="s">
        <v>19</v>
      </c>
      <c r="D18" s="4">
        <v>15.61</v>
      </c>
      <c r="E18" s="4">
        <v>86.42</v>
      </c>
      <c r="F18" s="4">
        <v>4.04</v>
      </c>
      <c r="G18" s="4">
        <v>87.62</v>
      </c>
      <c r="H18" s="4">
        <v>1.05</v>
      </c>
      <c r="I18" s="4">
        <v>17.62</v>
      </c>
      <c r="J18" s="4">
        <v>21.22</v>
      </c>
    </row>
    <row r="19" spans="1:10" x14ac:dyDescent="0.35">
      <c r="A19" s="3"/>
      <c r="B19" s="3" t="s">
        <v>24</v>
      </c>
      <c r="C19" s="3" t="s">
        <v>22</v>
      </c>
      <c r="D19" s="4">
        <v>15.38</v>
      </c>
      <c r="E19" s="4">
        <v>76.83</v>
      </c>
      <c r="F19" s="4">
        <v>3.91</v>
      </c>
      <c r="G19" s="4">
        <v>84.63</v>
      </c>
      <c r="H19" s="4">
        <v>1</v>
      </c>
      <c r="I19" s="4">
        <v>30.29</v>
      </c>
      <c r="J19" s="4">
        <v>32.06</v>
      </c>
    </row>
    <row r="20" spans="1:10" x14ac:dyDescent="0.35">
      <c r="A20" s="3"/>
      <c r="B20" s="3"/>
      <c r="C20" s="3" t="s">
        <v>23</v>
      </c>
      <c r="D20" s="4">
        <v>16.07</v>
      </c>
      <c r="E20" s="4">
        <v>86.68</v>
      </c>
      <c r="F20" s="4">
        <v>5.54</v>
      </c>
      <c r="G20" s="4">
        <v>85.32</v>
      </c>
      <c r="H20" s="4">
        <v>1.51</v>
      </c>
      <c r="I20" s="4">
        <v>33.24</v>
      </c>
      <c r="J20" s="4">
        <v>34.5</v>
      </c>
    </row>
    <row r="21" spans="1:10" x14ac:dyDescent="0.35">
      <c r="A21" s="3"/>
      <c r="B21" s="3"/>
      <c r="C21" s="3" t="s">
        <v>19</v>
      </c>
      <c r="D21" s="4">
        <v>19.53</v>
      </c>
      <c r="E21" s="4">
        <v>85.42</v>
      </c>
      <c r="F21" s="4">
        <v>3.54</v>
      </c>
      <c r="G21" s="4">
        <v>80.489999999999995</v>
      </c>
      <c r="H21" s="4">
        <v>1.64</v>
      </c>
      <c r="I21" s="4">
        <v>24.65</v>
      </c>
      <c r="J21" s="4">
        <v>25.98</v>
      </c>
    </row>
    <row r="22" spans="1:10" x14ac:dyDescent="0.35">
      <c r="A22" s="3"/>
      <c r="B22" s="3"/>
      <c r="C22" s="3" t="s">
        <v>20</v>
      </c>
      <c r="D22" s="4">
        <v>14.75</v>
      </c>
      <c r="E22" s="4">
        <v>75.53</v>
      </c>
      <c r="F22" s="4">
        <v>5.37</v>
      </c>
      <c r="G22" s="4">
        <v>44.75</v>
      </c>
      <c r="H22" s="4">
        <v>4.3600000000000003</v>
      </c>
      <c r="I22" s="4">
        <v>28.78</v>
      </c>
      <c r="J22" s="4">
        <v>29.89</v>
      </c>
    </row>
    <row r="23" spans="1:10" x14ac:dyDescent="0.35">
      <c r="A23" s="3"/>
      <c r="B23" s="3" t="s">
        <v>25</v>
      </c>
      <c r="C23" s="3" t="s">
        <v>22</v>
      </c>
      <c r="D23" s="4">
        <v>32.1</v>
      </c>
      <c r="E23" s="4">
        <v>53.33</v>
      </c>
      <c r="F23" s="4">
        <v>2.27</v>
      </c>
      <c r="G23" s="4">
        <v>87.79</v>
      </c>
      <c r="H23" s="4">
        <v>1.95</v>
      </c>
      <c r="I23" s="4">
        <v>39.17</v>
      </c>
      <c r="J23" s="4">
        <v>39.82</v>
      </c>
    </row>
    <row r="24" spans="1:10" x14ac:dyDescent="0.35">
      <c r="A24" s="3"/>
      <c r="B24" s="3"/>
      <c r="C24" s="3" t="s">
        <v>23</v>
      </c>
      <c r="D24" s="4">
        <v>27.6</v>
      </c>
      <c r="E24" s="4">
        <v>74.510000000000005</v>
      </c>
      <c r="F24" s="4">
        <v>3.75</v>
      </c>
      <c r="G24" s="4">
        <v>54.37</v>
      </c>
      <c r="H24" s="4">
        <v>2.77</v>
      </c>
      <c r="I24" s="4">
        <v>52.48</v>
      </c>
      <c r="J24" s="4">
        <v>53.31</v>
      </c>
    </row>
    <row r="25" spans="1:10" x14ac:dyDescent="0.35">
      <c r="A25" s="3" t="s">
        <v>27</v>
      </c>
      <c r="B25" s="3" t="s">
        <v>18</v>
      </c>
      <c r="C25" s="3" t="s">
        <v>19</v>
      </c>
      <c r="D25" s="4">
        <v>11.56</v>
      </c>
      <c r="E25" s="4">
        <v>90.54</v>
      </c>
      <c r="F25" s="4">
        <v>4.43</v>
      </c>
      <c r="G25" s="4">
        <v>76.62</v>
      </c>
      <c r="H25" s="4">
        <v>1.75</v>
      </c>
      <c r="I25" s="4">
        <v>19.28</v>
      </c>
      <c r="J25" s="4">
        <v>20.84</v>
      </c>
    </row>
    <row r="26" spans="1:10" x14ac:dyDescent="0.35">
      <c r="A26" s="3"/>
      <c r="B26" s="3"/>
      <c r="C26" s="3" t="s">
        <v>20</v>
      </c>
      <c r="D26" s="4">
        <v>8.93</v>
      </c>
      <c r="E26" s="4">
        <v>87.79</v>
      </c>
      <c r="F26" s="4">
        <v>4.6100000000000003</v>
      </c>
      <c r="G26" s="4">
        <v>70.84</v>
      </c>
      <c r="H26" s="4">
        <v>2.73</v>
      </c>
      <c r="I26" s="4">
        <v>18.649999999999999</v>
      </c>
      <c r="J26" s="4">
        <v>19.79</v>
      </c>
    </row>
    <row r="27" spans="1:10" x14ac:dyDescent="0.35">
      <c r="A27" s="3"/>
      <c r="B27" s="3" t="s">
        <v>21</v>
      </c>
      <c r="C27" s="3" t="s">
        <v>22</v>
      </c>
      <c r="D27" s="4">
        <v>14.15</v>
      </c>
      <c r="E27" s="4">
        <v>85.57</v>
      </c>
      <c r="F27" s="4">
        <v>5.86</v>
      </c>
      <c r="G27" s="4">
        <v>74.66</v>
      </c>
      <c r="H27" s="4">
        <v>2.27</v>
      </c>
      <c r="I27" s="4">
        <v>26.43</v>
      </c>
      <c r="J27" s="4">
        <v>27.51</v>
      </c>
    </row>
    <row r="28" spans="1:10" x14ac:dyDescent="0.35">
      <c r="A28" s="3"/>
      <c r="B28" s="3"/>
      <c r="C28" s="3" t="s">
        <v>23</v>
      </c>
      <c r="D28" s="4">
        <v>16.600000000000001</v>
      </c>
      <c r="E28" s="4">
        <v>81.64</v>
      </c>
      <c r="F28" s="4">
        <v>5.12</v>
      </c>
      <c r="G28" s="4">
        <v>83.11</v>
      </c>
      <c r="H28" s="4">
        <v>1.55</v>
      </c>
      <c r="I28" s="4">
        <v>26.17</v>
      </c>
      <c r="J28" s="4">
        <v>27.25</v>
      </c>
    </row>
    <row r="29" spans="1:10" x14ac:dyDescent="0.35">
      <c r="A29" s="3"/>
      <c r="B29" s="3"/>
      <c r="C29" s="3" t="s">
        <v>19</v>
      </c>
      <c r="D29" s="4">
        <v>15.84</v>
      </c>
      <c r="E29" s="4">
        <v>83.54</v>
      </c>
      <c r="F29" s="4">
        <v>3.95</v>
      </c>
      <c r="G29" s="4">
        <v>87.97</v>
      </c>
      <c r="H29" s="4">
        <v>1.04</v>
      </c>
      <c r="I29" s="4">
        <v>16.79</v>
      </c>
      <c r="J29" s="4">
        <v>20.29</v>
      </c>
    </row>
    <row r="30" spans="1:10" x14ac:dyDescent="0.35">
      <c r="A30" s="3"/>
      <c r="B30" s="3" t="s">
        <v>24</v>
      </c>
      <c r="C30" s="3" t="s">
        <v>22</v>
      </c>
      <c r="D30" s="4">
        <v>14.68</v>
      </c>
      <c r="E30" s="4">
        <v>78.400000000000006</v>
      </c>
      <c r="F30" s="4">
        <v>3.96</v>
      </c>
      <c r="G30" s="4">
        <v>85.38</v>
      </c>
      <c r="H30" s="4">
        <v>1.04</v>
      </c>
      <c r="I30" s="4">
        <v>30.12</v>
      </c>
      <c r="J30" s="4">
        <v>31.91</v>
      </c>
    </row>
    <row r="31" spans="1:10" x14ac:dyDescent="0.35">
      <c r="A31" s="3"/>
      <c r="B31" s="3"/>
      <c r="C31" s="3" t="s">
        <v>23</v>
      </c>
      <c r="D31" s="4">
        <v>15.76</v>
      </c>
      <c r="E31" s="4">
        <v>88.34</v>
      </c>
      <c r="F31" s="4">
        <v>5.66</v>
      </c>
      <c r="G31" s="4">
        <v>85.1</v>
      </c>
      <c r="H31" s="4">
        <v>1.55</v>
      </c>
      <c r="I31" s="4">
        <v>33.04</v>
      </c>
      <c r="J31" s="4">
        <v>34.29</v>
      </c>
    </row>
    <row r="32" spans="1:10" x14ac:dyDescent="0.35">
      <c r="A32" s="3"/>
      <c r="B32" s="3"/>
      <c r="C32" s="3" t="s">
        <v>19</v>
      </c>
      <c r="D32" s="4">
        <v>19.16</v>
      </c>
      <c r="E32" s="4">
        <v>85.34</v>
      </c>
      <c r="F32" s="4">
        <v>3.62</v>
      </c>
      <c r="G32" s="4">
        <v>82.25</v>
      </c>
      <c r="H32" s="4">
        <v>1.57</v>
      </c>
      <c r="I32" s="4">
        <v>24.04</v>
      </c>
      <c r="J32" s="4">
        <v>25.36</v>
      </c>
    </row>
    <row r="33" spans="1:10" x14ac:dyDescent="0.35">
      <c r="A33" s="3"/>
      <c r="B33" s="3"/>
      <c r="C33" s="3" t="s">
        <v>20</v>
      </c>
      <c r="D33" s="4">
        <v>14.42</v>
      </c>
      <c r="E33" s="4">
        <v>74.099999999999994</v>
      </c>
      <c r="F33" s="4">
        <v>5.43</v>
      </c>
      <c r="G33" s="4">
        <v>41.42</v>
      </c>
      <c r="H33" s="4">
        <v>4.9000000000000004</v>
      </c>
      <c r="I33" s="4">
        <v>25.81</v>
      </c>
      <c r="J33" s="4">
        <v>26.95</v>
      </c>
    </row>
    <row r="34" spans="1:10" x14ac:dyDescent="0.35">
      <c r="A34" s="3"/>
      <c r="B34" s="3" t="s">
        <v>25</v>
      </c>
      <c r="C34" s="3" t="s">
        <v>22</v>
      </c>
      <c r="D34" s="4">
        <v>30.43</v>
      </c>
      <c r="E34" s="4">
        <v>51.35</v>
      </c>
      <c r="F34" s="4">
        <v>2.27</v>
      </c>
      <c r="G34" s="4">
        <v>94.58</v>
      </c>
      <c r="H34" s="4">
        <v>0.65</v>
      </c>
      <c r="I34" s="4">
        <v>39.880000000000003</v>
      </c>
      <c r="J34" s="4">
        <v>40.549999999999997</v>
      </c>
    </row>
    <row r="35" spans="1:10" x14ac:dyDescent="0.35">
      <c r="A35" s="3"/>
      <c r="B35" s="3"/>
      <c r="C35" s="3" t="s">
        <v>23</v>
      </c>
      <c r="D35" s="4">
        <v>27.02</v>
      </c>
      <c r="E35" s="4">
        <v>71.680000000000007</v>
      </c>
      <c r="F35" s="4">
        <v>3.78</v>
      </c>
      <c r="G35" s="4">
        <v>59.17</v>
      </c>
      <c r="H35" s="4">
        <v>2.9</v>
      </c>
      <c r="I35" s="4">
        <v>53.44</v>
      </c>
      <c r="J35" s="4">
        <v>54.28</v>
      </c>
    </row>
    <row r="36" spans="1:10" x14ac:dyDescent="0.35">
      <c r="A36" s="3" t="s">
        <v>28</v>
      </c>
      <c r="B36" s="3" t="s">
        <v>18</v>
      </c>
      <c r="C36" s="3" t="s">
        <v>19</v>
      </c>
      <c r="D36" s="4">
        <v>11.61</v>
      </c>
      <c r="E36" s="4">
        <v>91.18</v>
      </c>
      <c r="F36" s="4">
        <v>4.3099999999999996</v>
      </c>
      <c r="G36" s="4">
        <v>77.27</v>
      </c>
      <c r="H36" s="4">
        <v>1.68</v>
      </c>
      <c r="I36" s="4">
        <v>18.41</v>
      </c>
      <c r="J36" s="4">
        <v>19.95</v>
      </c>
    </row>
    <row r="37" spans="1:10" x14ac:dyDescent="0.35">
      <c r="A37" s="3"/>
      <c r="B37" s="3"/>
      <c r="C37" s="3" t="s">
        <v>20</v>
      </c>
      <c r="D37" s="4">
        <v>8.3000000000000007</v>
      </c>
      <c r="E37" s="4">
        <v>92</v>
      </c>
      <c r="F37" s="4">
        <v>4.6399999999999997</v>
      </c>
      <c r="G37" s="4">
        <v>70.84</v>
      </c>
      <c r="H37" s="4">
        <v>2.73</v>
      </c>
      <c r="I37" s="4">
        <v>16.57</v>
      </c>
      <c r="J37" s="4">
        <v>17.71</v>
      </c>
    </row>
    <row r="38" spans="1:10" x14ac:dyDescent="0.35">
      <c r="A38" s="3"/>
      <c r="B38" s="3" t="s">
        <v>21</v>
      </c>
      <c r="C38" s="3" t="s">
        <v>22</v>
      </c>
      <c r="D38" s="4">
        <v>14.64</v>
      </c>
      <c r="E38" s="4">
        <v>84.68</v>
      </c>
      <c r="F38" s="4">
        <v>5.79</v>
      </c>
      <c r="G38" s="4">
        <v>75.66</v>
      </c>
      <c r="H38" s="4">
        <v>2.16</v>
      </c>
      <c r="I38" s="4">
        <v>25.96</v>
      </c>
      <c r="J38" s="4">
        <v>27.04</v>
      </c>
    </row>
    <row r="39" spans="1:10" x14ac:dyDescent="0.35">
      <c r="A39" s="3"/>
      <c r="B39" s="3"/>
      <c r="C39" s="3" t="s">
        <v>23</v>
      </c>
      <c r="D39" s="4">
        <v>15.29</v>
      </c>
      <c r="E39" s="4">
        <v>83.82</v>
      </c>
      <c r="F39" s="4">
        <v>4.6900000000000004</v>
      </c>
      <c r="G39" s="4">
        <v>84.83</v>
      </c>
      <c r="H39" s="4">
        <v>1.34</v>
      </c>
      <c r="I39" s="4">
        <v>23.14</v>
      </c>
      <c r="J39" s="4">
        <v>25.07</v>
      </c>
    </row>
    <row r="40" spans="1:10" x14ac:dyDescent="0.35">
      <c r="A40" s="3"/>
      <c r="B40" s="3" t="s">
        <v>24</v>
      </c>
      <c r="C40" s="3" t="s">
        <v>22</v>
      </c>
      <c r="D40" s="4">
        <v>15.25</v>
      </c>
      <c r="E40" s="4">
        <v>78.39</v>
      </c>
      <c r="F40" s="4">
        <v>3.97</v>
      </c>
      <c r="G40" s="4">
        <v>87.9</v>
      </c>
      <c r="H40" s="4">
        <v>1.03</v>
      </c>
      <c r="I40" s="4">
        <v>30.05</v>
      </c>
      <c r="J40" s="4">
        <v>31.85</v>
      </c>
    </row>
    <row r="41" spans="1:10" x14ac:dyDescent="0.35">
      <c r="A41" s="3"/>
      <c r="B41" s="3"/>
      <c r="C41" s="3" t="s">
        <v>23</v>
      </c>
      <c r="D41" s="4">
        <v>15.84</v>
      </c>
      <c r="E41" s="4">
        <v>89</v>
      </c>
      <c r="F41" s="4">
        <v>5.68</v>
      </c>
      <c r="G41" s="4">
        <v>84.44</v>
      </c>
      <c r="H41" s="4">
        <v>1.59</v>
      </c>
      <c r="I41" s="4">
        <v>32.81</v>
      </c>
      <c r="J41" s="4">
        <v>34.07</v>
      </c>
    </row>
    <row r="42" spans="1:10" x14ac:dyDescent="0.35">
      <c r="A42" s="3"/>
      <c r="B42" s="3"/>
      <c r="C42" s="3" t="s">
        <v>19</v>
      </c>
      <c r="D42" s="4">
        <v>17.510000000000002</v>
      </c>
      <c r="E42" s="4">
        <v>87.12</v>
      </c>
      <c r="F42" s="4">
        <v>3.62</v>
      </c>
      <c r="G42" s="4">
        <v>80.98</v>
      </c>
      <c r="H42" s="4">
        <v>1.64</v>
      </c>
      <c r="I42" s="4">
        <v>23.26</v>
      </c>
      <c r="J42" s="4">
        <v>24.59</v>
      </c>
    </row>
    <row r="43" spans="1:10" x14ac:dyDescent="0.35">
      <c r="A43" s="3"/>
      <c r="B43" s="3"/>
      <c r="C43" s="3" t="s">
        <v>20</v>
      </c>
      <c r="D43" s="4">
        <v>13.87</v>
      </c>
      <c r="E43" s="4">
        <v>75.22</v>
      </c>
      <c r="F43" s="4">
        <v>5.42</v>
      </c>
      <c r="G43" s="4">
        <v>41.54</v>
      </c>
      <c r="H43" s="4">
        <v>4.8099999999999996</v>
      </c>
      <c r="I43" s="4">
        <v>26.03</v>
      </c>
      <c r="J43" s="4">
        <v>27.15</v>
      </c>
    </row>
    <row r="44" spans="1:10" x14ac:dyDescent="0.35">
      <c r="A44" s="3"/>
      <c r="B44" s="3" t="s">
        <v>25</v>
      </c>
      <c r="C44" s="3" t="s">
        <v>22</v>
      </c>
      <c r="D44" s="4">
        <v>34.1</v>
      </c>
      <c r="E44" s="4">
        <v>55.72</v>
      </c>
      <c r="F44" s="4">
        <v>2.83</v>
      </c>
      <c r="G44" s="4">
        <v>100.53</v>
      </c>
      <c r="H44" s="4">
        <v>-0.06</v>
      </c>
      <c r="I44" s="4">
        <v>44.29</v>
      </c>
      <c r="J44" s="4">
        <v>44.94</v>
      </c>
    </row>
    <row r="45" spans="1:10" x14ac:dyDescent="0.35">
      <c r="A45" s="3"/>
      <c r="B45" s="3"/>
      <c r="C45" s="3" t="s">
        <v>23</v>
      </c>
      <c r="D45" s="4">
        <v>27.46</v>
      </c>
      <c r="E45" s="4">
        <v>70</v>
      </c>
      <c r="F45" s="4">
        <v>3.77</v>
      </c>
      <c r="G45" s="4">
        <v>63.75</v>
      </c>
      <c r="H45" s="4">
        <v>2.76</v>
      </c>
      <c r="I45" s="4">
        <v>51.72</v>
      </c>
      <c r="J45" s="4">
        <v>52.56</v>
      </c>
    </row>
    <row r="46" spans="1:10" x14ac:dyDescent="0.35">
      <c r="A46" s="3" t="s">
        <v>29</v>
      </c>
      <c r="B46" s="3" t="s">
        <v>18</v>
      </c>
      <c r="C46" s="3" t="s">
        <v>19</v>
      </c>
      <c r="D46" s="4">
        <v>12.03</v>
      </c>
      <c r="E46" s="4">
        <v>91.07</v>
      </c>
      <c r="F46" s="4">
        <v>4.3</v>
      </c>
      <c r="G46" s="4">
        <v>77.87</v>
      </c>
      <c r="H46" s="4">
        <v>1.66</v>
      </c>
      <c r="I46" s="4">
        <v>17.95</v>
      </c>
      <c r="J46" s="4">
        <v>19.47</v>
      </c>
    </row>
    <row r="47" spans="1:10" x14ac:dyDescent="0.35">
      <c r="A47" s="3"/>
      <c r="B47" s="3"/>
      <c r="C47" s="3" t="s">
        <v>20</v>
      </c>
      <c r="D47" s="4">
        <v>8.01</v>
      </c>
      <c r="E47" s="4">
        <v>90.79</v>
      </c>
      <c r="F47" s="4">
        <v>4.59</v>
      </c>
      <c r="G47" s="4">
        <v>71</v>
      </c>
      <c r="H47" s="4">
        <v>2.77</v>
      </c>
      <c r="I47" s="4">
        <v>16.72</v>
      </c>
      <c r="J47" s="4">
        <v>17.86</v>
      </c>
    </row>
    <row r="48" spans="1:10" x14ac:dyDescent="0.35">
      <c r="A48" s="3"/>
      <c r="B48" s="3" t="s">
        <v>21</v>
      </c>
      <c r="C48" s="3" t="s">
        <v>22</v>
      </c>
      <c r="D48" s="4">
        <v>14.26</v>
      </c>
      <c r="E48" s="4">
        <v>85.72</v>
      </c>
      <c r="F48" s="4">
        <v>5.82</v>
      </c>
      <c r="G48" s="4">
        <v>75.760000000000005</v>
      </c>
      <c r="H48" s="4">
        <v>2.15</v>
      </c>
      <c r="I48" s="4">
        <v>25.86</v>
      </c>
      <c r="J48" s="4">
        <v>26.94</v>
      </c>
    </row>
    <row r="49" spans="1:10" x14ac:dyDescent="0.35">
      <c r="A49" s="3"/>
      <c r="B49" s="3"/>
      <c r="C49" s="3" t="s">
        <v>23</v>
      </c>
      <c r="D49" s="4">
        <v>16.899999999999999</v>
      </c>
      <c r="E49" s="4">
        <v>80.06</v>
      </c>
      <c r="F49" s="4">
        <v>4.66</v>
      </c>
      <c r="G49" s="4">
        <v>84.97</v>
      </c>
      <c r="H49" s="4">
        <v>1.31</v>
      </c>
      <c r="I49" s="4">
        <v>22.7</v>
      </c>
      <c r="J49" s="4">
        <v>24.59</v>
      </c>
    </row>
    <row r="50" spans="1:10" x14ac:dyDescent="0.35">
      <c r="A50" s="3"/>
      <c r="B50" s="3" t="s">
        <v>24</v>
      </c>
      <c r="C50" s="3" t="s">
        <v>22</v>
      </c>
      <c r="D50" s="4">
        <v>15.73</v>
      </c>
      <c r="E50" s="4">
        <v>80.52</v>
      </c>
      <c r="F50" s="4">
        <v>4</v>
      </c>
      <c r="G50" s="4">
        <v>88</v>
      </c>
      <c r="H50" s="4">
        <v>1.01</v>
      </c>
      <c r="I50" s="4">
        <v>29.73</v>
      </c>
      <c r="J50" s="4">
        <v>31.51</v>
      </c>
    </row>
    <row r="51" spans="1:10" x14ac:dyDescent="0.35">
      <c r="A51" s="3"/>
      <c r="B51" s="3"/>
      <c r="C51" s="3" t="s">
        <v>23</v>
      </c>
      <c r="D51" s="4">
        <v>16.55</v>
      </c>
      <c r="E51" s="4">
        <v>91.27</v>
      </c>
      <c r="F51" s="4">
        <v>5.72</v>
      </c>
      <c r="G51" s="4">
        <v>84.77</v>
      </c>
      <c r="H51" s="4">
        <v>1.56</v>
      </c>
      <c r="I51" s="4">
        <v>31.76</v>
      </c>
      <c r="J51" s="4">
        <v>33.01</v>
      </c>
    </row>
    <row r="52" spans="1:10" x14ac:dyDescent="0.35">
      <c r="A52" s="3"/>
      <c r="B52" s="3"/>
      <c r="C52" s="3" t="s">
        <v>19</v>
      </c>
      <c r="D52" s="4">
        <v>17.96</v>
      </c>
      <c r="E52" s="4">
        <v>87.71</v>
      </c>
      <c r="F52" s="4">
        <v>3.6</v>
      </c>
      <c r="G52" s="4">
        <v>81.36</v>
      </c>
      <c r="H52" s="4">
        <v>1.59</v>
      </c>
      <c r="I52" s="4">
        <v>22.75</v>
      </c>
      <c r="J52" s="4">
        <v>24.07</v>
      </c>
    </row>
    <row r="53" spans="1:10" x14ac:dyDescent="0.35">
      <c r="A53" s="3"/>
      <c r="B53" s="3"/>
      <c r="C53" s="3" t="s">
        <v>20</v>
      </c>
      <c r="D53" s="4">
        <v>14.79</v>
      </c>
      <c r="E53" s="4">
        <v>75.69</v>
      </c>
      <c r="F53" s="4">
        <v>5.44</v>
      </c>
      <c r="G53" s="4">
        <v>41.6</v>
      </c>
      <c r="H53" s="4">
        <v>4.75</v>
      </c>
      <c r="I53" s="4">
        <v>25.97</v>
      </c>
      <c r="J53" s="4">
        <v>27.08</v>
      </c>
    </row>
    <row r="54" spans="1:10" x14ac:dyDescent="0.35">
      <c r="A54" s="3"/>
      <c r="B54" s="3" t="s">
        <v>25</v>
      </c>
      <c r="C54" s="3" t="s">
        <v>22</v>
      </c>
      <c r="D54" s="4">
        <v>33.65</v>
      </c>
      <c r="E54" s="4">
        <v>61.98</v>
      </c>
      <c r="F54" s="4">
        <v>2.74</v>
      </c>
      <c r="G54" s="4">
        <v>96.76</v>
      </c>
      <c r="H54" s="4">
        <v>0.47</v>
      </c>
      <c r="I54" s="4">
        <v>35.69</v>
      </c>
      <c r="J54" s="4">
        <v>36.380000000000003</v>
      </c>
    </row>
    <row r="55" spans="1:10" x14ac:dyDescent="0.35">
      <c r="A55" s="3"/>
      <c r="B55" s="3"/>
      <c r="C55" s="3" t="s">
        <v>23</v>
      </c>
      <c r="D55" s="4">
        <v>28.13</v>
      </c>
      <c r="E55" s="4">
        <v>67.510000000000005</v>
      </c>
      <c r="F55" s="4">
        <v>3.79</v>
      </c>
      <c r="G55" s="4">
        <v>76.56</v>
      </c>
      <c r="H55" s="4">
        <v>2.63</v>
      </c>
      <c r="I55" s="4">
        <v>49.95</v>
      </c>
      <c r="J55" s="4">
        <v>50.8</v>
      </c>
    </row>
    <row r="56" spans="1:10" x14ac:dyDescent="0.35">
      <c r="A56" s="3" t="s">
        <v>30</v>
      </c>
      <c r="B56" s="3" t="s">
        <v>18</v>
      </c>
      <c r="C56" s="3" t="s">
        <v>19</v>
      </c>
      <c r="D56" s="4">
        <v>12.4</v>
      </c>
      <c r="E56" s="4">
        <v>91.23</v>
      </c>
      <c r="F56" s="4">
        <v>4.3099999999999996</v>
      </c>
      <c r="G56" s="4">
        <v>77.010000000000005</v>
      </c>
      <c r="H56" s="4">
        <v>1.71</v>
      </c>
      <c r="I56" s="4">
        <v>17.79</v>
      </c>
      <c r="J56" s="4">
        <v>19.3</v>
      </c>
    </row>
    <row r="57" spans="1:10" x14ac:dyDescent="0.35">
      <c r="A57" s="3"/>
      <c r="B57" s="3"/>
      <c r="C57" s="3" t="s">
        <v>20</v>
      </c>
      <c r="D57" s="4">
        <v>7.84</v>
      </c>
      <c r="E57" s="4">
        <v>90.87</v>
      </c>
      <c r="F57" s="4">
        <v>4.53</v>
      </c>
      <c r="G57" s="4">
        <v>70.62</v>
      </c>
      <c r="H57" s="4">
        <v>2.83</v>
      </c>
      <c r="I57" s="4">
        <v>16.98</v>
      </c>
      <c r="J57" s="4">
        <v>18.12</v>
      </c>
    </row>
    <row r="58" spans="1:10" x14ac:dyDescent="0.35">
      <c r="A58" s="3"/>
      <c r="B58" s="3" t="s">
        <v>21</v>
      </c>
      <c r="C58" s="3" t="s">
        <v>22</v>
      </c>
      <c r="D58" s="4">
        <v>14.92</v>
      </c>
      <c r="E58" s="4">
        <v>91.31</v>
      </c>
      <c r="F58" s="4">
        <v>5.88</v>
      </c>
      <c r="G58" s="4">
        <v>76.73</v>
      </c>
      <c r="H58" s="4">
        <v>2.0299999999999998</v>
      </c>
      <c r="I58" s="4">
        <v>25.54</v>
      </c>
      <c r="J58" s="4">
        <v>26.61</v>
      </c>
    </row>
    <row r="59" spans="1:10" x14ac:dyDescent="0.35">
      <c r="A59" s="3"/>
      <c r="B59" s="3"/>
      <c r="C59" s="3" t="s">
        <v>23</v>
      </c>
      <c r="D59" s="4">
        <v>15.4</v>
      </c>
      <c r="E59" s="4">
        <v>82.23</v>
      </c>
      <c r="F59" s="4">
        <v>4.7</v>
      </c>
      <c r="G59" s="4">
        <v>82.27</v>
      </c>
      <c r="H59" s="4">
        <v>1.54</v>
      </c>
      <c r="I59" s="4">
        <v>22.98</v>
      </c>
      <c r="J59" s="4">
        <v>24.8</v>
      </c>
    </row>
    <row r="60" spans="1:10" x14ac:dyDescent="0.35">
      <c r="A60" s="3"/>
      <c r="B60" s="3" t="s">
        <v>24</v>
      </c>
      <c r="C60" s="3" t="s">
        <v>22</v>
      </c>
      <c r="D60" s="4">
        <v>14.35</v>
      </c>
      <c r="E60" s="4">
        <v>84.32</v>
      </c>
      <c r="F60" s="4">
        <v>4.0199999999999996</v>
      </c>
      <c r="G60" s="4">
        <v>87.94</v>
      </c>
      <c r="H60" s="4">
        <v>1.01</v>
      </c>
      <c r="I60" s="4">
        <v>29.16</v>
      </c>
      <c r="J60" s="4">
        <v>30.93</v>
      </c>
    </row>
    <row r="61" spans="1:10" x14ac:dyDescent="0.35">
      <c r="A61" s="3"/>
      <c r="B61" s="3"/>
      <c r="C61" s="3" t="s">
        <v>23</v>
      </c>
      <c r="D61" s="4">
        <v>14.5</v>
      </c>
      <c r="E61" s="4">
        <v>94.84</v>
      </c>
      <c r="F61" s="4">
        <v>5.73</v>
      </c>
      <c r="G61" s="4">
        <v>83.76</v>
      </c>
      <c r="H61" s="4">
        <v>1.58</v>
      </c>
      <c r="I61" s="4">
        <v>31.2</v>
      </c>
      <c r="J61" s="4">
        <v>32.46</v>
      </c>
    </row>
    <row r="62" spans="1:10" x14ac:dyDescent="0.35">
      <c r="A62" s="3"/>
      <c r="B62" s="3"/>
      <c r="C62" s="3" t="s">
        <v>19</v>
      </c>
      <c r="D62" s="4">
        <v>15.75</v>
      </c>
      <c r="E62" s="4">
        <v>89.4</v>
      </c>
      <c r="F62" s="4">
        <v>3.59</v>
      </c>
      <c r="G62" s="4">
        <v>81.66</v>
      </c>
      <c r="H62" s="4">
        <v>1.62</v>
      </c>
      <c r="I62" s="4">
        <v>22.47</v>
      </c>
      <c r="J62" s="4">
        <v>23.8</v>
      </c>
    </row>
    <row r="63" spans="1:10" x14ac:dyDescent="0.35">
      <c r="A63" s="3"/>
      <c r="B63" s="3"/>
      <c r="C63" s="3" t="s">
        <v>20</v>
      </c>
      <c r="D63" s="4">
        <v>13.39</v>
      </c>
      <c r="E63" s="4">
        <v>78.67</v>
      </c>
      <c r="F63" s="4">
        <v>5.43</v>
      </c>
      <c r="G63" s="4">
        <v>42.32</v>
      </c>
      <c r="H63" s="4">
        <v>4.6500000000000004</v>
      </c>
      <c r="I63" s="4">
        <v>25.67</v>
      </c>
      <c r="J63" s="4">
        <v>26.79</v>
      </c>
    </row>
    <row r="64" spans="1:10" x14ac:dyDescent="0.35">
      <c r="A64" s="3"/>
      <c r="B64" s="3" t="s">
        <v>25</v>
      </c>
      <c r="C64" s="3" t="s">
        <v>22</v>
      </c>
      <c r="D64" s="4">
        <v>30.46</v>
      </c>
      <c r="E64" s="4">
        <v>73.33</v>
      </c>
      <c r="F64" s="4">
        <v>2.57</v>
      </c>
      <c r="G64" s="4">
        <v>97.75</v>
      </c>
      <c r="H64" s="4">
        <v>0.28999999999999998</v>
      </c>
      <c r="I64" s="4">
        <v>36.26</v>
      </c>
      <c r="J64" s="4">
        <v>36.97</v>
      </c>
    </row>
    <row r="65" spans="1:10" x14ac:dyDescent="0.35">
      <c r="A65" s="3"/>
      <c r="B65" s="3"/>
      <c r="C65" s="3" t="s">
        <v>23</v>
      </c>
      <c r="D65" s="4">
        <v>25.96</v>
      </c>
      <c r="E65" s="4">
        <v>77.28</v>
      </c>
      <c r="F65" s="4">
        <v>3.84</v>
      </c>
      <c r="G65" s="4">
        <v>67.11</v>
      </c>
      <c r="H65" s="4">
        <v>2.59</v>
      </c>
      <c r="I65" s="4">
        <v>50.1</v>
      </c>
      <c r="J65" s="4">
        <v>50.95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41A9-E728-4248-A0EF-EC72461D6E5D}">
  <sheetPr>
    <outlinePr summaryBelow="0" summaryRight="0"/>
  </sheetPr>
  <dimension ref="A1:AN70"/>
  <sheetViews>
    <sheetView workbookViewId="0">
      <pane xSplit="3" ySplit="7" topLeftCell="AL61" activePane="bottomRight" state="frozen"/>
      <selection pane="topRight"/>
      <selection pane="bottomLeft"/>
      <selection pane="bottomRight" activeCell="A7" sqref="A7:AL70"/>
    </sheetView>
  </sheetViews>
  <sheetFormatPr defaultRowHeight="14.5" x14ac:dyDescent="0.35"/>
  <cols>
    <col min="1" max="1" width="32" customWidth="1"/>
    <col min="2" max="2" width="59" customWidth="1"/>
    <col min="3" max="3" width="21" customWidth="1"/>
    <col min="4" max="4" width="38" customWidth="1"/>
    <col min="5" max="5" width="29" customWidth="1"/>
    <col min="6" max="6" width="34" customWidth="1"/>
    <col min="7" max="8" width="24" customWidth="1"/>
    <col min="9" max="9" width="58" customWidth="1"/>
    <col min="10" max="10" width="40" customWidth="1"/>
    <col min="11" max="12" width="24" customWidth="1"/>
    <col min="13" max="13" width="30" customWidth="1"/>
    <col min="14" max="14" width="24" customWidth="1"/>
    <col min="15" max="15" width="30" customWidth="1"/>
    <col min="16" max="16" width="37" customWidth="1"/>
    <col min="17" max="17" width="41" customWidth="1"/>
    <col min="18" max="18" width="51" customWidth="1"/>
    <col min="19" max="19" width="29" customWidth="1"/>
    <col min="20" max="20" width="36" customWidth="1"/>
    <col min="21" max="21" width="40" customWidth="1"/>
    <col min="22" max="22" width="50" customWidth="1"/>
    <col min="23" max="23" width="24" customWidth="1"/>
    <col min="24" max="24" width="35" customWidth="1"/>
    <col min="25" max="25" width="30" customWidth="1"/>
    <col min="26" max="26" width="35" customWidth="1"/>
    <col min="27" max="27" width="26" customWidth="1"/>
    <col min="28" max="29" width="24" customWidth="1"/>
    <col min="30" max="30" width="32" customWidth="1"/>
    <col min="31" max="35" width="24" customWidth="1"/>
    <col min="36" max="36" width="38" customWidth="1"/>
    <col min="37" max="37" width="26" customWidth="1"/>
    <col min="38" max="40" width="24" customWidth="1"/>
  </cols>
  <sheetData>
    <row r="1" spans="1:40" ht="23.5" customHeight="1" x14ac:dyDescent="0.35">
      <c r="A1" s="5"/>
      <c r="B1" s="5"/>
      <c r="C1" s="5"/>
      <c r="D1" s="6" t="s">
        <v>2</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row>
    <row r="2" spans="1:40" ht="23.5" customHeight="1" x14ac:dyDescent="0.35">
      <c r="A2" s="5"/>
      <c r="B2" s="5"/>
      <c r="C2" s="5"/>
      <c r="D2" s="6" t="s">
        <v>68</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row>
    <row r="3" spans="1:40" ht="23.5" customHeight="1" x14ac:dyDescent="0.35">
      <c r="A3" s="5"/>
      <c r="B3" s="5"/>
      <c r="C3" s="5"/>
      <c r="D3" s="6" t="s">
        <v>67</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row>
    <row r="5" spans="1:40" x14ac:dyDescent="0.35">
      <c r="A5" t="s">
        <v>66</v>
      </c>
    </row>
    <row r="6" spans="1:40" x14ac:dyDescent="0.35">
      <c r="D6" t="s">
        <v>6</v>
      </c>
    </row>
    <row r="7" spans="1:40" x14ac:dyDescent="0.35">
      <c r="A7" s="2" t="s">
        <v>7</v>
      </c>
      <c r="B7" t="s">
        <v>8</v>
      </c>
      <c r="C7" t="s">
        <v>9</v>
      </c>
      <c r="D7" s="2" t="s">
        <v>65</v>
      </c>
      <c r="E7" s="2" t="s">
        <v>64</v>
      </c>
      <c r="F7" s="2" t="s">
        <v>63</v>
      </c>
      <c r="G7" s="2" t="s">
        <v>62</v>
      </c>
      <c r="H7" s="2" t="s">
        <v>61</v>
      </c>
      <c r="I7" s="2" t="s">
        <v>60</v>
      </c>
      <c r="J7" s="2" t="s">
        <v>59</v>
      </c>
      <c r="K7" s="2" t="s">
        <v>58</v>
      </c>
      <c r="L7" s="2" t="s">
        <v>57</v>
      </c>
      <c r="M7" s="2" t="s">
        <v>56</v>
      </c>
      <c r="N7" s="2" t="s">
        <v>55</v>
      </c>
      <c r="O7" s="2" t="s">
        <v>54</v>
      </c>
      <c r="P7" s="2" t="s">
        <v>53</v>
      </c>
      <c r="Q7" s="2" t="s">
        <v>52</v>
      </c>
      <c r="R7" s="2" t="s">
        <v>51</v>
      </c>
      <c r="S7" s="2" t="s">
        <v>50</v>
      </c>
      <c r="T7" s="2" t="s">
        <v>49</v>
      </c>
      <c r="U7" s="2" t="s">
        <v>48</v>
      </c>
      <c r="V7" s="2" t="s">
        <v>47</v>
      </c>
      <c r="W7" s="2" t="s">
        <v>46</v>
      </c>
      <c r="X7" s="2" t="s">
        <v>45</v>
      </c>
      <c r="Y7" s="2" t="s">
        <v>44</v>
      </c>
      <c r="Z7" s="2" t="s">
        <v>43</v>
      </c>
      <c r="AA7" s="2" t="s">
        <v>42</v>
      </c>
      <c r="AB7" s="2" t="s">
        <v>41</v>
      </c>
      <c r="AC7" s="2" t="s">
        <v>40</v>
      </c>
      <c r="AD7" s="2" t="s">
        <v>39</v>
      </c>
      <c r="AE7" s="2" t="s">
        <v>38</v>
      </c>
      <c r="AF7" s="2" t="s">
        <v>37</v>
      </c>
      <c r="AG7" s="2" t="s">
        <v>36</v>
      </c>
      <c r="AH7" s="2" t="s">
        <v>35</v>
      </c>
      <c r="AI7" s="2" t="s">
        <v>34</v>
      </c>
      <c r="AJ7" s="2" t="s">
        <v>33</v>
      </c>
      <c r="AK7" s="2" t="s">
        <v>32</v>
      </c>
      <c r="AL7" s="2" t="s">
        <v>31</v>
      </c>
    </row>
    <row r="8" spans="1:40" x14ac:dyDescent="0.35">
      <c r="A8" s="7" t="s">
        <v>17</v>
      </c>
      <c r="B8" s="7" t="s">
        <v>18</v>
      </c>
      <c r="C8" s="3" t="s">
        <v>19</v>
      </c>
      <c r="D8" s="4">
        <v>663.63</v>
      </c>
      <c r="E8" s="4">
        <v>8.67</v>
      </c>
      <c r="F8" s="4">
        <v>45.08</v>
      </c>
      <c r="G8" s="4">
        <v>120.87</v>
      </c>
      <c r="H8" s="4">
        <v>7.27</v>
      </c>
      <c r="I8" s="4">
        <v>25.44</v>
      </c>
      <c r="J8" s="4">
        <v>25.35</v>
      </c>
      <c r="K8" s="4">
        <v>0.05</v>
      </c>
      <c r="L8" s="4">
        <v>0.04</v>
      </c>
      <c r="M8" s="4">
        <v>0</v>
      </c>
      <c r="N8" s="4">
        <v>7.91</v>
      </c>
      <c r="O8" s="4">
        <v>685.84</v>
      </c>
      <c r="P8" s="4">
        <v>186</v>
      </c>
      <c r="Q8" s="4">
        <v>184.52</v>
      </c>
      <c r="R8" s="4">
        <v>315.33</v>
      </c>
      <c r="S8" s="4">
        <v>46.76</v>
      </c>
      <c r="T8" s="4">
        <v>24.78</v>
      </c>
      <c r="U8" s="4">
        <v>2.61</v>
      </c>
      <c r="V8" s="4">
        <v>19.38</v>
      </c>
      <c r="W8" s="4">
        <v>732.61</v>
      </c>
      <c r="X8" s="4">
        <v>0</v>
      </c>
      <c r="Y8" s="4">
        <v>2.0499999999999998</v>
      </c>
      <c r="Z8" s="4">
        <v>9.9600000000000009</v>
      </c>
      <c r="AA8" s="4">
        <v>31.61</v>
      </c>
      <c r="AB8" s="4">
        <v>30.85</v>
      </c>
      <c r="AC8" s="4">
        <v>0.76</v>
      </c>
      <c r="AD8" s="4">
        <v>0</v>
      </c>
      <c r="AE8" s="4">
        <v>1.48</v>
      </c>
      <c r="AF8" s="4">
        <v>0.03</v>
      </c>
      <c r="AG8" s="4">
        <v>30.08</v>
      </c>
      <c r="AH8" s="4">
        <v>10.24</v>
      </c>
      <c r="AI8" s="4">
        <v>43.24</v>
      </c>
      <c r="AJ8" s="4">
        <v>0.92</v>
      </c>
      <c r="AK8" s="4">
        <v>0.78</v>
      </c>
      <c r="AL8" s="4">
        <v>5.69</v>
      </c>
    </row>
    <row r="9" spans="1:40" x14ac:dyDescent="0.35">
      <c r="A9" s="7"/>
      <c r="B9" s="7"/>
      <c r="C9" s="3" t="s">
        <v>20</v>
      </c>
      <c r="D9" s="4">
        <v>3759.79</v>
      </c>
      <c r="E9" s="4">
        <v>133.16999999999999</v>
      </c>
      <c r="F9" s="4">
        <v>329.02</v>
      </c>
      <c r="G9" s="4">
        <v>850.75</v>
      </c>
      <c r="H9" s="4">
        <v>86.77</v>
      </c>
      <c r="I9" s="4">
        <v>149.53</v>
      </c>
      <c r="J9" s="4">
        <v>146.47</v>
      </c>
      <c r="K9" s="4">
        <v>0.44</v>
      </c>
      <c r="L9" s="4">
        <v>2.62</v>
      </c>
      <c r="M9" s="4">
        <v>14.93</v>
      </c>
      <c r="N9" s="4">
        <v>135.49</v>
      </c>
      <c r="O9" s="4">
        <v>3469.1</v>
      </c>
      <c r="P9" s="4">
        <v>1047.19</v>
      </c>
      <c r="Q9" s="4">
        <v>1333.44</v>
      </c>
      <c r="R9" s="4">
        <v>1088.47</v>
      </c>
      <c r="S9" s="4">
        <v>713.58</v>
      </c>
      <c r="T9" s="4">
        <v>500.77</v>
      </c>
      <c r="U9" s="4">
        <v>75.34</v>
      </c>
      <c r="V9" s="4">
        <v>137.46</v>
      </c>
      <c r="W9" s="4">
        <v>4182.68</v>
      </c>
      <c r="X9" s="4">
        <v>0.35</v>
      </c>
      <c r="Y9" s="4">
        <v>60.55</v>
      </c>
      <c r="Z9" s="4">
        <v>67.87</v>
      </c>
      <c r="AA9" s="4">
        <v>201.03</v>
      </c>
      <c r="AB9" s="4">
        <v>3.71</v>
      </c>
      <c r="AC9" s="4">
        <v>197.32</v>
      </c>
      <c r="AD9" s="4">
        <v>15.02</v>
      </c>
      <c r="AE9" s="4">
        <v>99.78</v>
      </c>
      <c r="AF9" s="4">
        <v>1.62</v>
      </c>
      <c r="AG9" s="4">
        <v>23.66</v>
      </c>
      <c r="AH9" s="4">
        <v>8.1300000000000008</v>
      </c>
      <c r="AI9" s="4">
        <v>504.76</v>
      </c>
      <c r="AJ9" s="4">
        <v>10.050000000000001</v>
      </c>
      <c r="AK9" s="4">
        <v>116.13</v>
      </c>
      <c r="AL9" s="4">
        <v>19.14</v>
      </c>
    </row>
    <row r="10" spans="1:40" x14ac:dyDescent="0.35">
      <c r="A10" s="7"/>
      <c r="B10" s="7" t="s">
        <v>21</v>
      </c>
      <c r="C10" s="3" t="s">
        <v>22</v>
      </c>
      <c r="D10" s="4">
        <v>347.7</v>
      </c>
      <c r="E10" s="4">
        <v>22.06</v>
      </c>
      <c r="F10" s="4">
        <v>41.68</v>
      </c>
      <c r="G10" s="4">
        <v>85.25</v>
      </c>
      <c r="H10" s="4">
        <v>0.05</v>
      </c>
      <c r="I10" s="4">
        <v>9.16</v>
      </c>
      <c r="J10" s="4">
        <v>8.8800000000000008</v>
      </c>
      <c r="K10" s="4">
        <v>0.01</v>
      </c>
      <c r="L10" s="4">
        <v>0.27</v>
      </c>
      <c r="M10" s="4">
        <v>0</v>
      </c>
      <c r="N10" s="4">
        <v>15.99</v>
      </c>
      <c r="O10" s="4">
        <v>410.19</v>
      </c>
      <c r="P10" s="4">
        <v>111.91</v>
      </c>
      <c r="Q10" s="4">
        <v>131.66</v>
      </c>
      <c r="R10" s="4">
        <v>166.61</v>
      </c>
      <c r="S10" s="4">
        <v>0.33</v>
      </c>
      <c r="T10" s="4">
        <v>0.02</v>
      </c>
      <c r="U10" s="4">
        <v>0</v>
      </c>
      <c r="V10" s="4">
        <v>0.3</v>
      </c>
      <c r="W10" s="4">
        <v>410.51</v>
      </c>
      <c r="X10" s="4">
        <v>0</v>
      </c>
      <c r="Y10" s="4">
        <v>12.39</v>
      </c>
      <c r="Z10" s="4">
        <v>1.39</v>
      </c>
      <c r="AA10" s="4">
        <v>16.899999999999999</v>
      </c>
      <c r="AB10" s="4">
        <v>16.899999999999999</v>
      </c>
      <c r="AC10" s="4">
        <v>0</v>
      </c>
      <c r="AD10" s="4">
        <v>0</v>
      </c>
      <c r="AE10" s="4">
        <v>0.2</v>
      </c>
      <c r="AF10" s="4">
        <v>0.05</v>
      </c>
      <c r="AG10" s="4">
        <v>39.11</v>
      </c>
      <c r="AH10" s="4">
        <v>24.55</v>
      </c>
      <c r="AI10" s="4">
        <v>6.87</v>
      </c>
      <c r="AJ10" s="4">
        <v>0.89</v>
      </c>
      <c r="AK10" s="4">
        <v>2.98</v>
      </c>
      <c r="AL10" s="4">
        <v>0</v>
      </c>
    </row>
    <row r="11" spans="1:40" x14ac:dyDescent="0.35">
      <c r="A11" s="7"/>
      <c r="B11" s="7"/>
      <c r="C11" s="3" t="s">
        <v>23</v>
      </c>
      <c r="D11" s="4">
        <v>203.62</v>
      </c>
      <c r="E11" s="4">
        <v>12.78</v>
      </c>
      <c r="F11" s="4">
        <v>15.45</v>
      </c>
      <c r="G11" s="4">
        <v>70.72</v>
      </c>
      <c r="H11" s="4">
        <v>0.55000000000000004</v>
      </c>
      <c r="I11" s="4">
        <v>8.9700000000000006</v>
      </c>
      <c r="J11" s="4">
        <v>8.8699999999999992</v>
      </c>
      <c r="K11" s="4">
        <v>0</v>
      </c>
      <c r="L11" s="4">
        <v>0.1</v>
      </c>
      <c r="M11" s="4">
        <v>0</v>
      </c>
      <c r="N11" s="4">
        <v>10.54</v>
      </c>
      <c r="O11" s="4">
        <v>251.93</v>
      </c>
      <c r="P11" s="4">
        <v>70.540000000000006</v>
      </c>
      <c r="Q11" s="4">
        <v>78.62</v>
      </c>
      <c r="R11" s="4">
        <v>102.77</v>
      </c>
      <c r="S11" s="4">
        <v>0.2</v>
      </c>
      <c r="T11" s="4">
        <v>0.04</v>
      </c>
      <c r="U11" s="4">
        <v>7.0000000000000007E-2</v>
      </c>
      <c r="V11" s="4">
        <v>0.1</v>
      </c>
      <c r="W11" s="4">
        <v>252.13</v>
      </c>
      <c r="X11" s="4">
        <v>0</v>
      </c>
      <c r="Y11" s="4">
        <v>6.02</v>
      </c>
      <c r="Z11" s="4">
        <v>2.14</v>
      </c>
      <c r="AA11" s="4">
        <v>6.91</v>
      </c>
      <c r="AB11" s="4">
        <v>6.91</v>
      </c>
      <c r="AC11" s="4">
        <v>0</v>
      </c>
      <c r="AD11" s="4">
        <v>0</v>
      </c>
      <c r="AE11" s="4">
        <v>0.6</v>
      </c>
      <c r="AF11" s="4">
        <v>0.13</v>
      </c>
      <c r="AG11" s="4">
        <v>23.05</v>
      </c>
      <c r="AH11" s="4">
        <v>12.5</v>
      </c>
      <c r="AI11" s="4">
        <v>6.82</v>
      </c>
      <c r="AJ11" s="4">
        <v>0.34</v>
      </c>
      <c r="AK11" s="4">
        <v>0.54</v>
      </c>
      <c r="AL11" s="4">
        <v>0</v>
      </c>
    </row>
    <row r="12" spans="1:40" x14ac:dyDescent="0.35">
      <c r="A12" s="7"/>
      <c r="B12" s="7"/>
      <c r="C12" s="3" t="s">
        <v>19</v>
      </c>
      <c r="D12" s="4">
        <v>110.58</v>
      </c>
      <c r="E12" s="4">
        <v>0.71</v>
      </c>
      <c r="F12" s="4">
        <v>13.73</v>
      </c>
      <c r="G12" s="4">
        <v>42.59</v>
      </c>
      <c r="H12" s="4">
        <v>2.42</v>
      </c>
      <c r="I12" s="4">
        <v>3.03</v>
      </c>
      <c r="J12" s="4">
        <v>3.03</v>
      </c>
      <c r="K12" s="4">
        <v>0</v>
      </c>
      <c r="L12" s="4">
        <v>0</v>
      </c>
      <c r="M12" s="4">
        <v>0</v>
      </c>
      <c r="N12" s="4">
        <v>0.66</v>
      </c>
      <c r="O12" s="4">
        <v>124.5</v>
      </c>
      <c r="P12" s="4">
        <v>20.85</v>
      </c>
      <c r="Q12" s="4">
        <v>36.04</v>
      </c>
      <c r="R12" s="4">
        <v>67.599999999999994</v>
      </c>
      <c r="S12" s="4">
        <v>5.1100000000000003</v>
      </c>
      <c r="T12" s="4">
        <v>0.03</v>
      </c>
      <c r="U12" s="4">
        <v>0.08</v>
      </c>
      <c r="V12" s="4">
        <v>5</v>
      </c>
      <c r="W12" s="4">
        <v>129.6</v>
      </c>
      <c r="X12" s="4">
        <v>0</v>
      </c>
      <c r="Y12" s="4">
        <v>6.84</v>
      </c>
      <c r="Z12" s="4">
        <v>1.1200000000000001</v>
      </c>
      <c r="AA12" s="4">
        <v>11.3</v>
      </c>
      <c r="AB12" s="4">
        <v>11.3</v>
      </c>
      <c r="AC12" s="4">
        <v>0</v>
      </c>
      <c r="AD12" s="4">
        <v>0</v>
      </c>
      <c r="AE12" s="4">
        <v>0.62</v>
      </c>
      <c r="AF12" s="4">
        <v>7.0000000000000007E-2</v>
      </c>
      <c r="AG12" s="4">
        <v>2.63</v>
      </c>
      <c r="AH12" s="4">
        <v>3.03</v>
      </c>
      <c r="AI12" s="4">
        <v>7.39</v>
      </c>
      <c r="AJ12" s="4">
        <v>0.12</v>
      </c>
      <c r="AK12" s="4">
        <v>1.81</v>
      </c>
      <c r="AL12" s="4">
        <v>5.14</v>
      </c>
    </row>
    <row r="13" spans="1:40" x14ac:dyDescent="0.35">
      <c r="A13" s="7"/>
      <c r="B13" s="7" t="s">
        <v>24</v>
      </c>
      <c r="C13" s="3" t="s">
        <v>22</v>
      </c>
      <c r="D13" s="4">
        <v>383.2</v>
      </c>
      <c r="E13" s="4">
        <v>19.78</v>
      </c>
      <c r="F13" s="4">
        <v>53.08</v>
      </c>
      <c r="G13" s="4">
        <v>183.94</v>
      </c>
      <c r="H13" s="4">
        <v>0.64</v>
      </c>
      <c r="I13" s="4">
        <v>11.67</v>
      </c>
      <c r="J13" s="4">
        <v>11.42</v>
      </c>
      <c r="K13" s="4">
        <v>0.11</v>
      </c>
      <c r="L13" s="4">
        <v>0.15</v>
      </c>
      <c r="M13" s="4">
        <v>0.2</v>
      </c>
      <c r="N13" s="4">
        <v>22.01</v>
      </c>
      <c r="O13" s="4">
        <v>453.88</v>
      </c>
      <c r="P13" s="4">
        <v>74.08</v>
      </c>
      <c r="Q13" s="4">
        <v>72.459999999999994</v>
      </c>
      <c r="R13" s="4">
        <v>307.33</v>
      </c>
      <c r="S13" s="4">
        <v>49.62</v>
      </c>
      <c r="T13" s="4">
        <v>13.76</v>
      </c>
      <c r="U13" s="4">
        <v>5.13</v>
      </c>
      <c r="V13" s="4">
        <v>30.72</v>
      </c>
      <c r="W13" s="4">
        <v>503.49</v>
      </c>
      <c r="X13" s="4">
        <v>0</v>
      </c>
      <c r="Y13" s="4">
        <v>19.55</v>
      </c>
      <c r="Z13" s="4">
        <v>14.67</v>
      </c>
      <c r="AA13" s="4">
        <v>7.9</v>
      </c>
      <c r="AB13" s="4">
        <v>1.39</v>
      </c>
      <c r="AC13" s="4">
        <v>6.51</v>
      </c>
      <c r="AD13" s="4">
        <v>0.19</v>
      </c>
      <c r="AE13" s="4">
        <v>6.36</v>
      </c>
      <c r="AF13" s="4">
        <v>0.09</v>
      </c>
      <c r="AG13" s="4">
        <v>76.63</v>
      </c>
      <c r="AH13" s="4">
        <v>6.04</v>
      </c>
      <c r="AI13" s="4">
        <v>-5.68</v>
      </c>
      <c r="AJ13" s="4">
        <v>0.46</v>
      </c>
      <c r="AK13" s="4">
        <v>41.85</v>
      </c>
      <c r="AL13" s="4">
        <v>8.07</v>
      </c>
    </row>
    <row r="14" spans="1:40" x14ac:dyDescent="0.35">
      <c r="A14" s="7"/>
      <c r="B14" s="7"/>
      <c r="C14" s="3" t="s">
        <v>23</v>
      </c>
      <c r="D14" s="4">
        <v>432.02</v>
      </c>
      <c r="E14" s="4">
        <v>18.47</v>
      </c>
      <c r="F14" s="4">
        <v>75.45</v>
      </c>
      <c r="G14" s="4">
        <v>149.83000000000001</v>
      </c>
      <c r="H14" s="4">
        <v>1.72</v>
      </c>
      <c r="I14" s="4">
        <v>15.77</v>
      </c>
      <c r="J14" s="4">
        <v>15.5</v>
      </c>
      <c r="K14" s="4">
        <v>0.03</v>
      </c>
      <c r="L14" s="4">
        <v>0.25</v>
      </c>
      <c r="M14" s="4">
        <v>2.37</v>
      </c>
      <c r="N14" s="4">
        <v>32.06</v>
      </c>
      <c r="O14" s="4">
        <v>423.2</v>
      </c>
      <c r="P14" s="4">
        <v>87.93</v>
      </c>
      <c r="Q14" s="4">
        <v>87.25</v>
      </c>
      <c r="R14" s="4">
        <v>248.02</v>
      </c>
      <c r="S14" s="4">
        <v>70.25</v>
      </c>
      <c r="T14" s="4">
        <v>29.53</v>
      </c>
      <c r="U14" s="4">
        <v>2.48</v>
      </c>
      <c r="V14" s="4">
        <v>38.24</v>
      </c>
      <c r="W14" s="4">
        <v>493.45</v>
      </c>
      <c r="X14" s="4">
        <v>0</v>
      </c>
      <c r="Y14" s="4">
        <v>23.07</v>
      </c>
      <c r="Z14" s="4">
        <v>10.34</v>
      </c>
      <c r="AA14" s="4">
        <v>37.03</v>
      </c>
      <c r="AB14" s="4">
        <v>17.25</v>
      </c>
      <c r="AC14" s="4">
        <v>19.78</v>
      </c>
      <c r="AD14" s="4">
        <v>2.38</v>
      </c>
      <c r="AE14" s="4">
        <v>6.28</v>
      </c>
      <c r="AF14" s="4">
        <v>0.09</v>
      </c>
      <c r="AG14" s="4">
        <v>66.739999999999995</v>
      </c>
      <c r="AH14" s="4">
        <v>1.76</v>
      </c>
      <c r="AI14" s="4">
        <v>23.35</v>
      </c>
      <c r="AJ14" s="4">
        <v>0.73</v>
      </c>
      <c r="AK14" s="4">
        <v>50.34</v>
      </c>
      <c r="AL14" s="4">
        <v>4.74</v>
      </c>
    </row>
    <row r="15" spans="1:40" x14ac:dyDescent="0.35">
      <c r="A15" s="7"/>
      <c r="B15" s="7"/>
      <c r="C15" s="3" t="s">
        <v>19</v>
      </c>
      <c r="D15" s="4">
        <v>1585.4</v>
      </c>
      <c r="E15" s="4">
        <v>46.02</v>
      </c>
      <c r="F15" s="4">
        <v>154.47999999999999</v>
      </c>
      <c r="G15" s="4">
        <v>592.27</v>
      </c>
      <c r="H15" s="4">
        <v>16.75</v>
      </c>
      <c r="I15" s="4">
        <v>56.4</v>
      </c>
      <c r="J15" s="4">
        <v>55.68</v>
      </c>
      <c r="K15" s="4">
        <v>0.19</v>
      </c>
      <c r="L15" s="4">
        <v>0.53</v>
      </c>
      <c r="M15" s="4">
        <v>10.82</v>
      </c>
      <c r="N15" s="4">
        <v>77.98</v>
      </c>
      <c r="O15" s="4">
        <v>1436.99</v>
      </c>
      <c r="P15" s="4">
        <v>383.33</v>
      </c>
      <c r="Q15" s="4">
        <v>317.32</v>
      </c>
      <c r="R15" s="4">
        <v>736.35</v>
      </c>
      <c r="S15" s="4">
        <v>435.38</v>
      </c>
      <c r="T15" s="4">
        <v>155.51</v>
      </c>
      <c r="U15" s="4">
        <v>118</v>
      </c>
      <c r="V15" s="4">
        <v>161.87</v>
      </c>
      <c r="W15" s="4">
        <v>1872.37</v>
      </c>
      <c r="X15" s="4">
        <v>0</v>
      </c>
      <c r="Y15" s="4">
        <v>54.05</v>
      </c>
      <c r="Z15" s="4">
        <v>9.51</v>
      </c>
      <c r="AA15" s="4">
        <v>75.599999999999994</v>
      </c>
      <c r="AB15" s="4">
        <v>11.53</v>
      </c>
      <c r="AC15" s="4">
        <v>64.069999999999993</v>
      </c>
      <c r="AD15" s="4">
        <v>9</v>
      </c>
      <c r="AE15" s="4">
        <v>37.729999999999997</v>
      </c>
      <c r="AF15" s="4">
        <v>1.87</v>
      </c>
      <c r="AG15" s="4">
        <v>55.68</v>
      </c>
      <c r="AH15" s="4">
        <v>41.41</v>
      </c>
      <c r="AI15" s="4">
        <v>207.68</v>
      </c>
      <c r="AJ15" s="4">
        <v>3.15</v>
      </c>
      <c r="AK15" s="4">
        <v>97.1</v>
      </c>
      <c r="AL15" s="4">
        <v>20.7</v>
      </c>
    </row>
    <row r="16" spans="1:40" x14ac:dyDescent="0.35">
      <c r="A16" s="7"/>
      <c r="B16" s="7"/>
      <c r="C16" s="3" t="s">
        <v>20</v>
      </c>
      <c r="D16" s="4">
        <v>948.96</v>
      </c>
      <c r="E16" s="4">
        <v>14.22</v>
      </c>
      <c r="F16" s="4">
        <v>73.489999999999995</v>
      </c>
      <c r="G16" s="4">
        <v>430.35</v>
      </c>
      <c r="H16" s="4">
        <v>10.37</v>
      </c>
      <c r="I16" s="4">
        <v>29.88</v>
      </c>
      <c r="J16" s="4">
        <v>29.54</v>
      </c>
      <c r="K16" s="4">
        <v>0.02</v>
      </c>
      <c r="L16" s="4">
        <v>0.32</v>
      </c>
      <c r="M16" s="4">
        <v>0.14000000000000001</v>
      </c>
      <c r="N16" s="4">
        <v>32.479999999999997</v>
      </c>
      <c r="O16" s="4">
        <v>1137.8900000000001</v>
      </c>
      <c r="P16" s="4">
        <v>384.74</v>
      </c>
      <c r="Q16" s="4">
        <v>582.30999999999995</v>
      </c>
      <c r="R16" s="4">
        <v>170.84</v>
      </c>
      <c r="S16" s="4">
        <v>87.53</v>
      </c>
      <c r="T16" s="4">
        <v>47.71</v>
      </c>
      <c r="U16" s="4">
        <v>24.14</v>
      </c>
      <c r="V16" s="4">
        <v>15.68</v>
      </c>
      <c r="W16" s="4">
        <v>1225.42</v>
      </c>
      <c r="X16" s="4">
        <v>0</v>
      </c>
      <c r="Y16" s="4">
        <v>5.92</v>
      </c>
      <c r="Z16" s="4">
        <v>0</v>
      </c>
      <c r="AA16" s="4">
        <v>0.06</v>
      </c>
      <c r="AB16" s="4">
        <v>0</v>
      </c>
      <c r="AC16" s="4">
        <v>0.06</v>
      </c>
      <c r="AD16" s="4">
        <v>0.14000000000000001</v>
      </c>
      <c r="AE16" s="4">
        <v>12.61</v>
      </c>
      <c r="AF16" s="4">
        <v>0.24</v>
      </c>
      <c r="AG16" s="4">
        <v>1.54</v>
      </c>
      <c r="AH16" s="4">
        <v>4.2699999999999996</v>
      </c>
      <c r="AI16" s="4">
        <v>253.48</v>
      </c>
      <c r="AJ16" s="4">
        <v>5</v>
      </c>
      <c r="AK16" s="4">
        <v>2.46</v>
      </c>
      <c r="AL16" s="4">
        <v>7.0000000000000007E-2</v>
      </c>
    </row>
    <row r="17" spans="1:38" x14ac:dyDescent="0.35">
      <c r="A17" s="7"/>
      <c r="B17" s="7" t="s">
        <v>25</v>
      </c>
      <c r="C17" s="3" t="s">
        <v>22</v>
      </c>
      <c r="D17" s="4">
        <v>15.58</v>
      </c>
      <c r="E17" s="4">
        <v>0.35</v>
      </c>
      <c r="F17" s="4">
        <v>16.440000000000001</v>
      </c>
      <c r="G17" s="4">
        <v>15.54</v>
      </c>
      <c r="H17" s="4">
        <v>0</v>
      </c>
      <c r="I17" s="4">
        <v>0.02</v>
      </c>
      <c r="J17" s="4">
        <v>0.02</v>
      </c>
      <c r="K17" s="4">
        <v>0</v>
      </c>
      <c r="L17" s="4">
        <v>0</v>
      </c>
      <c r="M17" s="4">
        <v>0.95</v>
      </c>
      <c r="N17" s="4">
        <v>5.41</v>
      </c>
      <c r="O17" s="4">
        <v>15.2</v>
      </c>
      <c r="P17" s="4">
        <v>10.83</v>
      </c>
      <c r="Q17" s="4">
        <v>0</v>
      </c>
      <c r="R17" s="4">
        <v>4.37</v>
      </c>
      <c r="S17" s="4">
        <v>10.15</v>
      </c>
      <c r="T17" s="4">
        <v>10.15</v>
      </c>
      <c r="U17" s="4">
        <v>0</v>
      </c>
      <c r="V17" s="4">
        <v>0</v>
      </c>
      <c r="W17" s="4">
        <v>25.35</v>
      </c>
      <c r="X17" s="4">
        <v>0</v>
      </c>
      <c r="Y17" s="4">
        <v>1.65</v>
      </c>
      <c r="Z17" s="4">
        <v>0</v>
      </c>
      <c r="AA17" s="4">
        <v>0</v>
      </c>
      <c r="AB17" s="4">
        <v>0</v>
      </c>
      <c r="AC17" s="4">
        <v>0</v>
      </c>
      <c r="AD17" s="4">
        <v>1.1599999999999999</v>
      </c>
      <c r="AE17" s="4">
        <v>0.02</v>
      </c>
      <c r="AF17" s="4">
        <v>0</v>
      </c>
      <c r="AG17" s="4">
        <v>0</v>
      </c>
      <c r="AH17" s="4">
        <v>0</v>
      </c>
      <c r="AI17" s="4">
        <v>2.04</v>
      </c>
      <c r="AJ17" s="4">
        <v>0.12</v>
      </c>
      <c r="AK17" s="4">
        <v>0</v>
      </c>
      <c r="AL17" s="4">
        <v>0</v>
      </c>
    </row>
    <row r="18" spans="1:38" x14ac:dyDescent="0.35">
      <c r="A18" s="7"/>
      <c r="B18" s="7"/>
      <c r="C18" s="3" t="s">
        <v>23</v>
      </c>
      <c r="D18" s="4">
        <v>211.05</v>
      </c>
      <c r="E18" s="4">
        <v>51.61</v>
      </c>
      <c r="F18" s="4">
        <v>63.38</v>
      </c>
      <c r="G18" s="4">
        <v>138.61000000000001</v>
      </c>
      <c r="H18" s="4">
        <v>0.02</v>
      </c>
      <c r="I18" s="4">
        <v>2.35</v>
      </c>
      <c r="J18" s="4">
        <v>2.34</v>
      </c>
      <c r="K18" s="4">
        <v>0</v>
      </c>
      <c r="L18" s="4">
        <v>0</v>
      </c>
      <c r="M18" s="4">
        <v>4.79</v>
      </c>
      <c r="N18" s="4">
        <v>39.75</v>
      </c>
      <c r="O18" s="4">
        <v>139.47</v>
      </c>
      <c r="P18" s="4">
        <v>101.88</v>
      </c>
      <c r="Q18" s="4">
        <v>5.41</v>
      </c>
      <c r="R18" s="4">
        <v>32.18</v>
      </c>
      <c r="S18" s="4">
        <v>107.48</v>
      </c>
      <c r="T18" s="4">
        <v>84.5</v>
      </c>
      <c r="U18" s="4">
        <v>2.27</v>
      </c>
      <c r="V18" s="4">
        <v>20.71</v>
      </c>
      <c r="W18" s="4">
        <v>246.95</v>
      </c>
      <c r="X18" s="4">
        <v>0.01</v>
      </c>
      <c r="Y18" s="4">
        <v>31.19</v>
      </c>
      <c r="Z18" s="4">
        <v>0</v>
      </c>
      <c r="AA18" s="4">
        <v>0.5</v>
      </c>
      <c r="AB18" s="4">
        <v>0.5</v>
      </c>
      <c r="AC18" s="4">
        <v>0</v>
      </c>
      <c r="AD18" s="4">
        <v>16.239999999999998</v>
      </c>
      <c r="AE18" s="4">
        <v>1.23</v>
      </c>
      <c r="AF18" s="4">
        <v>0.85</v>
      </c>
      <c r="AG18" s="4">
        <v>3.62</v>
      </c>
      <c r="AH18" s="4">
        <v>0</v>
      </c>
      <c r="AI18" s="4">
        <v>62.35</v>
      </c>
      <c r="AJ18" s="4">
        <v>0.95</v>
      </c>
      <c r="AK18" s="4">
        <v>0</v>
      </c>
      <c r="AL18" s="4">
        <v>0</v>
      </c>
    </row>
    <row r="19" spans="1:38" x14ac:dyDescent="0.35">
      <c r="A19" s="7" t="s">
        <v>26</v>
      </c>
      <c r="B19" s="7" t="s">
        <v>18</v>
      </c>
      <c r="C19" s="3" t="s">
        <v>19</v>
      </c>
      <c r="D19" s="4">
        <v>663.61</v>
      </c>
      <c r="E19" s="4">
        <v>6.2</v>
      </c>
      <c r="F19" s="4">
        <v>42.27</v>
      </c>
      <c r="G19" s="4">
        <v>121.32</v>
      </c>
      <c r="H19" s="4">
        <v>7.19</v>
      </c>
      <c r="I19" s="4">
        <v>25.42</v>
      </c>
      <c r="J19" s="4">
        <v>25.33</v>
      </c>
      <c r="K19" s="4">
        <v>0.05</v>
      </c>
      <c r="L19" s="4">
        <v>0.04</v>
      </c>
      <c r="M19" s="4">
        <v>0</v>
      </c>
      <c r="N19" s="4">
        <v>20.28</v>
      </c>
      <c r="O19" s="4">
        <v>697.39</v>
      </c>
      <c r="P19" s="4">
        <v>182.92</v>
      </c>
      <c r="Q19" s="4">
        <v>184.98</v>
      </c>
      <c r="R19" s="4">
        <v>329.49</v>
      </c>
      <c r="S19" s="4">
        <v>43.97</v>
      </c>
      <c r="T19" s="4">
        <v>24.93</v>
      </c>
      <c r="U19" s="4">
        <v>2.52</v>
      </c>
      <c r="V19" s="4">
        <v>16.52</v>
      </c>
      <c r="W19" s="4">
        <v>741.36</v>
      </c>
      <c r="X19" s="4">
        <v>0</v>
      </c>
      <c r="Y19" s="4">
        <v>0.8</v>
      </c>
      <c r="Z19" s="4">
        <v>9.9600000000000009</v>
      </c>
      <c r="AA19" s="4">
        <v>33.090000000000003</v>
      </c>
      <c r="AB19" s="4">
        <v>32.340000000000003</v>
      </c>
      <c r="AC19" s="4">
        <v>0.75</v>
      </c>
      <c r="AD19" s="4">
        <v>0</v>
      </c>
      <c r="AE19" s="4">
        <v>1.48</v>
      </c>
      <c r="AF19" s="4">
        <v>0.03</v>
      </c>
      <c r="AG19" s="4">
        <v>30.08</v>
      </c>
      <c r="AH19" s="4">
        <v>10.25</v>
      </c>
      <c r="AI19" s="4">
        <v>43.15</v>
      </c>
      <c r="AJ19" s="4">
        <v>1.86</v>
      </c>
      <c r="AK19" s="4">
        <v>0.78</v>
      </c>
      <c r="AL19" s="4">
        <v>5.69</v>
      </c>
    </row>
    <row r="20" spans="1:38" x14ac:dyDescent="0.35">
      <c r="A20" s="7"/>
      <c r="B20" s="7"/>
      <c r="C20" s="3" t="s">
        <v>20</v>
      </c>
      <c r="D20" s="4">
        <v>3741.45</v>
      </c>
      <c r="E20" s="4">
        <v>159.82</v>
      </c>
      <c r="F20" s="4">
        <v>371.66</v>
      </c>
      <c r="G20" s="4">
        <v>858.55</v>
      </c>
      <c r="H20" s="4">
        <v>86.95</v>
      </c>
      <c r="I20" s="4">
        <v>151.28</v>
      </c>
      <c r="J20" s="4">
        <v>148.26</v>
      </c>
      <c r="K20" s="4">
        <v>0.41</v>
      </c>
      <c r="L20" s="4">
        <v>2.61</v>
      </c>
      <c r="M20" s="4">
        <v>14.61</v>
      </c>
      <c r="N20" s="4">
        <v>146.05000000000001</v>
      </c>
      <c r="O20" s="4">
        <v>3529.08</v>
      </c>
      <c r="P20" s="4">
        <v>1003.9</v>
      </c>
      <c r="Q20" s="4">
        <v>1340.93</v>
      </c>
      <c r="R20" s="4">
        <v>1184.25</v>
      </c>
      <c r="S20" s="4">
        <v>716.86</v>
      </c>
      <c r="T20" s="4">
        <v>499.89</v>
      </c>
      <c r="U20" s="4">
        <v>74.84</v>
      </c>
      <c r="V20" s="4">
        <v>142.13</v>
      </c>
      <c r="W20" s="4">
        <v>4245.9399999999996</v>
      </c>
      <c r="X20" s="4">
        <v>0.39</v>
      </c>
      <c r="Y20" s="4">
        <v>51.64</v>
      </c>
      <c r="Z20" s="4">
        <v>67.84</v>
      </c>
      <c r="AA20" s="4">
        <v>206.69</v>
      </c>
      <c r="AB20" s="4">
        <v>3.78</v>
      </c>
      <c r="AC20" s="4">
        <v>202.91</v>
      </c>
      <c r="AD20" s="4">
        <v>14.02</v>
      </c>
      <c r="AE20" s="4">
        <v>96.8</v>
      </c>
      <c r="AF20" s="4">
        <v>1.55</v>
      </c>
      <c r="AG20" s="4">
        <v>23.66</v>
      </c>
      <c r="AH20" s="4">
        <v>8.1300000000000008</v>
      </c>
      <c r="AI20" s="4">
        <v>504.1</v>
      </c>
      <c r="AJ20" s="4">
        <v>20.010000000000002</v>
      </c>
      <c r="AK20" s="4">
        <v>116.13</v>
      </c>
      <c r="AL20" s="4">
        <v>19.12</v>
      </c>
    </row>
    <row r="21" spans="1:38" x14ac:dyDescent="0.35">
      <c r="A21" s="7"/>
      <c r="B21" s="7" t="s">
        <v>21</v>
      </c>
      <c r="C21" s="3" t="s">
        <v>22</v>
      </c>
      <c r="D21" s="4">
        <v>348.26</v>
      </c>
      <c r="E21" s="4">
        <v>20.88</v>
      </c>
      <c r="F21" s="4">
        <v>45.42</v>
      </c>
      <c r="G21" s="4">
        <v>91</v>
      </c>
      <c r="H21" s="4">
        <v>0.05</v>
      </c>
      <c r="I21" s="4">
        <v>9.3800000000000008</v>
      </c>
      <c r="J21" s="4">
        <v>9.1</v>
      </c>
      <c r="K21" s="4">
        <v>0.01</v>
      </c>
      <c r="L21" s="4">
        <v>0.27</v>
      </c>
      <c r="M21" s="4">
        <v>0</v>
      </c>
      <c r="N21" s="4">
        <v>8.25</v>
      </c>
      <c r="O21" s="4">
        <v>410.79</v>
      </c>
      <c r="P21" s="4">
        <v>120.7</v>
      </c>
      <c r="Q21" s="4">
        <v>128.44</v>
      </c>
      <c r="R21" s="4">
        <v>161.65</v>
      </c>
      <c r="S21" s="4">
        <v>0.25</v>
      </c>
      <c r="T21" s="4">
        <v>0.02</v>
      </c>
      <c r="U21" s="4">
        <v>0</v>
      </c>
      <c r="V21" s="4">
        <v>0.22</v>
      </c>
      <c r="W21" s="4">
        <v>411.04</v>
      </c>
      <c r="X21" s="4">
        <v>0.83</v>
      </c>
      <c r="Y21" s="4">
        <v>11.63</v>
      </c>
      <c r="Z21" s="4">
        <v>1.4</v>
      </c>
      <c r="AA21" s="4">
        <v>16.600000000000001</v>
      </c>
      <c r="AB21" s="4">
        <v>16.600000000000001</v>
      </c>
      <c r="AC21" s="4">
        <v>0</v>
      </c>
      <c r="AD21" s="4">
        <v>0</v>
      </c>
      <c r="AE21" s="4">
        <v>2.13</v>
      </c>
      <c r="AF21" s="4">
        <v>0.05</v>
      </c>
      <c r="AG21" s="4">
        <v>39.82</v>
      </c>
      <c r="AH21" s="4">
        <v>25.2</v>
      </c>
      <c r="AI21" s="4">
        <v>4.16</v>
      </c>
      <c r="AJ21" s="4">
        <v>1.51</v>
      </c>
      <c r="AK21" s="4">
        <v>2.73</v>
      </c>
      <c r="AL21" s="4">
        <v>0</v>
      </c>
    </row>
    <row r="22" spans="1:38" x14ac:dyDescent="0.35">
      <c r="A22" s="7"/>
      <c r="B22" s="7"/>
      <c r="C22" s="3" t="s">
        <v>23</v>
      </c>
      <c r="D22" s="4">
        <v>203.8</v>
      </c>
      <c r="E22" s="4">
        <v>12.97</v>
      </c>
      <c r="F22" s="4">
        <v>17.22</v>
      </c>
      <c r="G22" s="4">
        <v>70.209999999999994</v>
      </c>
      <c r="H22" s="4">
        <v>0.55000000000000004</v>
      </c>
      <c r="I22" s="4">
        <v>9.1999999999999993</v>
      </c>
      <c r="J22" s="4">
        <v>9.1</v>
      </c>
      <c r="K22" s="4">
        <v>0</v>
      </c>
      <c r="L22" s="4">
        <v>0.1</v>
      </c>
      <c r="M22" s="4">
        <v>0</v>
      </c>
      <c r="N22" s="4">
        <v>7.64</v>
      </c>
      <c r="O22" s="4">
        <v>247.88</v>
      </c>
      <c r="P22" s="4">
        <v>70.06</v>
      </c>
      <c r="Q22" s="4">
        <v>77.17</v>
      </c>
      <c r="R22" s="4">
        <v>100.65</v>
      </c>
      <c r="S22" s="4">
        <v>0.2</v>
      </c>
      <c r="T22" s="4">
        <v>0.04</v>
      </c>
      <c r="U22" s="4">
        <v>7.0000000000000007E-2</v>
      </c>
      <c r="V22" s="4">
        <v>0.09</v>
      </c>
      <c r="W22" s="4">
        <v>248.08</v>
      </c>
      <c r="X22" s="4">
        <v>0</v>
      </c>
      <c r="Y22" s="4">
        <v>5.76</v>
      </c>
      <c r="Z22" s="4">
        <v>2.16</v>
      </c>
      <c r="AA22" s="4">
        <v>7.07</v>
      </c>
      <c r="AB22" s="4">
        <v>7.07</v>
      </c>
      <c r="AC22" s="4">
        <v>0</v>
      </c>
      <c r="AD22" s="4">
        <v>0</v>
      </c>
      <c r="AE22" s="4">
        <v>2.48</v>
      </c>
      <c r="AF22" s="4">
        <v>0.1</v>
      </c>
      <c r="AG22" s="4">
        <v>23.06</v>
      </c>
      <c r="AH22" s="4">
        <v>12.5</v>
      </c>
      <c r="AI22" s="4">
        <v>6.85</v>
      </c>
      <c r="AJ22" s="4">
        <v>0.65</v>
      </c>
      <c r="AK22" s="4">
        <v>0.53</v>
      </c>
      <c r="AL22" s="4">
        <v>0</v>
      </c>
    </row>
    <row r="23" spans="1:38" x14ac:dyDescent="0.35">
      <c r="A23" s="7"/>
      <c r="B23" s="7"/>
      <c r="C23" s="3" t="s">
        <v>19</v>
      </c>
      <c r="D23" s="4">
        <v>110.03</v>
      </c>
      <c r="E23" s="4">
        <v>2.0299999999999998</v>
      </c>
      <c r="F23" s="4">
        <v>14.01</v>
      </c>
      <c r="G23" s="4">
        <v>32</v>
      </c>
      <c r="H23" s="4">
        <v>2.42</v>
      </c>
      <c r="I23" s="4">
        <v>3.07</v>
      </c>
      <c r="J23" s="4">
        <v>3.06</v>
      </c>
      <c r="K23" s="4">
        <v>0</v>
      </c>
      <c r="L23" s="4">
        <v>0</v>
      </c>
      <c r="M23" s="4">
        <v>0</v>
      </c>
      <c r="N23" s="4">
        <v>11.4</v>
      </c>
      <c r="O23" s="4">
        <v>115.04</v>
      </c>
      <c r="P23" s="4">
        <v>22.73</v>
      </c>
      <c r="Q23" s="4">
        <v>34.979999999999997</v>
      </c>
      <c r="R23" s="4">
        <v>57.33</v>
      </c>
      <c r="S23" s="4">
        <v>7.32</v>
      </c>
      <c r="T23" s="4">
        <v>0.86</v>
      </c>
      <c r="U23" s="4">
        <v>7.0000000000000007E-2</v>
      </c>
      <c r="V23" s="4">
        <v>6.38</v>
      </c>
      <c r="W23" s="4">
        <v>122.36</v>
      </c>
      <c r="X23" s="4">
        <v>0</v>
      </c>
      <c r="Y23" s="4">
        <v>5.69</v>
      </c>
      <c r="Z23" s="4">
        <v>1.1200000000000001</v>
      </c>
      <c r="AA23" s="4">
        <v>11.3</v>
      </c>
      <c r="AB23" s="4">
        <v>11.3</v>
      </c>
      <c r="AC23" s="4">
        <v>0</v>
      </c>
      <c r="AD23" s="4">
        <v>0</v>
      </c>
      <c r="AE23" s="4">
        <v>11.05</v>
      </c>
      <c r="AF23" s="4">
        <v>7.0000000000000007E-2</v>
      </c>
      <c r="AG23" s="4">
        <v>2.63</v>
      </c>
      <c r="AH23" s="4">
        <v>3.03</v>
      </c>
      <c r="AI23" s="4">
        <v>7.39</v>
      </c>
      <c r="AJ23" s="4">
        <v>0.26</v>
      </c>
      <c r="AK23" s="4">
        <v>1.81</v>
      </c>
      <c r="AL23" s="4">
        <v>5.14</v>
      </c>
    </row>
    <row r="24" spans="1:38" x14ac:dyDescent="0.35">
      <c r="A24" s="7"/>
      <c r="B24" s="7" t="s">
        <v>24</v>
      </c>
      <c r="C24" s="3" t="s">
        <v>22</v>
      </c>
      <c r="D24" s="4">
        <v>386.1</v>
      </c>
      <c r="E24" s="4">
        <v>18.25</v>
      </c>
      <c r="F24" s="4">
        <v>49.56</v>
      </c>
      <c r="G24" s="4">
        <v>188.94</v>
      </c>
      <c r="H24" s="4">
        <v>0.64</v>
      </c>
      <c r="I24" s="4">
        <v>12.19</v>
      </c>
      <c r="J24" s="4">
        <v>11.94</v>
      </c>
      <c r="K24" s="4">
        <v>0.1</v>
      </c>
      <c r="L24" s="4">
        <v>0.14000000000000001</v>
      </c>
      <c r="M24" s="4">
        <v>0.36</v>
      </c>
      <c r="N24" s="4">
        <v>21.14</v>
      </c>
      <c r="O24" s="4">
        <v>451.35</v>
      </c>
      <c r="P24" s="4">
        <v>76.7</v>
      </c>
      <c r="Q24" s="4">
        <v>73.34</v>
      </c>
      <c r="R24" s="4">
        <v>301.31</v>
      </c>
      <c r="S24" s="4">
        <v>49.48</v>
      </c>
      <c r="T24" s="4">
        <v>13.96</v>
      </c>
      <c r="U24" s="4">
        <v>5.41</v>
      </c>
      <c r="V24" s="4">
        <v>30.11</v>
      </c>
      <c r="W24" s="4">
        <v>500.83</v>
      </c>
      <c r="X24" s="4">
        <v>2.21</v>
      </c>
      <c r="Y24" s="4">
        <v>18.71</v>
      </c>
      <c r="Z24" s="4">
        <v>14.98</v>
      </c>
      <c r="AA24" s="4">
        <v>8.9700000000000006</v>
      </c>
      <c r="AB24" s="4">
        <v>1.97</v>
      </c>
      <c r="AC24" s="4">
        <v>7</v>
      </c>
      <c r="AD24" s="4">
        <v>0.36</v>
      </c>
      <c r="AE24" s="4">
        <v>8.86</v>
      </c>
      <c r="AF24" s="4">
        <v>0.09</v>
      </c>
      <c r="AG24" s="4">
        <v>76.63</v>
      </c>
      <c r="AH24" s="4">
        <v>6.04</v>
      </c>
      <c r="AI24" s="4">
        <v>-6.19</v>
      </c>
      <c r="AJ24" s="4">
        <v>0.95</v>
      </c>
      <c r="AK24" s="4">
        <v>41.85</v>
      </c>
      <c r="AL24" s="4">
        <v>8.07</v>
      </c>
    </row>
    <row r="25" spans="1:38" x14ac:dyDescent="0.35">
      <c r="A25" s="7"/>
      <c r="B25" s="7"/>
      <c r="C25" s="3" t="s">
        <v>23</v>
      </c>
      <c r="D25" s="4">
        <v>435.87</v>
      </c>
      <c r="E25" s="4">
        <v>22.59</v>
      </c>
      <c r="F25" s="4">
        <v>74.17</v>
      </c>
      <c r="G25" s="4">
        <v>151.08000000000001</v>
      </c>
      <c r="H25" s="4">
        <v>1.71</v>
      </c>
      <c r="I25" s="4">
        <v>16.03</v>
      </c>
      <c r="J25" s="4">
        <v>15.74</v>
      </c>
      <c r="K25" s="4">
        <v>0.03</v>
      </c>
      <c r="L25" s="4">
        <v>0.26</v>
      </c>
      <c r="M25" s="4">
        <v>2.15</v>
      </c>
      <c r="N25" s="4">
        <v>32.090000000000003</v>
      </c>
      <c r="O25" s="4">
        <v>419.65</v>
      </c>
      <c r="P25" s="4">
        <v>87.88</v>
      </c>
      <c r="Q25" s="4">
        <v>88.53</v>
      </c>
      <c r="R25" s="4">
        <v>243.25</v>
      </c>
      <c r="S25" s="4">
        <v>73.97</v>
      </c>
      <c r="T25" s="4">
        <v>31.83</v>
      </c>
      <c r="U25" s="4">
        <v>2.74</v>
      </c>
      <c r="V25" s="4">
        <v>39.4</v>
      </c>
      <c r="W25" s="4">
        <v>493.63</v>
      </c>
      <c r="X25" s="4">
        <v>1.6</v>
      </c>
      <c r="Y25" s="4">
        <v>21.75</v>
      </c>
      <c r="Z25" s="4">
        <v>10.33</v>
      </c>
      <c r="AA25" s="4">
        <v>35.64</v>
      </c>
      <c r="AB25" s="4">
        <v>18.22</v>
      </c>
      <c r="AC25" s="4">
        <v>17.420000000000002</v>
      </c>
      <c r="AD25" s="4">
        <v>2.2000000000000002</v>
      </c>
      <c r="AE25" s="4">
        <v>16.55</v>
      </c>
      <c r="AF25" s="4">
        <v>0.09</v>
      </c>
      <c r="AG25" s="4">
        <v>66.739999999999995</v>
      </c>
      <c r="AH25" s="4">
        <v>1.76</v>
      </c>
      <c r="AI25" s="4">
        <v>23.25</v>
      </c>
      <c r="AJ25" s="4">
        <v>1.46</v>
      </c>
      <c r="AK25" s="4">
        <v>50.34</v>
      </c>
      <c r="AL25" s="4">
        <v>4.74</v>
      </c>
    </row>
    <row r="26" spans="1:38" x14ac:dyDescent="0.35">
      <c r="A26" s="7"/>
      <c r="B26" s="7"/>
      <c r="C26" s="3" t="s">
        <v>19</v>
      </c>
      <c r="D26" s="4">
        <v>1592.26</v>
      </c>
      <c r="E26" s="4">
        <v>43.35</v>
      </c>
      <c r="F26" s="4">
        <v>159.08000000000001</v>
      </c>
      <c r="G26" s="4">
        <v>563.32000000000005</v>
      </c>
      <c r="H26" s="4">
        <v>16.75</v>
      </c>
      <c r="I26" s="4">
        <v>56.61</v>
      </c>
      <c r="J26" s="4">
        <v>55.92</v>
      </c>
      <c r="K26" s="4">
        <v>0.2</v>
      </c>
      <c r="L26" s="4">
        <v>0.48</v>
      </c>
      <c r="M26" s="4">
        <v>9.39</v>
      </c>
      <c r="N26" s="4">
        <v>125.21</v>
      </c>
      <c r="O26" s="4">
        <v>1409.06</v>
      </c>
      <c r="P26" s="4">
        <v>372.41</v>
      </c>
      <c r="Q26" s="4">
        <v>315.70999999999998</v>
      </c>
      <c r="R26" s="4">
        <v>720.95</v>
      </c>
      <c r="S26" s="4">
        <v>427.99</v>
      </c>
      <c r="T26" s="4">
        <v>149.15</v>
      </c>
      <c r="U26" s="4">
        <v>117.71</v>
      </c>
      <c r="V26" s="4">
        <v>161.13</v>
      </c>
      <c r="W26" s="4">
        <v>1837.05</v>
      </c>
      <c r="X26" s="4">
        <v>0</v>
      </c>
      <c r="Y26" s="4">
        <v>56.82</v>
      </c>
      <c r="Z26" s="4">
        <v>11.71</v>
      </c>
      <c r="AA26" s="4">
        <v>74.900000000000006</v>
      </c>
      <c r="AB26" s="4">
        <v>11.47</v>
      </c>
      <c r="AC26" s="4">
        <v>63.42</v>
      </c>
      <c r="AD26" s="4">
        <v>8.76</v>
      </c>
      <c r="AE26" s="4">
        <v>95.48</v>
      </c>
      <c r="AF26" s="4">
        <v>2.86</v>
      </c>
      <c r="AG26" s="4">
        <v>55.68</v>
      </c>
      <c r="AH26" s="4">
        <v>41.41</v>
      </c>
      <c r="AI26" s="4">
        <v>207.69</v>
      </c>
      <c r="AJ26" s="4">
        <v>5.63</v>
      </c>
      <c r="AK26" s="4">
        <v>97.1</v>
      </c>
      <c r="AL26" s="4">
        <v>21.19</v>
      </c>
    </row>
    <row r="27" spans="1:38" x14ac:dyDescent="0.35">
      <c r="A27" s="7"/>
      <c r="B27" s="7"/>
      <c r="C27" s="3" t="s">
        <v>20</v>
      </c>
      <c r="D27" s="4">
        <v>953.22</v>
      </c>
      <c r="E27" s="4">
        <v>21.32</v>
      </c>
      <c r="F27" s="4">
        <v>56.31</v>
      </c>
      <c r="G27" s="4">
        <v>444.85</v>
      </c>
      <c r="H27" s="4">
        <v>10.37</v>
      </c>
      <c r="I27" s="4">
        <v>30</v>
      </c>
      <c r="J27" s="4">
        <v>29.65</v>
      </c>
      <c r="K27" s="4">
        <v>0.02</v>
      </c>
      <c r="L27" s="4">
        <v>0.33</v>
      </c>
      <c r="M27" s="4">
        <v>0.09</v>
      </c>
      <c r="N27" s="4">
        <v>15.62</v>
      </c>
      <c r="O27" s="4">
        <v>1140.45</v>
      </c>
      <c r="P27" s="4">
        <v>385.15</v>
      </c>
      <c r="Q27" s="4">
        <v>585.21</v>
      </c>
      <c r="R27" s="4">
        <v>170.09</v>
      </c>
      <c r="S27" s="4">
        <v>87.32</v>
      </c>
      <c r="T27" s="4">
        <v>46.37</v>
      </c>
      <c r="U27" s="4">
        <v>24.79</v>
      </c>
      <c r="V27" s="4">
        <v>16.170000000000002</v>
      </c>
      <c r="W27" s="4">
        <v>1227.77</v>
      </c>
      <c r="X27" s="4">
        <v>0</v>
      </c>
      <c r="Y27" s="4">
        <v>6.45</v>
      </c>
      <c r="Z27" s="4">
        <v>0</v>
      </c>
      <c r="AA27" s="4">
        <v>0.05</v>
      </c>
      <c r="AB27" s="4">
        <v>0</v>
      </c>
      <c r="AC27" s="4">
        <v>0.05</v>
      </c>
      <c r="AD27" s="4">
        <v>0.06</v>
      </c>
      <c r="AE27" s="4">
        <v>6.73</v>
      </c>
      <c r="AF27" s="4">
        <v>0.21</v>
      </c>
      <c r="AG27" s="4">
        <v>1.54</v>
      </c>
      <c r="AH27" s="4">
        <v>4.2699999999999996</v>
      </c>
      <c r="AI27" s="4">
        <v>253.48</v>
      </c>
      <c r="AJ27" s="4">
        <v>9.23</v>
      </c>
      <c r="AK27" s="4">
        <v>2.46</v>
      </c>
      <c r="AL27" s="4">
        <v>7.0000000000000007E-2</v>
      </c>
    </row>
    <row r="28" spans="1:38" x14ac:dyDescent="0.35">
      <c r="A28" s="7"/>
      <c r="B28" s="7" t="s">
        <v>25</v>
      </c>
      <c r="C28" s="3" t="s">
        <v>22</v>
      </c>
      <c r="D28" s="4">
        <v>14.75</v>
      </c>
      <c r="E28" s="4">
        <v>1.34</v>
      </c>
      <c r="F28" s="4">
        <v>9.5</v>
      </c>
      <c r="G28" s="4">
        <v>18.14</v>
      </c>
      <c r="H28" s="4">
        <v>0</v>
      </c>
      <c r="I28" s="4">
        <v>0.02</v>
      </c>
      <c r="J28" s="4">
        <v>0.02</v>
      </c>
      <c r="K28" s="4">
        <v>0</v>
      </c>
      <c r="L28" s="4">
        <v>0</v>
      </c>
      <c r="M28" s="4">
        <v>0.84</v>
      </c>
      <c r="N28" s="4">
        <v>9.32</v>
      </c>
      <c r="O28" s="4">
        <v>16.440000000000001</v>
      </c>
      <c r="P28" s="4">
        <v>12.01</v>
      </c>
      <c r="Q28" s="4">
        <v>0</v>
      </c>
      <c r="R28" s="4">
        <v>4.43</v>
      </c>
      <c r="S28" s="4">
        <v>5.35</v>
      </c>
      <c r="T28" s="4">
        <v>5.35</v>
      </c>
      <c r="U28" s="4">
        <v>0</v>
      </c>
      <c r="V28" s="4">
        <v>0</v>
      </c>
      <c r="W28" s="4">
        <v>21.78</v>
      </c>
      <c r="X28" s="4">
        <v>0</v>
      </c>
      <c r="Y28" s="4">
        <v>2.34</v>
      </c>
      <c r="Z28" s="4">
        <v>0</v>
      </c>
      <c r="AA28" s="4">
        <v>0</v>
      </c>
      <c r="AB28" s="4">
        <v>0</v>
      </c>
      <c r="AC28" s="4">
        <v>0</v>
      </c>
      <c r="AD28" s="4">
        <v>1.07</v>
      </c>
      <c r="AE28" s="4">
        <v>4.45</v>
      </c>
      <c r="AF28" s="4">
        <v>0</v>
      </c>
      <c r="AG28" s="4">
        <v>0</v>
      </c>
      <c r="AH28" s="4">
        <v>0</v>
      </c>
      <c r="AI28" s="4">
        <v>2.04</v>
      </c>
      <c r="AJ28" s="4">
        <v>0.14000000000000001</v>
      </c>
      <c r="AK28" s="4">
        <v>0</v>
      </c>
      <c r="AL28" s="4">
        <v>0</v>
      </c>
    </row>
    <row r="29" spans="1:38" x14ac:dyDescent="0.35">
      <c r="A29" s="7"/>
      <c r="B29" s="7"/>
      <c r="C29" s="3" t="s">
        <v>23</v>
      </c>
      <c r="D29" s="4">
        <v>213.65</v>
      </c>
      <c r="E29" s="4">
        <v>46.78</v>
      </c>
      <c r="F29" s="4">
        <v>58.3</v>
      </c>
      <c r="G29" s="4">
        <v>157.57</v>
      </c>
      <c r="H29" s="4">
        <v>0.02</v>
      </c>
      <c r="I29" s="4">
        <v>2.4</v>
      </c>
      <c r="J29" s="4">
        <v>2.39</v>
      </c>
      <c r="K29" s="4">
        <v>0</v>
      </c>
      <c r="L29" s="4">
        <v>0</v>
      </c>
      <c r="M29" s="4">
        <v>4.66</v>
      </c>
      <c r="N29" s="4">
        <v>31.7</v>
      </c>
      <c r="O29" s="4">
        <v>140.19</v>
      </c>
      <c r="P29" s="4">
        <v>100.56</v>
      </c>
      <c r="Q29" s="4">
        <v>5.66</v>
      </c>
      <c r="R29" s="4">
        <v>33.96</v>
      </c>
      <c r="S29" s="4">
        <v>112.26</v>
      </c>
      <c r="T29" s="4">
        <v>85.85</v>
      </c>
      <c r="U29" s="4">
        <v>2.2599999999999998</v>
      </c>
      <c r="V29" s="4">
        <v>24.15</v>
      </c>
      <c r="W29" s="4">
        <v>252.45</v>
      </c>
      <c r="X29" s="4">
        <v>0</v>
      </c>
      <c r="Y29" s="4">
        <v>26.92</v>
      </c>
      <c r="Z29" s="4">
        <v>0</v>
      </c>
      <c r="AA29" s="4">
        <v>0.5</v>
      </c>
      <c r="AB29" s="4">
        <v>0.5</v>
      </c>
      <c r="AC29" s="4">
        <v>0</v>
      </c>
      <c r="AD29" s="4">
        <v>15.89</v>
      </c>
      <c r="AE29" s="4">
        <v>2.81</v>
      </c>
      <c r="AF29" s="4">
        <v>1.32</v>
      </c>
      <c r="AG29" s="4">
        <v>3.62</v>
      </c>
      <c r="AH29" s="4">
        <v>0</v>
      </c>
      <c r="AI29" s="4">
        <v>61.26</v>
      </c>
      <c r="AJ29" s="4">
        <v>1.85</v>
      </c>
      <c r="AK29" s="4">
        <v>0</v>
      </c>
      <c r="AL29" s="4">
        <v>0</v>
      </c>
    </row>
    <row r="30" spans="1:38" x14ac:dyDescent="0.35">
      <c r="A30" s="7" t="s">
        <v>27</v>
      </c>
      <c r="B30" s="7" t="s">
        <v>18</v>
      </c>
      <c r="C30" s="3" t="s">
        <v>19</v>
      </c>
      <c r="D30" s="4">
        <v>671.96</v>
      </c>
      <c r="E30" s="4">
        <v>4.9800000000000004</v>
      </c>
      <c r="F30" s="4">
        <v>63.08</v>
      </c>
      <c r="G30" s="4">
        <v>118.4</v>
      </c>
      <c r="H30" s="4">
        <v>7.19</v>
      </c>
      <c r="I30" s="4">
        <v>25.29</v>
      </c>
      <c r="J30" s="4">
        <v>25.22</v>
      </c>
      <c r="K30" s="4">
        <v>0.03</v>
      </c>
      <c r="L30" s="4">
        <v>0.04</v>
      </c>
      <c r="M30" s="4">
        <v>0</v>
      </c>
      <c r="N30" s="4">
        <v>5.85</v>
      </c>
      <c r="O30" s="4">
        <v>697.75</v>
      </c>
      <c r="P30" s="4">
        <v>186.39</v>
      </c>
      <c r="Q30" s="4">
        <v>197.45</v>
      </c>
      <c r="R30" s="4">
        <v>313.89999999999998</v>
      </c>
      <c r="S30" s="4">
        <v>43.11</v>
      </c>
      <c r="T30" s="4">
        <v>25.05</v>
      </c>
      <c r="U30" s="4">
        <v>2.69</v>
      </c>
      <c r="V30" s="4">
        <v>15.37</v>
      </c>
      <c r="W30" s="4">
        <v>740.86</v>
      </c>
      <c r="X30" s="4">
        <v>8.31</v>
      </c>
      <c r="Y30" s="4">
        <v>0.72</v>
      </c>
      <c r="Z30" s="4">
        <v>14.96</v>
      </c>
      <c r="AA30" s="4">
        <v>33.799999999999997</v>
      </c>
      <c r="AB30" s="4">
        <v>33.06</v>
      </c>
      <c r="AC30" s="4">
        <v>0.74</v>
      </c>
      <c r="AD30" s="4">
        <v>0</v>
      </c>
      <c r="AE30" s="4">
        <v>1.64</v>
      </c>
      <c r="AF30" s="4">
        <v>0.03</v>
      </c>
      <c r="AG30" s="4">
        <v>30.08</v>
      </c>
      <c r="AH30" s="4">
        <v>10.25</v>
      </c>
      <c r="AI30" s="4">
        <v>43.15</v>
      </c>
      <c r="AJ30" s="4">
        <v>3.08</v>
      </c>
      <c r="AK30" s="4">
        <v>0.78</v>
      </c>
      <c r="AL30" s="4">
        <v>5.69</v>
      </c>
    </row>
    <row r="31" spans="1:38" x14ac:dyDescent="0.35">
      <c r="A31" s="7"/>
      <c r="B31" s="7"/>
      <c r="C31" s="3" t="s">
        <v>20</v>
      </c>
      <c r="D31" s="4">
        <v>3790.61</v>
      </c>
      <c r="E31" s="4">
        <v>190.84</v>
      </c>
      <c r="F31" s="4">
        <v>363.56</v>
      </c>
      <c r="G31" s="4">
        <v>851.54</v>
      </c>
      <c r="H31" s="4">
        <v>87.19</v>
      </c>
      <c r="I31" s="4">
        <v>149.91</v>
      </c>
      <c r="J31" s="4">
        <v>146.86000000000001</v>
      </c>
      <c r="K31" s="4">
        <v>0.43</v>
      </c>
      <c r="L31" s="4">
        <v>2.62</v>
      </c>
      <c r="M31" s="4">
        <v>17.670000000000002</v>
      </c>
      <c r="N31" s="4">
        <v>125.9</v>
      </c>
      <c r="O31" s="4">
        <v>3555.91</v>
      </c>
      <c r="P31" s="4">
        <v>1023.56</v>
      </c>
      <c r="Q31" s="4">
        <v>1361.84</v>
      </c>
      <c r="R31" s="4">
        <v>1170.51</v>
      </c>
      <c r="S31" s="4">
        <v>750.73</v>
      </c>
      <c r="T31" s="4">
        <v>514.14</v>
      </c>
      <c r="U31" s="4">
        <v>84.77</v>
      </c>
      <c r="V31" s="4">
        <v>151.83000000000001</v>
      </c>
      <c r="W31" s="4">
        <v>4306.6400000000003</v>
      </c>
      <c r="X31" s="4">
        <v>0.38</v>
      </c>
      <c r="Y31" s="4">
        <v>52.7</v>
      </c>
      <c r="Z31" s="4">
        <v>72.36</v>
      </c>
      <c r="AA31" s="4">
        <v>215.09</v>
      </c>
      <c r="AB31" s="4">
        <v>3.86</v>
      </c>
      <c r="AC31" s="4">
        <v>211.23</v>
      </c>
      <c r="AD31" s="4">
        <v>17.45</v>
      </c>
      <c r="AE31" s="4">
        <v>95.99</v>
      </c>
      <c r="AF31" s="4">
        <v>1.56</v>
      </c>
      <c r="AG31" s="4">
        <v>23.66</v>
      </c>
      <c r="AH31" s="4">
        <v>8.1300000000000008</v>
      </c>
      <c r="AI31" s="4">
        <v>491.08</v>
      </c>
      <c r="AJ31" s="4">
        <v>30.77</v>
      </c>
      <c r="AK31" s="4">
        <v>116.6</v>
      </c>
      <c r="AL31" s="4">
        <v>10.88</v>
      </c>
    </row>
    <row r="32" spans="1:38" x14ac:dyDescent="0.35">
      <c r="A32" s="7"/>
      <c r="B32" s="7" t="s">
        <v>21</v>
      </c>
      <c r="C32" s="3" t="s">
        <v>22</v>
      </c>
      <c r="D32" s="4">
        <v>348.36</v>
      </c>
      <c r="E32" s="4">
        <v>20.66</v>
      </c>
      <c r="F32" s="4">
        <v>46.49</v>
      </c>
      <c r="G32" s="4">
        <v>86.47</v>
      </c>
      <c r="H32" s="4">
        <v>0.05</v>
      </c>
      <c r="I32" s="4">
        <v>9.4700000000000006</v>
      </c>
      <c r="J32" s="4">
        <v>9.19</v>
      </c>
      <c r="K32" s="4">
        <v>0.01</v>
      </c>
      <c r="L32" s="4">
        <v>0.27</v>
      </c>
      <c r="M32" s="4">
        <v>0</v>
      </c>
      <c r="N32" s="4">
        <v>7.87</v>
      </c>
      <c r="O32" s="4">
        <v>405.98</v>
      </c>
      <c r="P32" s="4">
        <v>110.29</v>
      </c>
      <c r="Q32" s="4">
        <v>131.58000000000001</v>
      </c>
      <c r="R32" s="4">
        <v>164.11</v>
      </c>
      <c r="S32" s="4">
        <v>0.25</v>
      </c>
      <c r="T32" s="4">
        <v>0.02</v>
      </c>
      <c r="U32" s="4">
        <v>0</v>
      </c>
      <c r="V32" s="4">
        <v>0.23</v>
      </c>
      <c r="W32" s="4">
        <v>406.23</v>
      </c>
      <c r="X32" s="4">
        <v>0.54</v>
      </c>
      <c r="Y32" s="4">
        <v>12.35</v>
      </c>
      <c r="Z32" s="4">
        <v>1.5</v>
      </c>
      <c r="AA32" s="4">
        <v>18.41</v>
      </c>
      <c r="AB32" s="4">
        <v>18.41</v>
      </c>
      <c r="AC32" s="4">
        <v>0</v>
      </c>
      <c r="AD32" s="4">
        <v>0</v>
      </c>
      <c r="AE32" s="4">
        <v>4.79</v>
      </c>
      <c r="AF32" s="4">
        <v>0.04</v>
      </c>
      <c r="AG32" s="4">
        <v>40.36</v>
      </c>
      <c r="AH32" s="4">
        <v>25.86</v>
      </c>
      <c r="AI32" s="4">
        <v>1.33</v>
      </c>
      <c r="AJ32" s="4">
        <v>2.52</v>
      </c>
      <c r="AK32" s="4">
        <v>2.5099999999999998</v>
      </c>
      <c r="AL32" s="4">
        <v>0</v>
      </c>
    </row>
    <row r="33" spans="1:38" x14ac:dyDescent="0.35">
      <c r="A33" s="7"/>
      <c r="B33" s="7"/>
      <c r="C33" s="3" t="s">
        <v>23</v>
      </c>
      <c r="D33" s="4">
        <v>203.59</v>
      </c>
      <c r="E33" s="4">
        <v>10.64</v>
      </c>
      <c r="F33" s="4">
        <v>20.190000000000001</v>
      </c>
      <c r="G33" s="4">
        <v>66.8</v>
      </c>
      <c r="H33" s="4">
        <v>0.56000000000000005</v>
      </c>
      <c r="I33" s="4">
        <v>9.3800000000000008</v>
      </c>
      <c r="J33" s="4">
        <v>9.2799999999999994</v>
      </c>
      <c r="K33" s="4">
        <v>0</v>
      </c>
      <c r="L33" s="4">
        <v>0.1</v>
      </c>
      <c r="M33" s="4">
        <v>0</v>
      </c>
      <c r="N33" s="4">
        <v>11.87</v>
      </c>
      <c r="O33" s="4">
        <v>246.83</v>
      </c>
      <c r="P33" s="4">
        <v>58.43</v>
      </c>
      <c r="Q33" s="4">
        <v>80.09</v>
      </c>
      <c r="R33" s="4">
        <v>108.3</v>
      </c>
      <c r="S33" s="4">
        <v>0.21</v>
      </c>
      <c r="T33" s="4">
        <v>0.04</v>
      </c>
      <c r="U33" s="4">
        <v>7.0000000000000007E-2</v>
      </c>
      <c r="V33" s="4">
        <v>0.1</v>
      </c>
      <c r="W33" s="4">
        <v>247.04</v>
      </c>
      <c r="X33" s="4">
        <v>0</v>
      </c>
      <c r="Y33" s="4">
        <v>8.94</v>
      </c>
      <c r="Z33" s="4">
        <v>2.44</v>
      </c>
      <c r="AA33" s="4">
        <v>7.08</v>
      </c>
      <c r="AB33" s="4">
        <v>7.08</v>
      </c>
      <c r="AC33" s="4">
        <v>0</v>
      </c>
      <c r="AD33" s="4">
        <v>0</v>
      </c>
      <c r="AE33" s="4">
        <v>5.47</v>
      </c>
      <c r="AF33" s="4">
        <v>0.08</v>
      </c>
      <c r="AG33" s="4">
        <v>23.06</v>
      </c>
      <c r="AH33" s="4">
        <v>12.86</v>
      </c>
      <c r="AI33" s="4">
        <v>4.54</v>
      </c>
      <c r="AJ33" s="4">
        <v>0.98</v>
      </c>
      <c r="AK33" s="4">
        <v>0.55000000000000004</v>
      </c>
      <c r="AL33" s="4">
        <v>0</v>
      </c>
    </row>
    <row r="34" spans="1:38" x14ac:dyDescent="0.35">
      <c r="A34" s="7"/>
      <c r="B34" s="7"/>
      <c r="C34" s="3" t="s">
        <v>19</v>
      </c>
      <c r="D34" s="4">
        <v>111.89</v>
      </c>
      <c r="E34" s="4">
        <v>2.39</v>
      </c>
      <c r="F34" s="4">
        <v>11.25</v>
      </c>
      <c r="G34" s="4">
        <v>34.82</v>
      </c>
      <c r="H34" s="4">
        <v>2.41</v>
      </c>
      <c r="I34" s="4">
        <v>3.23</v>
      </c>
      <c r="J34" s="4">
        <v>3.23</v>
      </c>
      <c r="K34" s="4">
        <v>0</v>
      </c>
      <c r="L34" s="4">
        <v>0</v>
      </c>
      <c r="M34" s="4">
        <v>0</v>
      </c>
      <c r="N34" s="4">
        <v>9.0299999999999994</v>
      </c>
      <c r="O34" s="4">
        <v>122.2</v>
      </c>
      <c r="P34" s="4">
        <v>20.51</v>
      </c>
      <c r="Q34" s="4">
        <v>34.78</v>
      </c>
      <c r="R34" s="4">
        <v>66.91</v>
      </c>
      <c r="S34" s="4">
        <v>6.57</v>
      </c>
      <c r="T34" s="4">
        <v>0.05</v>
      </c>
      <c r="U34" s="4">
        <v>0.08</v>
      </c>
      <c r="V34" s="4">
        <v>6.44</v>
      </c>
      <c r="W34" s="4">
        <v>128.77000000000001</v>
      </c>
      <c r="X34" s="4">
        <v>0</v>
      </c>
      <c r="Y34" s="4">
        <v>3.02</v>
      </c>
      <c r="Z34" s="4">
        <v>1.1200000000000001</v>
      </c>
      <c r="AA34" s="4">
        <v>11.3</v>
      </c>
      <c r="AB34" s="4">
        <v>11.3</v>
      </c>
      <c r="AC34" s="4">
        <v>0</v>
      </c>
      <c r="AD34" s="4">
        <v>0</v>
      </c>
      <c r="AE34" s="4">
        <v>8.68</v>
      </c>
      <c r="AF34" s="4">
        <v>7.0000000000000007E-2</v>
      </c>
      <c r="AG34" s="4">
        <v>2.63</v>
      </c>
      <c r="AH34" s="4">
        <v>3.03</v>
      </c>
      <c r="AI34" s="4">
        <v>7.33</v>
      </c>
      <c r="AJ34" s="4">
        <v>0.38</v>
      </c>
      <c r="AK34" s="4">
        <v>1.81</v>
      </c>
      <c r="AL34" s="4">
        <v>5.14</v>
      </c>
    </row>
    <row r="35" spans="1:38" x14ac:dyDescent="0.35">
      <c r="A35" s="7"/>
      <c r="B35" s="7" t="s">
        <v>24</v>
      </c>
      <c r="C35" s="3" t="s">
        <v>22</v>
      </c>
      <c r="D35" s="4">
        <v>392.58</v>
      </c>
      <c r="E35" s="4">
        <v>16.489999999999998</v>
      </c>
      <c r="F35" s="4">
        <v>51.78</v>
      </c>
      <c r="G35" s="4">
        <v>181.73</v>
      </c>
      <c r="H35" s="4">
        <v>0.63</v>
      </c>
      <c r="I35" s="4">
        <v>11.68</v>
      </c>
      <c r="J35" s="4">
        <v>11.44</v>
      </c>
      <c r="K35" s="4">
        <v>0.1</v>
      </c>
      <c r="L35" s="4">
        <v>0.15</v>
      </c>
      <c r="M35" s="4">
        <v>0.11</v>
      </c>
      <c r="N35" s="4">
        <v>24.53</v>
      </c>
      <c r="O35" s="4">
        <v>449.26</v>
      </c>
      <c r="P35" s="4">
        <v>75.959999999999994</v>
      </c>
      <c r="Q35" s="4">
        <v>76.709999999999994</v>
      </c>
      <c r="R35" s="4">
        <v>296.58999999999997</v>
      </c>
      <c r="S35" s="4">
        <v>49.71</v>
      </c>
      <c r="T35" s="4">
        <v>15.32</v>
      </c>
      <c r="U35" s="4">
        <v>5.13</v>
      </c>
      <c r="V35" s="4">
        <v>29.26</v>
      </c>
      <c r="W35" s="4">
        <v>498.97</v>
      </c>
      <c r="X35" s="4">
        <v>2.15</v>
      </c>
      <c r="Y35" s="4">
        <v>19.690000000000001</v>
      </c>
      <c r="Z35" s="4">
        <v>14.36</v>
      </c>
      <c r="AA35" s="4">
        <v>9.84</v>
      </c>
      <c r="AB35" s="4">
        <v>1.72</v>
      </c>
      <c r="AC35" s="4">
        <v>8.1199999999999992</v>
      </c>
      <c r="AD35" s="4">
        <v>0.08</v>
      </c>
      <c r="AE35" s="4">
        <v>13.02</v>
      </c>
      <c r="AF35" s="4">
        <v>0.09</v>
      </c>
      <c r="AG35" s="4">
        <v>76.63</v>
      </c>
      <c r="AH35" s="4">
        <v>6.05</v>
      </c>
      <c r="AI35" s="4">
        <v>-6.53</v>
      </c>
      <c r="AJ35" s="4">
        <v>1.48</v>
      </c>
      <c r="AK35" s="4">
        <v>41.85</v>
      </c>
      <c r="AL35" s="4">
        <v>8.07</v>
      </c>
    </row>
    <row r="36" spans="1:38" x14ac:dyDescent="0.35">
      <c r="A36" s="7"/>
      <c r="B36" s="7"/>
      <c r="C36" s="3" t="s">
        <v>23</v>
      </c>
      <c r="D36" s="4">
        <v>440.1</v>
      </c>
      <c r="E36" s="4">
        <v>20.38</v>
      </c>
      <c r="F36" s="4">
        <v>75.069999999999993</v>
      </c>
      <c r="G36" s="4">
        <v>154.16</v>
      </c>
      <c r="H36" s="4">
        <v>1.71</v>
      </c>
      <c r="I36" s="4">
        <v>16.29</v>
      </c>
      <c r="J36" s="4">
        <v>15.99</v>
      </c>
      <c r="K36" s="4">
        <v>0.03</v>
      </c>
      <c r="L36" s="4">
        <v>0.28000000000000003</v>
      </c>
      <c r="M36" s="4">
        <v>2.68</v>
      </c>
      <c r="N36" s="4">
        <v>28.72</v>
      </c>
      <c r="O36" s="4">
        <v>413.84</v>
      </c>
      <c r="P36" s="4">
        <v>90.71</v>
      </c>
      <c r="Q36" s="4">
        <v>89.42</v>
      </c>
      <c r="R36" s="4">
        <v>233.71</v>
      </c>
      <c r="S36" s="4">
        <v>75.81</v>
      </c>
      <c r="T36" s="4">
        <v>33.950000000000003</v>
      </c>
      <c r="U36" s="4">
        <v>2.84</v>
      </c>
      <c r="V36" s="4">
        <v>39.020000000000003</v>
      </c>
      <c r="W36" s="4">
        <v>489.65</v>
      </c>
      <c r="X36" s="4">
        <v>1.71</v>
      </c>
      <c r="Y36" s="4">
        <v>22.24</v>
      </c>
      <c r="Z36" s="4">
        <v>10.4</v>
      </c>
      <c r="AA36" s="4">
        <v>38.76</v>
      </c>
      <c r="AB36" s="4">
        <v>20</v>
      </c>
      <c r="AC36" s="4">
        <v>18.760000000000002</v>
      </c>
      <c r="AD36" s="4">
        <v>2.78</v>
      </c>
      <c r="AE36" s="4">
        <v>18.100000000000001</v>
      </c>
      <c r="AF36" s="4">
        <v>0.13</v>
      </c>
      <c r="AG36" s="4">
        <v>66.739999999999995</v>
      </c>
      <c r="AH36" s="4">
        <v>1.76</v>
      </c>
      <c r="AI36" s="4">
        <v>23.11</v>
      </c>
      <c r="AJ36" s="4">
        <v>2.2599999999999998</v>
      </c>
      <c r="AK36" s="4">
        <v>50.33</v>
      </c>
      <c r="AL36" s="4">
        <v>4.74</v>
      </c>
    </row>
    <row r="37" spans="1:38" x14ac:dyDescent="0.35">
      <c r="A37" s="7"/>
      <c r="B37" s="7"/>
      <c r="C37" s="3" t="s">
        <v>19</v>
      </c>
      <c r="D37" s="4">
        <v>1616.31</v>
      </c>
      <c r="E37" s="4">
        <v>47.25</v>
      </c>
      <c r="F37" s="4">
        <v>150.30000000000001</v>
      </c>
      <c r="G37" s="4">
        <v>573.62</v>
      </c>
      <c r="H37" s="4">
        <v>16.899999999999999</v>
      </c>
      <c r="I37" s="4">
        <v>56.75</v>
      </c>
      <c r="J37" s="4">
        <v>56.1</v>
      </c>
      <c r="K37" s="4">
        <v>0.21</v>
      </c>
      <c r="L37" s="4">
        <v>0.44</v>
      </c>
      <c r="M37" s="4">
        <v>12.22</v>
      </c>
      <c r="N37" s="4">
        <v>108.5</v>
      </c>
      <c r="O37" s="4">
        <v>1407.63</v>
      </c>
      <c r="P37" s="4">
        <v>381.1</v>
      </c>
      <c r="Q37" s="4">
        <v>314.87</v>
      </c>
      <c r="R37" s="4">
        <v>711.66</v>
      </c>
      <c r="S37" s="4">
        <v>457.9</v>
      </c>
      <c r="T37" s="4">
        <v>158.94</v>
      </c>
      <c r="U37" s="4">
        <v>127.09</v>
      </c>
      <c r="V37" s="4">
        <v>171.87</v>
      </c>
      <c r="W37" s="4">
        <v>1865.53</v>
      </c>
      <c r="X37" s="4">
        <v>0</v>
      </c>
      <c r="Y37" s="4">
        <v>55.25</v>
      </c>
      <c r="Z37" s="4">
        <v>11.71</v>
      </c>
      <c r="AA37" s="4">
        <v>77.37</v>
      </c>
      <c r="AB37" s="4">
        <v>12.87</v>
      </c>
      <c r="AC37" s="4">
        <v>64.5</v>
      </c>
      <c r="AD37" s="4">
        <v>12.14</v>
      </c>
      <c r="AE37" s="4">
        <v>77.08</v>
      </c>
      <c r="AF37" s="4">
        <v>4.07</v>
      </c>
      <c r="AG37" s="4">
        <v>55.68</v>
      </c>
      <c r="AH37" s="4">
        <v>41.45</v>
      </c>
      <c r="AI37" s="4">
        <v>206.28</v>
      </c>
      <c r="AJ37" s="4">
        <v>8.1300000000000008</v>
      </c>
      <c r="AK37" s="4">
        <v>99.1</v>
      </c>
      <c r="AL37" s="4">
        <v>21.44</v>
      </c>
    </row>
    <row r="38" spans="1:38" x14ac:dyDescent="0.35">
      <c r="A38" s="7"/>
      <c r="B38" s="7"/>
      <c r="C38" s="3" t="s">
        <v>20</v>
      </c>
      <c r="D38" s="4">
        <v>962.12</v>
      </c>
      <c r="E38" s="4">
        <v>34.090000000000003</v>
      </c>
      <c r="F38" s="4">
        <v>56.54</v>
      </c>
      <c r="G38" s="4">
        <v>444.51</v>
      </c>
      <c r="H38" s="4">
        <v>10.37</v>
      </c>
      <c r="I38" s="4">
        <v>30.55</v>
      </c>
      <c r="J38" s="4">
        <v>30.18</v>
      </c>
      <c r="K38" s="4">
        <v>0.02</v>
      </c>
      <c r="L38" s="4">
        <v>0.34</v>
      </c>
      <c r="M38" s="4">
        <v>0.11</v>
      </c>
      <c r="N38" s="4">
        <v>29.32</v>
      </c>
      <c r="O38" s="4">
        <v>1164.58</v>
      </c>
      <c r="P38" s="4">
        <v>396.35</v>
      </c>
      <c r="Q38" s="4">
        <v>597.69000000000005</v>
      </c>
      <c r="R38" s="4">
        <v>170.54</v>
      </c>
      <c r="S38" s="4">
        <v>96.5</v>
      </c>
      <c r="T38" s="4">
        <v>51.46</v>
      </c>
      <c r="U38" s="4">
        <v>28.41</v>
      </c>
      <c r="V38" s="4">
        <v>16.63</v>
      </c>
      <c r="W38" s="4">
        <v>1261.08</v>
      </c>
      <c r="X38" s="4">
        <v>0</v>
      </c>
      <c r="Y38" s="4">
        <v>4.42</v>
      </c>
      <c r="Z38" s="4">
        <v>0</v>
      </c>
      <c r="AA38" s="4">
        <v>0.02</v>
      </c>
      <c r="AB38" s="4">
        <v>0</v>
      </c>
      <c r="AC38" s="4">
        <v>0.02</v>
      </c>
      <c r="AD38" s="4">
        <v>0.22</v>
      </c>
      <c r="AE38" s="4">
        <v>4.38</v>
      </c>
      <c r="AF38" s="4">
        <v>0.23</v>
      </c>
      <c r="AG38" s="4">
        <v>1.54</v>
      </c>
      <c r="AH38" s="4">
        <v>4.2699999999999996</v>
      </c>
      <c r="AI38" s="4">
        <v>218.95</v>
      </c>
      <c r="AJ38" s="4">
        <v>16.02</v>
      </c>
      <c r="AK38" s="4">
        <v>2.46</v>
      </c>
      <c r="AL38" s="4">
        <v>7.0000000000000007E-2</v>
      </c>
    </row>
    <row r="39" spans="1:38" x14ac:dyDescent="0.35">
      <c r="A39" s="7"/>
      <c r="B39" s="7" t="s">
        <v>25</v>
      </c>
      <c r="C39" s="3" t="s">
        <v>22</v>
      </c>
      <c r="D39" s="4">
        <v>15.07</v>
      </c>
      <c r="E39" s="4">
        <v>2.02</v>
      </c>
      <c r="F39" s="4">
        <v>14.91</v>
      </c>
      <c r="G39" s="4">
        <v>16.77</v>
      </c>
      <c r="H39" s="4">
        <v>0</v>
      </c>
      <c r="I39" s="4">
        <v>0.02</v>
      </c>
      <c r="J39" s="4">
        <v>0.02</v>
      </c>
      <c r="K39" s="4">
        <v>0</v>
      </c>
      <c r="L39" s="4">
        <v>0</v>
      </c>
      <c r="M39" s="4">
        <v>1.24</v>
      </c>
      <c r="N39" s="4">
        <v>3.95</v>
      </c>
      <c r="O39" s="4">
        <v>15.33</v>
      </c>
      <c r="P39" s="4">
        <v>11.42</v>
      </c>
      <c r="Q39" s="4">
        <v>0</v>
      </c>
      <c r="R39" s="4">
        <v>3.91</v>
      </c>
      <c r="S39" s="4">
        <v>7.83</v>
      </c>
      <c r="T39" s="4">
        <v>7.83</v>
      </c>
      <c r="U39" s="4">
        <v>0</v>
      </c>
      <c r="V39" s="4">
        <v>0</v>
      </c>
      <c r="W39" s="4">
        <v>23.16</v>
      </c>
      <c r="X39" s="4">
        <v>0</v>
      </c>
      <c r="Y39" s="4">
        <v>2.36</v>
      </c>
      <c r="Z39" s="4">
        <v>0</v>
      </c>
      <c r="AA39" s="4">
        <v>0</v>
      </c>
      <c r="AB39" s="4">
        <v>0</v>
      </c>
      <c r="AC39" s="4">
        <v>0</v>
      </c>
      <c r="AD39" s="4">
        <v>1.35</v>
      </c>
      <c r="AE39" s="4">
        <v>1.52</v>
      </c>
      <c r="AF39" s="4">
        <v>0</v>
      </c>
      <c r="AG39" s="4">
        <v>0</v>
      </c>
      <c r="AH39" s="4">
        <v>0</v>
      </c>
      <c r="AI39" s="4">
        <v>2.09</v>
      </c>
      <c r="AJ39" s="4">
        <v>0.05</v>
      </c>
      <c r="AK39" s="4">
        <v>0</v>
      </c>
      <c r="AL39" s="4">
        <v>0</v>
      </c>
    </row>
    <row r="40" spans="1:38" x14ac:dyDescent="0.35">
      <c r="A40" s="7"/>
      <c r="B40" s="7"/>
      <c r="C40" s="3" t="s">
        <v>23</v>
      </c>
      <c r="D40" s="4">
        <v>216.16</v>
      </c>
      <c r="E40" s="4">
        <v>48.26</v>
      </c>
      <c r="F40" s="4">
        <v>59.34</v>
      </c>
      <c r="G40" s="4">
        <v>160.38999999999999</v>
      </c>
      <c r="H40" s="4">
        <v>0.02</v>
      </c>
      <c r="I40" s="4">
        <v>2.36</v>
      </c>
      <c r="J40" s="4">
        <v>2.35</v>
      </c>
      <c r="K40" s="4">
        <v>0</v>
      </c>
      <c r="L40" s="4">
        <v>0</v>
      </c>
      <c r="M40" s="4">
        <v>7.84</v>
      </c>
      <c r="N40" s="4">
        <v>36.950000000000003</v>
      </c>
      <c r="O40" s="4">
        <v>140.18</v>
      </c>
      <c r="P40" s="4">
        <v>101.4</v>
      </c>
      <c r="Q40" s="4">
        <v>5.58</v>
      </c>
      <c r="R40" s="4">
        <v>33.200000000000003</v>
      </c>
      <c r="S40" s="4">
        <v>122.69</v>
      </c>
      <c r="T40" s="4">
        <v>99.65</v>
      </c>
      <c r="U40" s="4">
        <v>3.32</v>
      </c>
      <c r="V40" s="4">
        <v>19.71</v>
      </c>
      <c r="W40" s="4">
        <v>262.87</v>
      </c>
      <c r="X40" s="4">
        <v>0.01</v>
      </c>
      <c r="Y40" s="4">
        <v>31.85</v>
      </c>
      <c r="Z40" s="4">
        <v>0</v>
      </c>
      <c r="AA40" s="4">
        <v>0</v>
      </c>
      <c r="AB40" s="4">
        <v>0</v>
      </c>
      <c r="AC40" s="4">
        <v>0</v>
      </c>
      <c r="AD40" s="4">
        <v>18.05</v>
      </c>
      <c r="AE40" s="4">
        <v>1.27</v>
      </c>
      <c r="AF40" s="4">
        <v>1.18</v>
      </c>
      <c r="AG40" s="4">
        <v>3.62</v>
      </c>
      <c r="AH40" s="4">
        <v>0</v>
      </c>
      <c r="AI40" s="4">
        <v>58.61</v>
      </c>
      <c r="AJ40" s="4">
        <v>2.96</v>
      </c>
      <c r="AK40" s="4">
        <v>0</v>
      </c>
      <c r="AL40" s="4">
        <v>0</v>
      </c>
    </row>
    <row r="41" spans="1:38" x14ac:dyDescent="0.35">
      <c r="A41" s="7" t="s">
        <v>28</v>
      </c>
      <c r="B41" s="7" t="s">
        <v>18</v>
      </c>
      <c r="C41" s="3" t="s">
        <v>19</v>
      </c>
      <c r="D41" s="4">
        <v>675.75</v>
      </c>
      <c r="E41" s="4">
        <v>5.29</v>
      </c>
      <c r="F41" s="4">
        <v>40.880000000000003</v>
      </c>
      <c r="G41" s="4">
        <v>122.85</v>
      </c>
      <c r="H41" s="4">
        <v>7.19</v>
      </c>
      <c r="I41" s="4">
        <v>29.08</v>
      </c>
      <c r="J41" s="4">
        <v>28.98</v>
      </c>
      <c r="K41" s="4">
        <v>0.05</v>
      </c>
      <c r="L41" s="4">
        <v>0.05</v>
      </c>
      <c r="M41" s="4">
        <v>0</v>
      </c>
      <c r="N41" s="4">
        <v>10.54</v>
      </c>
      <c r="O41" s="4">
        <v>694.58</v>
      </c>
      <c r="P41" s="4">
        <v>194.92</v>
      </c>
      <c r="Q41" s="4">
        <v>197.54</v>
      </c>
      <c r="R41" s="4">
        <v>302.13</v>
      </c>
      <c r="S41" s="4">
        <v>45.18</v>
      </c>
      <c r="T41" s="4">
        <v>25.98</v>
      </c>
      <c r="U41" s="4">
        <v>2.94</v>
      </c>
      <c r="V41" s="4">
        <v>16.27</v>
      </c>
      <c r="W41" s="4">
        <v>739.77</v>
      </c>
      <c r="X41" s="4">
        <v>0</v>
      </c>
      <c r="Y41" s="4">
        <v>0.82</v>
      </c>
      <c r="Z41" s="4">
        <v>9.93</v>
      </c>
      <c r="AA41" s="4">
        <v>33.36</v>
      </c>
      <c r="AB41" s="4">
        <v>32.6</v>
      </c>
      <c r="AC41" s="4">
        <v>0.75</v>
      </c>
      <c r="AD41" s="4">
        <v>0</v>
      </c>
      <c r="AE41" s="4">
        <v>4.6900000000000004</v>
      </c>
      <c r="AF41" s="4">
        <v>0.03</v>
      </c>
      <c r="AG41" s="4">
        <v>30.08</v>
      </c>
      <c r="AH41" s="4">
        <v>10.25</v>
      </c>
      <c r="AI41" s="4">
        <v>40.14</v>
      </c>
      <c r="AJ41" s="4">
        <v>3.96</v>
      </c>
      <c r="AK41" s="4">
        <v>0.78</v>
      </c>
      <c r="AL41" s="4">
        <v>5.69</v>
      </c>
    </row>
    <row r="42" spans="1:38" x14ac:dyDescent="0.35">
      <c r="A42" s="7"/>
      <c r="B42" s="7"/>
      <c r="C42" s="3" t="s">
        <v>20</v>
      </c>
      <c r="D42" s="4">
        <v>3846.04</v>
      </c>
      <c r="E42" s="4">
        <v>190.09</v>
      </c>
      <c r="F42" s="4">
        <v>305.70999999999998</v>
      </c>
      <c r="G42" s="4">
        <v>764.76</v>
      </c>
      <c r="H42" s="4">
        <v>87.62</v>
      </c>
      <c r="I42" s="4">
        <v>151.72999999999999</v>
      </c>
      <c r="J42" s="4">
        <v>148.34</v>
      </c>
      <c r="K42" s="4">
        <v>0.56000000000000005</v>
      </c>
      <c r="L42" s="4">
        <v>2.83</v>
      </c>
      <c r="M42" s="4">
        <v>22.24</v>
      </c>
      <c r="N42" s="4">
        <v>221.84</v>
      </c>
      <c r="O42" s="4">
        <v>3398.88</v>
      </c>
      <c r="P42" s="4">
        <v>987.15</v>
      </c>
      <c r="Q42" s="4">
        <v>1358.15</v>
      </c>
      <c r="R42" s="4">
        <v>1053.58</v>
      </c>
      <c r="S42" s="4">
        <v>770.46</v>
      </c>
      <c r="T42" s="4">
        <v>519.99</v>
      </c>
      <c r="U42" s="4">
        <v>83.9</v>
      </c>
      <c r="V42" s="4">
        <v>166.57</v>
      </c>
      <c r="W42" s="4">
        <v>4169.34</v>
      </c>
      <c r="X42" s="4">
        <v>0.38</v>
      </c>
      <c r="Y42" s="4">
        <v>66.89</v>
      </c>
      <c r="Z42" s="4">
        <v>74.94</v>
      </c>
      <c r="AA42" s="4">
        <v>220.36</v>
      </c>
      <c r="AB42" s="4">
        <v>4.91</v>
      </c>
      <c r="AC42" s="4">
        <v>215.46</v>
      </c>
      <c r="AD42" s="4">
        <v>25.21</v>
      </c>
      <c r="AE42" s="4">
        <v>197.46</v>
      </c>
      <c r="AF42" s="4">
        <v>1.62</v>
      </c>
      <c r="AG42" s="4">
        <v>24.23</v>
      </c>
      <c r="AH42" s="4">
        <v>8.1300000000000008</v>
      </c>
      <c r="AI42" s="4">
        <v>424.46</v>
      </c>
      <c r="AJ42" s="4">
        <v>41.24</v>
      </c>
      <c r="AK42" s="4">
        <v>116.01</v>
      </c>
      <c r="AL42" s="4">
        <v>13.34</v>
      </c>
    </row>
    <row r="43" spans="1:38" x14ac:dyDescent="0.35">
      <c r="A43" s="7"/>
      <c r="B43" s="7" t="s">
        <v>21</v>
      </c>
      <c r="C43" s="3" t="s">
        <v>22</v>
      </c>
      <c r="D43" s="4">
        <v>349.44</v>
      </c>
      <c r="E43" s="4">
        <v>24.29</v>
      </c>
      <c r="F43" s="4">
        <v>35.75</v>
      </c>
      <c r="G43" s="4">
        <v>93.24</v>
      </c>
      <c r="H43" s="4">
        <v>0.05</v>
      </c>
      <c r="I43" s="4">
        <v>9.4700000000000006</v>
      </c>
      <c r="J43" s="4">
        <v>9.19</v>
      </c>
      <c r="K43" s="4">
        <v>0.01</v>
      </c>
      <c r="L43" s="4">
        <v>0.27</v>
      </c>
      <c r="M43" s="4">
        <v>0</v>
      </c>
      <c r="N43" s="4">
        <v>11.76</v>
      </c>
      <c r="O43" s="4">
        <v>411.51</v>
      </c>
      <c r="P43" s="4">
        <v>116.09</v>
      </c>
      <c r="Q43" s="4">
        <v>131.15</v>
      </c>
      <c r="R43" s="4">
        <v>164.27</v>
      </c>
      <c r="S43" s="4">
        <v>0.26</v>
      </c>
      <c r="T43" s="4">
        <v>0.02</v>
      </c>
      <c r="U43" s="4">
        <v>0</v>
      </c>
      <c r="V43" s="4">
        <v>0.23</v>
      </c>
      <c r="W43" s="4">
        <v>411.77</v>
      </c>
      <c r="X43" s="4">
        <v>0.98</v>
      </c>
      <c r="Y43" s="4">
        <v>11.93</v>
      </c>
      <c r="Z43" s="4">
        <v>1.4</v>
      </c>
      <c r="AA43" s="4">
        <v>18.38</v>
      </c>
      <c r="AB43" s="4">
        <v>18.38</v>
      </c>
      <c r="AC43" s="4">
        <v>0</v>
      </c>
      <c r="AD43" s="4">
        <v>0</v>
      </c>
      <c r="AE43" s="4">
        <v>3.09</v>
      </c>
      <c r="AF43" s="4">
        <v>0.04</v>
      </c>
      <c r="AG43" s="4">
        <v>40.76</v>
      </c>
      <c r="AH43" s="4">
        <v>26.18</v>
      </c>
      <c r="AI43" s="4">
        <v>-0.38</v>
      </c>
      <c r="AJ43" s="4">
        <v>3.19</v>
      </c>
      <c r="AK43" s="4">
        <v>2.25</v>
      </c>
      <c r="AL43" s="4">
        <v>0</v>
      </c>
    </row>
    <row r="44" spans="1:38" x14ac:dyDescent="0.35">
      <c r="A44" s="7"/>
      <c r="B44" s="7"/>
      <c r="C44" s="3" t="s">
        <v>23</v>
      </c>
      <c r="D44" s="4">
        <v>314.73</v>
      </c>
      <c r="E44" s="4">
        <v>14.19</v>
      </c>
      <c r="F44" s="4">
        <v>23.13</v>
      </c>
      <c r="G44" s="4">
        <v>99.44</v>
      </c>
      <c r="H44" s="4">
        <v>2.96</v>
      </c>
      <c r="I44" s="4">
        <v>12.82</v>
      </c>
      <c r="J44" s="4">
        <v>12.71</v>
      </c>
      <c r="K44" s="4">
        <v>0</v>
      </c>
      <c r="L44" s="4">
        <v>0.11</v>
      </c>
      <c r="M44" s="4">
        <v>0</v>
      </c>
      <c r="N44" s="4">
        <v>24.94</v>
      </c>
      <c r="O44" s="4">
        <v>358.9</v>
      </c>
      <c r="P44" s="4">
        <v>80.38</v>
      </c>
      <c r="Q44" s="4">
        <v>113.41</v>
      </c>
      <c r="R44" s="4">
        <v>165.12</v>
      </c>
      <c r="S44" s="4">
        <v>7.49</v>
      </c>
      <c r="T44" s="4">
        <v>0.1</v>
      </c>
      <c r="U44" s="4">
        <v>0.17</v>
      </c>
      <c r="V44" s="4">
        <v>7.22</v>
      </c>
      <c r="W44" s="4">
        <v>366.39</v>
      </c>
      <c r="X44" s="4">
        <v>0</v>
      </c>
      <c r="Y44" s="4">
        <v>9.61</v>
      </c>
      <c r="Z44" s="4">
        <v>4.21</v>
      </c>
      <c r="AA44" s="4">
        <v>20.34</v>
      </c>
      <c r="AB44" s="4">
        <v>20.34</v>
      </c>
      <c r="AC44" s="4">
        <v>0</v>
      </c>
      <c r="AD44" s="4">
        <v>0</v>
      </c>
      <c r="AE44" s="4">
        <v>13.49</v>
      </c>
      <c r="AF44" s="4">
        <v>0.14000000000000001</v>
      </c>
      <c r="AG44" s="4">
        <v>25.69</v>
      </c>
      <c r="AH44" s="4">
        <v>15.89</v>
      </c>
      <c r="AI44" s="4">
        <v>10.85</v>
      </c>
      <c r="AJ44" s="4">
        <v>1.78</v>
      </c>
      <c r="AK44" s="4">
        <v>2.4</v>
      </c>
      <c r="AL44" s="4">
        <v>5.14</v>
      </c>
    </row>
    <row r="45" spans="1:38" x14ac:dyDescent="0.35">
      <c r="A45" s="7"/>
      <c r="B45" s="7" t="s">
        <v>24</v>
      </c>
      <c r="C45" s="3" t="s">
        <v>22</v>
      </c>
      <c r="D45" s="4">
        <v>394.37</v>
      </c>
      <c r="E45" s="4">
        <v>20.93</v>
      </c>
      <c r="F45" s="4">
        <v>45.88</v>
      </c>
      <c r="G45" s="4">
        <v>186.92</v>
      </c>
      <c r="H45" s="4">
        <v>0.63</v>
      </c>
      <c r="I45" s="4">
        <v>12.31</v>
      </c>
      <c r="J45" s="4">
        <v>12.07</v>
      </c>
      <c r="K45" s="4">
        <v>0.09</v>
      </c>
      <c r="L45" s="4">
        <v>0.14000000000000001</v>
      </c>
      <c r="M45" s="4">
        <v>0.26</v>
      </c>
      <c r="N45" s="4">
        <v>22.19</v>
      </c>
      <c r="O45" s="4">
        <v>450.94</v>
      </c>
      <c r="P45" s="4">
        <v>79.17</v>
      </c>
      <c r="Q45" s="4">
        <v>76.05</v>
      </c>
      <c r="R45" s="4">
        <v>295.72000000000003</v>
      </c>
      <c r="S45" s="4">
        <v>50.27</v>
      </c>
      <c r="T45" s="4">
        <v>15.08</v>
      </c>
      <c r="U45" s="4">
        <v>5.91</v>
      </c>
      <c r="V45" s="4">
        <v>29.28</v>
      </c>
      <c r="W45" s="4">
        <v>501.2</v>
      </c>
      <c r="X45" s="4">
        <v>1.32</v>
      </c>
      <c r="Y45" s="4">
        <v>18.57</v>
      </c>
      <c r="Z45" s="4">
        <v>16.73</v>
      </c>
      <c r="AA45" s="4">
        <v>9.64</v>
      </c>
      <c r="AB45" s="4">
        <v>1.71</v>
      </c>
      <c r="AC45" s="4">
        <v>7.92</v>
      </c>
      <c r="AD45" s="4">
        <v>0.23</v>
      </c>
      <c r="AE45" s="4">
        <v>12.38</v>
      </c>
      <c r="AF45" s="4">
        <v>0.13</v>
      </c>
      <c r="AG45" s="4">
        <v>76.650000000000006</v>
      </c>
      <c r="AH45" s="4">
        <v>4.71</v>
      </c>
      <c r="AI45" s="4">
        <v>-5.2</v>
      </c>
      <c r="AJ45" s="4">
        <v>1.96</v>
      </c>
      <c r="AK45" s="4">
        <v>41.84</v>
      </c>
      <c r="AL45" s="4">
        <v>8.16</v>
      </c>
    </row>
    <row r="46" spans="1:38" x14ac:dyDescent="0.35">
      <c r="A46" s="7"/>
      <c r="B46" s="7"/>
      <c r="C46" s="3" t="s">
        <v>23</v>
      </c>
      <c r="D46" s="4">
        <v>444.64</v>
      </c>
      <c r="E46" s="4">
        <v>24.58</v>
      </c>
      <c r="F46" s="4">
        <v>51.09</v>
      </c>
      <c r="G46" s="4">
        <v>165.82</v>
      </c>
      <c r="H46" s="4">
        <v>1.71</v>
      </c>
      <c r="I46" s="4">
        <v>16.62</v>
      </c>
      <c r="J46" s="4">
        <v>16.32</v>
      </c>
      <c r="K46" s="4">
        <v>0.03</v>
      </c>
      <c r="L46" s="4">
        <v>0.27</v>
      </c>
      <c r="M46" s="4">
        <v>4.12</v>
      </c>
      <c r="N46" s="4">
        <v>26.49</v>
      </c>
      <c r="O46" s="4">
        <v>416.56</v>
      </c>
      <c r="P46" s="4">
        <v>90.69</v>
      </c>
      <c r="Q46" s="4">
        <v>90.27</v>
      </c>
      <c r="R46" s="4">
        <v>235.6</v>
      </c>
      <c r="S46" s="4">
        <v>74.5</v>
      </c>
      <c r="T46" s="4">
        <v>33.14</v>
      </c>
      <c r="U46" s="4">
        <v>3.35</v>
      </c>
      <c r="V46" s="4">
        <v>38</v>
      </c>
      <c r="W46" s="4">
        <v>491.06</v>
      </c>
      <c r="X46" s="4">
        <v>0</v>
      </c>
      <c r="Y46" s="4">
        <v>22.4</v>
      </c>
      <c r="Z46" s="4">
        <v>10.99</v>
      </c>
      <c r="AA46" s="4">
        <v>40.590000000000003</v>
      </c>
      <c r="AB46" s="4">
        <v>20.61</v>
      </c>
      <c r="AC46" s="4">
        <v>19.98</v>
      </c>
      <c r="AD46" s="4">
        <v>4</v>
      </c>
      <c r="AE46" s="4">
        <v>12.68</v>
      </c>
      <c r="AF46" s="4">
        <v>0.08</v>
      </c>
      <c r="AG46" s="4">
        <v>66.739999999999995</v>
      </c>
      <c r="AH46" s="4">
        <v>1.78</v>
      </c>
      <c r="AI46" s="4">
        <v>22.74</v>
      </c>
      <c r="AJ46" s="4">
        <v>3.08</v>
      </c>
      <c r="AK46" s="4">
        <v>50.33</v>
      </c>
      <c r="AL46" s="4">
        <v>4.74</v>
      </c>
    </row>
    <row r="47" spans="1:38" x14ac:dyDescent="0.35">
      <c r="A47" s="7"/>
      <c r="B47" s="7"/>
      <c r="C47" s="3" t="s">
        <v>19</v>
      </c>
      <c r="D47" s="4">
        <v>1645.15</v>
      </c>
      <c r="E47" s="4">
        <v>47.29</v>
      </c>
      <c r="F47" s="4">
        <v>138.51</v>
      </c>
      <c r="G47" s="4">
        <v>537.86</v>
      </c>
      <c r="H47" s="4">
        <v>17.100000000000001</v>
      </c>
      <c r="I47" s="4">
        <v>54.34</v>
      </c>
      <c r="J47" s="4">
        <v>53.72</v>
      </c>
      <c r="K47" s="4">
        <v>0.2</v>
      </c>
      <c r="L47" s="4">
        <v>0.42</v>
      </c>
      <c r="M47" s="4">
        <v>20.93</v>
      </c>
      <c r="N47" s="4">
        <v>144.97</v>
      </c>
      <c r="O47" s="4">
        <v>1402.22</v>
      </c>
      <c r="P47" s="4">
        <v>375.95</v>
      </c>
      <c r="Q47" s="4">
        <v>312.95999999999998</v>
      </c>
      <c r="R47" s="4">
        <v>713.31</v>
      </c>
      <c r="S47" s="4">
        <v>460.05</v>
      </c>
      <c r="T47" s="4">
        <v>157.29</v>
      </c>
      <c r="U47" s="4">
        <v>129.49</v>
      </c>
      <c r="V47" s="4">
        <v>173.27</v>
      </c>
      <c r="W47" s="4">
        <v>1862.27</v>
      </c>
      <c r="X47" s="4">
        <v>0</v>
      </c>
      <c r="Y47" s="4">
        <v>55.5</v>
      </c>
      <c r="Z47" s="4">
        <v>12.09</v>
      </c>
      <c r="AA47" s="4">
        <v>74.77</v>
      </c>
      <c r="AB47" s="4">
        <v>10.199999999999999</v>
      </c>
      <c r="AC47" s="4">
        <v>64.569999999999993</v>
      </c>
      <c r="AD47" s="4">
        <v>19.39</v>
      </c>
      <c r="AE47" s="4">
        <v>115.6</v>
      </c>
      <c r="AF47" s="4">
        <v>3.62</v>
      </c>
      <c r="AG47" s="4">
        <v>61.55</v>
      </c>
      <c r="AH47" s="4">
        <v>41.47</v>
      </c>
      <c r="AI47" s="4">
        <v>197.22</v>
      </c>
      <c r="AJ47" s="4">
        <v>11.56</v>
      </c>
      <c r="AK47" s="4">
        <v>93.25</v>
      </c>
      <c r="AL47" s="4">
        <v>21.86</v>
      </c>
    </row>
    <row r="48" spans="1:38" x14ac:dyDescent="0.35">
      <c r="A48" s="7"/>
      <c r="B48" s="7"/>
      <c r="C48" s="3" t="s">
        <v>20</v>
      </c>
      <c r="D48" s="4">
        <v>965.02</v>
      </c>
      <c r="E48" s="4">
        <v>24.62</v>
      </c>
      <c r="F48" s="4">
        <v>63.82</v>
      </c>
      <c r="G48" s="4">
        <v>425.42</v>
      </c>
      <c r="H48" s="4">
        <v>10.37</v>
      </c>
      <c r="I48" s="4">
        <v>30.55</v>
      </c>
      <c r="J48" s="4">
        <v>30.15</v>
      </c>
      <c r="K48" s="4">
        <v>0.02</v>
      </c>
      <c r="L48" s="4">
        <v>0.37</v>
      </c>
      <c r="M48" s="4">
        <v>0.3</v>
      </c>
      <c r="N48" s="4">
        <v>26.66</v>
      </c>
      <c r="O48" s="4">
        <v>1148.3499999999999</v>
      </c>
      <c r="P48" s="4">
        <v>381.52</v>
      </c>
      <c r="Q48" s="4">
        <v>597.35</v>
      </c>
      <c r="R48" s="4">
        <v>169.48</v>
      </c>
      <c r="S48" s="4">
        <v>97.71</v>
      </c>
      <c r="T48" s="4">
        <v>51.17</v>
      </c>
      <c r="U48" s="4">
        <v>28.79</v>
      </c>
      <c r="V48" s="4">
        <v>17.75</v>
      </c>
      <c r="W48" s="4">
        <v>1246.05</v>
      </c>
      <c r="X48" s="4">
        <v>0</v>
      </c>
      <c r="Y48" s="4">
        <v>5.99</v>
      </c>
      <c r="Z48" s="4">
        <v>0</v>
      </c>
      <c r="AA48" s="4">
        <v>0</v>
      </c>
      <c r="AB48" s="4">
        <v>0</v>
      </c>
      <c r="AC48" s="4">
        <v>0</v>
      </c>
      <c r="AD48" s="4">
        <v>0.37</v>
      </c>
      <c r="AE48" s="4">
        <v>20.09</v>
      </c>
      <c r="AF48" s="4">
        <v>0.25</v>
      </c>
      <c r="AG48" s="4">
        <v>1.54</v>
      </c>
      <c r="AH48" s="4">
        <v>4.2699999999999996</v>
      </c>
      <c r="AI48" s="4">
        <v>218.95</v>
      </c>
      <c r="AJ48" s="4">
        <v>20.82</v>
      </c>
      <c r="AK48" s="4">
        <v>2.2599999999999998</v>
      </c>
      <c r="AL48" s="4">
        <v>7.0000000000000007E-2</v>
      </c>
    </row>
    <row r="49" spans="1:38" x14ac:dyDescent="0.35">
      <c r="A49" s="7"/>
      <c r="B49" s="7" t="s">
        <v>25</v>
      </c>
      <c r="C49" s="3" t="s">
        <v>22</v>
      </c>
      <c r="D49" s="4">
        <v>15.58</v>
      </c>
      <c r="E49" s="4">
        <v>0.16</v>
      </c>
      <c r="F49" s="4">
        <v>12.08</v>
      </c>
      <c r="G49" s="4">
        <v>16.510000000000002</v>
      </c>
      <c r="H49" s="4">
        <v>0</v>
      </c>
      <c r="I49" s="4">
        <v>0.02</v>
      </c>
      <c r="J49" s="4">
        <v>0.02</v>
      </c>
      <c r="K49" s="4">
        <v>0</v>
      </c>
      <c r="L49" s="4">
        <v>0</v>
      </c>
      <c r="M49" s="4">
        <v>2.7</v>
      </c>
      <c r="N49" s="4">
        <v>4.7300000000000004</v>
      </c>
      <c r="O49" s="4">
        <v>16.73</v>
      </c>
      <c r="P49" s="4">
        <v>11.67</v>
      </c>
      <c r="Q49" s="4">
        <v>0</v>
      </c>
      <c r="R49" s="4">
        <v>5.0599999999999996</v>
      </c>
      <c r="S49" s="4">
        <v>5.42</v>
      </c>
      <c r="T49" s="4">
        <v>5.42</v>
      </c>
      <c r="U49" s="4">
        <v>0</v>
      </c>
      <c r="V49" s="4">
        <v>0</v>
      </c>
      <c r="W49" s="4">
        <v>22.15</v>
      </c>
      <c r="X49" s="4">
        <v>0</v>
      </c>
      <c r="Y49" s="4">
        <v>0.02</v>
      </c>
      <c r="Z49" s="4">
        <v>0</v>
      </c>
      <c r="AA49" s="4">
        <v>0</v>
      </c>
      <c r="AB49" s="4">
        <v>0</v>
      </c>
      <c r="AC49" s="4">
        <v>0</v>
      </c>
      <c r="AD49" s="4">
        <v>2.4700000000000002</v>
      </c>
      <c r="AE49" s="4">
        <v>0.08</v>
      </c>
      <c r="AF49" s="4">
        <v>0</v>
      </c>
      <c r="AG49" s="4">
        <v>0</v>
      </c>
      <c r="AH49" s="4">
        <v>0</v>
      </c>
      <c r="AI49" s="4">
        <v>2.09</v>
      </c>
      <c r="AJ49" s="4">
        <v>-0.02</v>
      </c>
      <c r="AK49" s="4">
        <v>0</v>
      </c>
      <c r="AL49" s="4">
        <v>0</v>
      </c>
    </row>
    <row r="50" spans="1:38" x14ac:dyDescent="0.35">
      <c r="A50" s="7"/>
      <c r="B50" s="7"/>
      <c r="C50" s="3" t="s">
        <v>23</v>
      </c>
      <c r="D50" s="4">
        <v>214.24</v>
      </c>
      <c r="E50" s="4">
        <v>49.15</v>
      </c>
      <c r="F50" s="4">
        <v>55.35</v>
      </c>
      <c r="G50" s="4">
        <v>170.8</v>
      </c>
      <c r="H50" s="4">
        <v>0.02</v>
      </c>
      <c r="I50" s="4">
        <v>2.37</v>
      </c>
      <c r="J50" s="4">
        <v>2.37</v>
      </c>
      <c r="K50" s="4">
        <v>0</v>
      </c>
      <c r="L50" s="4">
        <v>0</v>
      </c>
      <c r="M50" s="4">
        <v>14.59</v>
      </c>
      <c r="N50" s="4">
        <v>34.51</v>
      </c>
      <c r="O50" s="4">
        <v>138.5</v>
      </c>
      <c r="P50" s="4">
        <v>98.83</v>
      </c>
      <c r="Q50" s="4">
        <v>5.19</v>
      </c>
      <c r="R50" s="4">
        <v>34.479999999999997</v>
      </c>
      <c r="S50" s="4">
        <v>128.01</v>
      </c>
      <c r="T50" s="4">
        <v>105.82</v>
      </c>
      <c r="U50" s="4">
        <v>3.63</v>
      </c>
      <c r="V50" s="4">
        <v>18.559999999999999</v>
      </c>
      <c r="W50" s="4">
        <v>266.51</v>
      </c>
      <c r="X50" s="4">
        <v>0</v>
      </c>
      <c r="Y50" s="4">
        <v>27.67</v>
      </c>
      <c r="Z50" s="4">
        <v>0</v>
      </c>
      <c r="AA50" s="4">
        <v>0</v>
      </c>
      <c r="AB50" s="4">
        <v>0</v>
      </c>
      <c r="AC50" s="4">
        <v>0</v>
      </c>
      <c r="AD50" s="4">
        <v>26.39</v>
      </c>
      <c r="AE50" s="4">
        <v>2.59</v>
      </c>
      <c r="AF50" s="4">
        <v>0.71</v>
      </c>
      <c r="AG50" s="4">
        <v>3.62</v>
      </c>
      <c r="AH50" s="4">
        <v>0</v>
      </c>
      <c r="AI50" s="4">
        <v>57.3</v>
      </c>
      <c r="AJ50" s="4">
        <v>3.78</v>
      </c>
      <c r="AK50" s="4">
        <v>0</v>
      </c>
      <c r="AL50" s="4">
        <v>0</v>
      </c>
    </row>
    <row r="51" spans="1:38" x14ac:dyDescent="0.35">
      <c r="A51" s="7" t="s">
        <v>29</v>
      </c>
      <c r="B51" s="7" t="s">
        <v>18</v>
      </c>
      <c r="C51" s="3" t="s">
        <v>19</v>
      </c>
      <c r="D51" s="4">
        <v>678.75</v>
      </c>
      <c r="E51" s="4">
        <v>14.82</v>
      </c>
      <c r="F51" s="4">
        <v>31.16</v>
      </c>
      <c r="G51" s="4">
        <v>119.02</v>
      </c>
      <c r="H51" s="4">
        <v>7.19</v>
      </c>
      <c r="I51" s="4">
        <v>29.07</v>
      </c>
      <c r="J51" s="4">
        <v>28.94</v>
      </c>
      <c r="K51" s="4">
        <v>0.05</v>
      </c>
      <c r="L51" s="4">
        <v>0.08</v>
      </c>
      <c r="M51" s="4">
        <v>0</v>
      </c>
      <c r="N51" s="4">
        <v>15.32</v>
      </c>
      <c r="O51" s="4">
        <v>705.49</v>
      </c>
      <c r="P51" s="4">
        <v>195.26</v>
      </c>
      <c r="Q51" s="4">
        <v>197.67</v>
      </c>
      <c r="R51" s="4">
        <v>312.56</v>
      </c>
      <c r="S51" s="4">
        <v>39.56</v>
      </c>
      <c r="T51" s="4">
        <v>20.100000000000001</v>
      </c>
      <c r="U51" s="4">
        <v>3.27</v>
      </c>
      <c r="V51" s="4">
        <v>16.190000000000001</v>
      </c>
      <c r="W51" s="4">
        <v>745.05</v>
      </c>
      <c r="X51" s="4">
        <v>0</v>
      </c>
      <c r="Y51" s="4">
        <v>0.79</v>
      </c>
      <c r="Z51" s="4">
        <v>9.92</v>
      </c>
      <c r="AA51" s="4">
        <v>34.33</v>
      </c>
      <c r="AB51" s="4">
        <v>33.549999999999997</v>
      </c>
      <c r="AC51" s="4">
        <v>0.78</v>
      </c>
      <c r="AD51" s="4">
        <v>0.05</v>
      </c>
      <c r="AE51" s="4">
        <v>2.61</v>
      </c>
      <c r="AF51" s="4">
        <v>0.03</v>
      </c>
      <c r="AG51" s="4">
        <v>30.08</v>
      </c>
      <c r="AH51" s="4">
        <v>10.25</v>
      </c>
      <c r="AI51" s="4">
        <v>38.630000000000003</v>
      </c>
      <c r="AJ51" s="4">
        <v>4.88</v>
      </c>
      <c r="AK51" s="4">
        <v>0.78</v>
      </c>
      <c r="AL51" s="4">
        <v>5.69</v>
      </c>
    </row>
    <row r="52" spans="1:38" x14ac:dyDescent="0.35">
      <c r="A52" s="7"/>
      <c r="B52" s="7"/>
      <c r="C52" s="3" t="s">
        <v>20</v>
      </c>
      <c r="D52" s="4">
        <v>3938.02</v>
      </c>
      <c r="E52" s="4">
        <v>164.61</v>
      </c>
      <c r="F52" s="4">
        <v>284.82</v>
      </c>
      <c r="G52" s="4">
        <v>811.78</v>
      </c>
      <c r="H52" s="4">
        <v>87.49</v>
      </c>
      <c r="I52" s="4">
        <v>152.55000000000001</v>
      </c>
      <c r="J52" s="4">
        <v>149.13999999999999</v>
      </c>
      <c r="K52" s="4">
        <v>0.59</v>
      </c>
      <c r="L52" s="4">
        <v>2.82</v>
      </c>
      <c r="M52" s="4">
        <v>34.159999999999997</v>
      </c>
      <c r="N52" s="4">
        <v>196.4</v>
      </c>
      <c r="O52" s="4">
        <v>3498.12</v>
      </c>
      <c r="P52" s="4">
        <v>1028.03</v>
      </c>
      <c r="Q52" s="4">
        <v>1360.71</v>
      </c>
      <c r="R52" s="4">
        <v>1109.3800000000001</v>
      </c>
      <c r="S52" s="4">
        <v>828.56</v>
      </c>
      <c r="T52" s="4">
        <v>560.59</v>
      </c>
      <c r="U52" s="4">
        <v>92.28</v>
      </c>
      <c r="V52" s="4">
        <v>175.69</v>
      </c>
      <c r="W52" s="4">
        <v>4326.68</v>
      </c>
      <c r="X52" s="4">
        <v>0.33</v>
      </c>
      <c r="Y52" s="4">
        <v>61.91</v>
      </c>
      <c r="Z52" s="4">
        <v>76.09</v>
      </c>
      <c r="AA52" s="4">
        <v>230.85</v>
      </c>
      <c r="AB52" s="4">
        <v>4.9000000000000004</v>
      </c>
      <c r="AC52" s="4">
        <v>225.95</v>
      </c>
      <c r="AD52" s="4">
        <v>41.47</v>
      </c>
      <c r="AE52" s="4">
        <v>165.86</v>
      </c>
      <c r="AF52" s="4">
        <v>1.69</v>
      </c>
      <c r="AG52" s="4">
        <v>24.25</v>
      </c>
      <c r="AH52" s="4">
        <v>8.1300000000000008</v>
      </c>
      <c r="AI52" s="4">
        <v>424.46</v>
      </c>
      <c r="AJ52" s="4">
        <v>52.79</v>
      </c>
      <c r="AK52" s="4">
        <v>115.99</v>
      </c>
      <c r="AL52" s="4">
        <v>13.75</v>
      </c>
    </row>
    <row r="53" spans="1:38" x14ac:dyDescent="0.35">
      <c r="A53" s="7"/>
      <c r="B53" s="7" t="s">
        <v>21</v>
      </c>
      <c r="C53" s="3" t="s">
        <v>22</v>
      </c>
      <c r="D53" s="4">
        <v>352.08</v>
      </c>
      <c r="E53" s="4">
        <v>22.57</v>
      </c>
      <c r="F53" s="4">
        <v>35.06</v>
      </c>
      <c r="G53" s="4">
        <v>90.65</v>
      </c>
      <c r="H53" s="4">
        <v>0.05</v>
      </c>
      <c r="I53" s="4">
        <v>9.59</v>
      </c>
      <c r="J53" s="4">
        <v>9.31</v>
      </c>
      <c r="K53" s="4">
        <v>0.01</v>
      </c>
      <c r="L53" s="4">
        <v>0.27</v>
      </c>
      <c r="M53" s="4">
        <v>0</v>
      </c>
      <c r="N53" s="4">
        <v>11.6</v>
      </c>
      <c r="O53" s="4">
        <v>409.52</v>
      </c>
      <c r="P53" s="4">
        <v>114.33</v>
      </c>
      <c r="Q53" s="4">
        <v>129.63</v>
      </c>
      <c r="R53" s="4">
        <v>165.55</v>
      </c>
      <c r="S53" s="4">
        <v>0.36</v>
      </c>
      <c r="T53" s="4">
        <v>0.03</v>
      </c>
      <c r="U53" s="4">
        <v>0</v>
      </c>
      <c r="V53" s="4">
        <v>0.32</v>
      </c>
      <c r="W53" s="4">
        <v>409.88</v>
      </c>
      <c r="X53" s="4">
        <v>0</v>
      </c>
      <c r="Y53" s="4">
        <v>12.17</v>
      </c>
      <c r="Z53" s="4">
        <v>1.4</v>
      </c>
      <c r="AA53" s="4">
        <v>16.84</v>
      </c>
      <c r="AB53" s="4">
        <v>16.84</v>
      </c>
      <c r="AC53" s="4">
        <v>0</v>
      </c>
      <c r="AD53" s="4">
        <v>0.01</v>
      </c>
      <c r="AE53" s="4">
        <v>3.29</v>
      </c>
      <c r="AF53" s="4">
        <v>0.04</v>
      </c>
      <c r="AG53" s="4">
        <v>40.770000000000003</v>
      </c>
      <c r="AH53" s="4">
        <v>26.02</v>
      </c>
      <c r="AI53" s="4">
        <v>-0.42</v>
      </c>
      <c r="AJ53" s="4">
        <v>3.95</v>
      </c>
      <c r="AK53" s="4">
        <v>2.27</v>
      </c>
      <c r="AL53" s="4">
        <v>0</v>
      </c>
    </row>
    <row r="54" spans="1:38" x14ac:dyDescent="0.35">
      <c r="A54" s="7"/>
      <c r="B54" s="7"/>
      <c r="C54" s="3" t="s">
        <v>23</v>
      </c>
      <c r="D54" s="4">
        <v>316.92</v>
      </c>
      <c r="E54" s="4">
        <v>14.64</v>
      </c>
      <c r="F54" s="4">
        <v>33.28</v>
      </c>
      <c r="G54" s="4">
        <v>96.95</v>
      </c>
      <c r="H54" s="4">
        <v>2.96</v>
      </c>
      <c r="I54" s="4">
        <v>13.08</v>
      </c>
      <c r="J54" s="4">
        <v>12.97</v>
      </c>
      <c r="K54" s="4">
        <v>0</v>
      </c>
      <c r="L54" s="4">
        <v>0.11</v>
      </c>
      <c r="M54" s="4">
        <v>0</v>
      </c>
      <c r="N54" s="4">
        <v>26.57</v>
      </c>
      <c r="O54" s="4">
        <v>375.86</v>
      </c>
      <c r="P54" s="4">
        <v>92.15</v>
      </c>
      <c r="Q54" s="4">
        <v>110.28</v>
      </c>
      <c r="R54" s="4">
        <v>173.43</v>
      </c>
      <c r="S54" s="4">
        <v>8.06</v>
      </c>
      <c r="T54" s="4">
        <v>0.11</v>
      </c>
      <c r="U54" s="4">
        <v>0.16</v>
      </c>
      <c r="V54" s="4">
        <v>7.79</v>
      </c>
      <c r="W54" s="4">
        <v>383.92</v>
      </c>
      <c r="X54" s="4">
        <v>0</v>
      </c>
      <c r="Y54" s="4">
        <v>9.6999999999999993</v>
      </c>
      <c r="Z54" s="4">
        <v>4.25</v>
      </c>
      <c r="AA54" s="4">
        <v>10.85</v>
      </c>
      <c r="AB54" s="4">
        <v>10.85</v>
      </c>
      <c r="AC54" s="4">
        <v>0</v>
      </c>
      <c r="AD54" s="4">
        <v>0.02</v>
      </c>
      <c r="AE54" s="4">
        <v>16.84</v>
      </c>
      <c r="AF54" s="4">
        <v>0.14000000000000001</v>
      </c>
      <c r="AG54" s="4">
        <v>25.69</v>
      </c>
      <c r="AH54" s="4">
        <v>16.59</v>
      </c>
      <c r="AI54" s="4">
        <v>9.3000000000000007</v>
      </c>
      <c r="AJ54" s="4">
        <v>2.1800000000000002</v>
      </c>
      <c r="AK54" s="4">
        <v>2.4</v>
      </c>
      <c r="AL54" s="4">
        <v>5.14</v>
      </c>
    </row>
    <row r="55" spans="1:38" x14ac:dyDescent="0.35">
      <c r="A55" s="7"/>
      <c r="B55" s="7" t="s">
        <v>24</v>
      </c>
      <c r="C55" s="3" t="s">
        <v>22</v>
      </c>
      <c r="D55" s="4">
        <v>400.37</v>
      </c>
      <c r="E55" s="4">
        <v>16.760000000000002</v>
      </c>
      <c r="F55" s="4">
        <v>51</v>
      </c>
      <c r="G55" s="4">
        <v>186.34</v>
      </c>
      <c r="H55" s="4">
        <v>0.63</v>
      </c>
      <c r="I55" s="4">
        <v>12.53</v>
      </c>
      <c r="J55" s="4">
        <v>12.3</v>
      </c>
      <c r="K55" s="4">
        <v>0.09</v>
      </c>
      <c r="L55" s="4">
        <v>0.14000000000000001</v>
      </c>
      <c r="M55" s="4">
        <v>0.47</v>
      </c>
      <c r="N55" s="4">
        <v>14.78</v>
      </c>
      <c r="O55" s="4">
        <v>441.65</v>
      </c>
      <c r="P55" s="4">
        <v>79.05</v>
      </c>
      <c r="Q55" s="4">
        <v>76.099999999999994</v>
      </c>
      <c r="R55" s="4">
        <v>286.51</v>
      </c>
      <c r="S55" s="4">
        <v>53.11</v>
      </c>
      <c r="T55" s="4">
        <v>19.68</v>
      </c>
      <c r="U55" s="4">
        <v>2.87</v>
      </c>
      <c r="V55" s="4">
        <v>30.56</v>
      </c>
      <c r="W55" s="4">
        <v>494.76</v>
      </c>
      <c r="X55" s="4">
        <v>4.04</v>
      </c>
      <c r="Y55" s="4">
        <v>20.34</v>
      </c>
      <c r="Z55" s="4">
        <v>18.57</v>
      </c>
      <c r="AA55" s="4">
        <v>11.58</v>
      </c>
      <c r="AB55" s="4">
        <v>1.89</v>
      </c>
      <c r="AC55" s="4">
        <v>9.6999999999999993</v>
      </c>
      <c r="AD55" s="4">
        <v>0.45</v>
      </c>
      <c r="AE55" s="4">
        <v>11.06</v>
      </c>
      <c r="AF55" s="4">
        <v>0.14000000000000001</v>
      </c>
      <c r="AG55" s="4">
        <v>76.650000000000006</v>
      </c>
      <c r="AH55" s="4">
        <v>4.75</v>
      </c>
      <c r="AI55" s="4">
        <v>-5.85</v>
      </c>
      <c r="AJ55" s="4">
        <v>2.42</v>
      </c>
      <c r="AK55" s="4">
        <v>42.24</v>
      </c>
      <c r="AL55" s="4">
        <v>8.18</v>
      </c>
    </row>
    <row r="56" spans="1:38" x14ac:dyDescent="0.35">
      <c r="A56" s="7"/>
      <c r="B56" s="7"/>
      <c r="C56" s="3" t="s">
        <v>23</v>
      </c>
      <c r="D56" s="4">
        <v>456.97</v>
      </c>
      <c r="E56" s="4">
        <v>24.52</v>
      </c>
      <c r="F56" s="4">
        <v>60.99</v>
      </c>
      <c r="G56" s="4">
        <v>159.38</v>
      </c>
      <c r="H56" s="4">
        <v>1.7</v>
      </c>
      <c r="I56" s="4">
        <v>18.02</v>
      </c>
      <c r="J56" s="4">
        <v>17.72</v>
      </c>
      <c r="K56" s="4">
        <v>0.03</v>
      </c>
      <c r="L56" s="4">
        <v>0.27</v>
      </c>
      <c r="M56" s="4">
        <v>6.44</v>
      </c>
      <c r="N56" s="4">
        <v>23.19</v>
      </c>
      <c r="O56" s="4">
        <v>411.84</v>
      </c>
      <c r="P56" s="4">
        <v>92.19</v>
      </c>
      <c r="Q56" s="4">
        <v>90.99</v>
      </c>
      <c r="R56" s="4">
        <v>228.67</v>
      </c>
      <c r="S56" s="4">
        <v>81.27</v>
      </c>
      <c r="T56" s="4">
        <v>37.229999999999997</v>
      </c>
      <c r="U56" s="4">
        <v>3.11</v>
      </c>
      <c r="V56" s="4">
        <v>40.92</v>
      </c>
      <c r="W56" s="4">
        <v>493.11</v>
      </c>
      <c r="X56" s="4">
        <v>0.2</v>
      </c>
      <c r="Y56" s="4">
        <v>25.07</v>
      </c>
      <c r="Z56" s="4">
        <v>11.21</v>
      </c>
      <c r="AA56" s="4">
        <v>41.58</v>
      </c>
      <c r="AB56" s="4">
        <v>20.68</v>
      </c>
      <c r="AC56" s="4">
        <v>20.9</v>
      </c>
      <c r="AD56" s="4">
        <v>6.12</v>
      </c>
      <c r="AE56" s="4">
        <v>17.64</v>
      </c>
      <c r="AF56" s="4">
        <v>0.09</v>
      </c>
      <c r="AG56" s="4">
        <v>66.739999999999995</v>
      </c>
      <c r="AH56" s="4">
        <v>1.79</v>
      </c>
      <c r="AI56" s="4">
        <v>20.11</v>
      </c>
      <c r="AJ56" s="4">
        <v>3.83</v>
      </c>
      <c r="AK56" s="4">
        <v>50.43</v>
      </c>
      <c r="AL56" s="4">
        <v>4.74</v>
      </c>
    </row>
    <row r="57" spans="1:38" x14ac:dyDescent="0.35">
      <c r="A57" s="7"/>
      <c r="B57" s="7"/>
      <c r="C57" s="3" t="s">
        <v>19</v>
      </c>
      <c r="D57" s="4">
        <v>1670.95</v>
      </c>
      <c r="E57" s="4">
        <v>52.08</v>
      </c>
      <c r="F57" s="4">
        <v>163.30000000000001</v>
      </c>
      <c r="G57" s="4">
        <v>525.94000000000005</v>
      </c>
      <c r="H57" s="4">
        <v>17.09</v>
      </c>
      <c r="I57" s="4">
        <v>54.78</v>
      </c>
      <c r="J57" s="4">
        <v>54.16</v>
      </c>
      <c r="K57" s="4">
        <v>0.2</v>
      </c>
      <c r="L57" s="4">
        <v>0.42</v>
      </c>
      <c r="M57" s="4">
        <v>37.270000000000003</v>
      </c>
      <c r="N57" s="4">
        <v>148.79</v>
      </c>
      <c r="O57" s="4">
        <v>1388.03</v>
      </c>
      <c r="P57" s="4">
        <v>372.22</v>
      </c>
      <c r="Q57" s="4">
        <v>307.70999999999998</v>
      </c>
      <c r="R57" s="4">
        <v>708.1</v>
      </c>
      <c r="S57" s="4">
        <v>491.79</v>
      </c>
      <c r="T57" s="4">
        <v>179.18</v>
      </c>
      <c r="U57" s="4">
        <v>135.32</v>
      </c>
      <c r="V57" s="4">
        <v>177.29</v>
      </c>
      <c r="W57" s="4">
        <v>1879.82</v>
      </c>
      <c r="X57" s="4">
        <v>0</v>
      </c>
      <c r="Y57" s="4">
        <v>58.7</v>
      </c>
      <c r="Z57" s="4">
        <v>11.84</v>
      </c>
      <c r="AA57" s="4">
        <v>73.16</v>
      </c>
      <c r="AB57" s="4">
        <v>6</v>
      </c>
      <c r="AC57" s="4">
        <v>67.16</v>
      </c>
      <c r="AD57" s="4">
        <v>34.270000000000003</v>
      </c>
      <c r="AE57" s="4">
        <v>129.35</v>
      </c>
      <c r="AF57" s="4">
        <v>4.32</v>
      </c>
      <c r="AG57" s="4">
        <v>61.55</v>
      </c>
      <c r="AH57" s="4">
        <v>41.76</v>
      </c>
      <c r="AI57" s="4">
        <v>196.75</v>
      </c>
      <c r="AJ57" s="4">
        <v>14.02</v>
      </c>
      <c r="AK57" s="4">
        <v>93.25</v>
      </c>
      <c r="AL57" s="4">
        <v>23.76</v>
      </c>
    </row>
    <row r="58" spans="1:38" x14ac:dyDescent="0.35">
      <c r="A58" s="7"/>
      <c r="B58" s="7"/>
      <c r="C58" s="3" t="s">
        <v>20</v>
      </c>
      <c r="D58" s="4">
        <v>969.1</v>
      </c>
      <c r="E58" s="4">
        <v>29.53</v>
      </c>
      <c r="F58" s="4">
        <v>60.51</v>
      </c>
      <c r="G58" s="4">
        <v>433.54</v>
      </c>
      <c r="H58" s="4">
        <v>10.37</v>
      </c>
      <c r="I58" s="4">
        <v>30.62</v>
      </c>
      <c r="J58" s="4">
        <v>30.24</v>
      </c>
      <c r="K58" s="4">
        <v>0.02</v>
      </c>
      <c r="L58" s="4">
        <v>0.36</v>
      </c>
      <c r="M58" s="4">
        <v>0.85</v>
      </c>
      <c r="N58" s="4">
        <v>32.5</v>
      </c>
      <c r="O58" s="4">
        <v>1151.0899999999999</v>
      </c>
      <c r="P58" s="4">
        <v>390.25</v>
      </c>
      <c r="Q58" s="4">
        <v>592.84</v>
      </c>
      <c r="R58" s="4">
        <v>168.01</v>
      </c>
      <c r="S58" s="4">
        <v>105.76</v>
      </c>
      <c r="T58" s="4">
        <v>54.08</v>
      </c>
      <c r="U58" s="4">
        <v>32.54</v>
      </c>
      <c r="V58" s="4">
        <v>19.13</v>
      </c>
      <c r="W58" s="4">
        <v>1256.8499999999999</v>
      </c>
      <c r="X58" s="4">
        <v>0</v>
      </c>
      <c r="Y58" s="4">
        <v>9.74</v>
      </c>
      <c r="Z58" s="4">
        <v>0</v>
      </c>
      <c r="AA58" s="4">
        <v>0.1</v>
      </c>
      <c r="AB58" s="4">
        <v>0</v>
      </c>
      <c r="AC58" s="4">
        <v>0.1</v>
      </c>
      <c r="AD58" s="4">
        <v>0.76</v>
      </c>
      <c r="AE58" s="4">
        <v>24.66</v>
      </c>
      <c r="AF58" s="4">
        <v>0.21</v>
      </c>
      <c r="AG58" s="4">
        <v>1.54</v>
      </c>
      <c r="AH58" s="4">
        <v>4.2699999999999996</v>
      </c>
      <c r="AI58" s="4">
        <v>218.95</v>
      </c>
      <c r="AJ58" s="4">
        <v>25.68</v>
      </c>
      <c r="AK58" s="4">
        <v>2.2599999999999998</v>
      </c>
      <c r="AL58" s="4">
        <v>7.0000000000000007E-2</v>
      </c>
    </row>
    <row r="59" spans="1:38" x14ac:dyDescent="0.35">
      <c r="A59" s="7"/>
      <c r="B59" s="7" t="s">
        <v>25</v>
      </c>
      <c r="C59" s="3" t="s">
        <v>22</v>
      </c>
      <c r="D59" s="4">
        <v>18.059999999999999</v>
      </c>
      <c r="E59" s="4">
        <v>0.71</v>
      </c>
      <c r="F59" s="4">
        <v>12.44</v>
      </c>
      <c r="G59" s="4">
        <v>17.850000000000001</v>
      </c>
      <c r="H59" s="4">
        <v>0</v>
      </c>
      <c r="I59" s="4">
        <v>0.02</v>
      </c>
      <c r="J59" s="4">
        <v>0.02</v>
      </c>
      <c r="K59" s="4">
        <v>0</v>
      </c>
      <c r="L59" s="4">
        <v>0</v>
      </c>
      <c r="M59" s="4">
        <v>5.26</v>
      </c>
      <c r="N59" s="4">
        <v>6.48</v>
      </c>
      <c r="O59" s="4">
        <v>17.54</v>
      </c>
      <c r="P59" s="4">
        <v>13.11</v>
      </c>
      <c r="Q59" s="4">
        <v>0</v>
      </c>
      <c r="R59" s="4">
        <v>4.43</v>
      </c>
      <c r="S59" s="4">
        <v>6.21</v>
      </c>
      <c r="T59" s="4">
        <v>6.21</v>
      </c>
      <c r="U59" s="4">
        <v>0</v>
      </c>
      <c r="V59" s="4">
        <v>0</v>
      </c>
      <c r="W59" s="4">
        <v>23.75</v>
      </c>
      <c r="X59" s="4">
        <v>0</v>
      </c>
      <c r="Y59" s="4">
        <v>1.35</v>
      </c>
      <c r="Z59" s="4">
        <v>0</v>
      </c>
      <c r="AA59" s="4">
        <v>0</v>
      </c>
      <c r="AB59" s="4">
        <v>0</v>
      </c>
      <c r="AC59" s="4">
        <v>0</v>
      </c>
      <c r="AD59" s="4">
        <v>4.4800000000000004</v>
      </c>
      <c r="AE59" s="4">
        <v>2.1800000000000002</v>
      </c>
      <c r="AF59" s="4">
        <v>0</v>
      </c>
      <c r="AG59" s="4">
        <v>0</v>
      </c>
      <c r="AH59" s="4">
        <v>0</v>
      </c>
      <c r="AI59" s="4">
        <v>1.51</v>
      </c>
      <c r="AJ59" s="4">
        <v>0.09</v>
      </c>
      <c r="AK59" s="4">
        <v>0</v>
      </c>
      <c r="AL59" s="4">
        <v>0</v>
      </c>
    </row>
    <row r="60" spans="1:38" x14ac:dyDescent="0.35">
      <c r="A60" s="7"/>
      <c r="B60" s="7"/>
      <c r="C60" s="3" t="s">
        <v>23</v>
      </c>
      <c r="D60" s="4">
        <v>217.97</v>
      </c>
      <c r="E60" s="4">
        <v>63.98</v>
      </c>
      <c r="F60" s="4">
        <v>62.34</v>
      </c>
      <c r="G60" s="4">
        <v>174.82</v>
      </c>
      <c r="H60" s="4">
        <v>0.02</v>
      </c>
      <c r="I60" s="4">
        <v>2.4</v>
      </c>
      <c r="J60" s="4">
        <v>2.39</v>
      </c>
      <c r="K60" s="4">
        <v>0</v>
      </c>
      <c r="L60" s="4">
        <v>0</v>
      </c>
      <c r="M60" s="4">
        <v>27.06</v>
      </c>
      <c r="N60" s="4">
        <v>28.65</v>
      </c>
      <c r="O60" s="4">
        <v>142.09</v>
      </c>
      <c r="P60" s="4">
        <v>103.17</v>
      </c>
      <c r="Q60" s="4">
        <v>5.5</v>
      </c>
      <c r="R60" s="4">
        <v>33.42</v>
      </c>
      <c r="S60" s="4">
        <v>138.41</v>
      </c>
      <c r="T60" s="4">
        <v>116.43</v>
      </c>
      <c r="U60" s="4">
        <v>2.88</v>
      </c>
      <c r="V60" s="4">
        <v>19.100000000000001</v>
      </c>
      <c r="W60" s="4">
        <v>280.5</v>
      </c>
      <c r="X60" s="4">
        <v>1.03</v>
      </c>
      <c r="Y60" s="4">
        <v>29.5</v>
      </c>
      <c r="Z60" s="4">
        <v>0</v>
      </c>
      <c r="AA60" s="4">
        <v>0.01</v>
      </c>
      <c r="AB60" s="4">
        <v>0</v>
      </c>
      <c r="AC60" s="4">
        <v>0.01</v>
      </c>
      <c r="AD60" s="4">
        <v>37.619999999999997</v>
      </c>
      <c r="AE60" s="4">
        <v>1.85</v>
      </c>
      <c r="AF60" s="4">
        <v>0.34</v>
      </c>
      <c r="AG60" s="4">
        <v>3.62</v>
      </c>
      <c r="AH60" s="4">
        <v>0</v>
      </c>
      <c r="AI60" s="4">
        <v>56.3</v>
      </c>
      <c r="AJ60" s="4">
        <v>4.62</v>
      </c>
      <c r="AK60" s="4">
        <v>0</v>
      </c>
      <c r="AL60" s="4">
        <v>0</v>
      </c>
    </row>
    <row r="61" spans="1:38" x14ac:dyDescent="0.35">
      <c r="A61" s="7" t="s">
        <v>30</v>
      </c>
      <c r="B61" s="7" t="s">
        <v>18</v>
      </c>
      <c r="C61" s="3" t="s">
        <v>19</v>
      </c>
      <c r="D61" s="4">
        <v>698.01</v>
      </c>
      <c r="E61" s="4">
        <v>4.72</v>
      </c>
      <c r="F61" s="4">
        <v>57.66</v>
      </c>
      <c r="G61" s="4">
        <v>115.92</v>
      </c>
      <c r="H61" s="4">
        <v>7.19</v>
      </c>
      <c r="I61" s="4">
        <v>28.84</v>
      </c>
      <c r="J61" s="4">
        <v>28.76</v>
      </c>
      <c r="K61" s="4">
        <v>0.04</v>
      </c>
      <c r="L61" s="4">
        <v>0.04</v>
      </c>
      <c r="M61" s="4">
        <v>0</v>
      </c>
      <c r="N61" s="4">
        <v>15.88</v>
      </c>
      <c r="O61" s="4">
        <v>725.51</v>
      </c>
      <c r="P61" s="4">
        <v>183.76</v>
      </c>
      <c r="Q61" s="4">
        <v>207.61</v>
      </c>
      <c r="R61" s="4">
        <v>334.14</v>
      </c>
      <c r="S61" s="4">
        <v>39.36</v>
      </c>
      <c r="T61" s="4">
        <v>18.899999999999999</v>
      </c>
      <c r="U61" s="4">
        <v>3.41</v>
      </c>
      <c r="V61" s="4">
        <v>17.05</v>
      </c>
      <c r="W61" s="4">
        <v>764.87</v>
      </c>
      <c r="X61" s="4">
        <v>1.07</v>
      </c>
      <c r="Y61" s="4">
        <v>1.46</v>
      </c>
      <c r="Z61" s="4">
        <v>10.18</v>
      </c>
      <c r="AA61" s="4">
        <v>42.64</v>
      </c>
      <c r="AB61" s="4">
        <v>41.87</v>
      </c>
      <c r="AC61" s="4">
        <v>0.77</v>
      </c>
      <c r="AD61" s="4">
        <v>0</v>
      </c>
      <c r="AE61" s="4">
        <v>7.43</v>
      </c>
      <c r="AF61" s="4">
        <v>0.03</v>
      </c>
      <c r="AG61" s="4">
        <v>30.08</v>
      </c>
      <c r="AH61" s="4">
        <v>10.25</v>
      </c>
      <c r="AI61" s="4">
        <v>38.630000000000003</v>
      </c>
      <c r="AJ61" s="4">
        <v>6.11</v>
      </c>
      <c r="AK61" s="4">
        <v>0.78</v>
      </c>
      <c r="AL61" s="4">
        <v>5.69</v>
      </c>
    </row>
    <row r="62" spans="1:38" x14ac:dyDescent="0.35">
      <c r="A62" s="7"/>
      <c r="B62" s="7"/>
      <c r="C62" s="3" t="s">
        <v>20</v>
      </c>
      <c r="D62" s="4">
        <v>3980.78</v>
      </c>
      <c r="E62" s="4">
        <v>212.02</v>
      </c>
      <c r="F62" s="4">
        <v>350.88</v>
      </c>
      <c r="G62" s="4">
        <v>728.64</v>
      </c>
      <c r="H62" s="4">
        <v>87.35</v>
      </c>
      <c r="I62" s="4">
        <v>151.66</v>
      </c>
      <c r="J62" s="4">
        <v>148.41</v>
      </c>
      <c r="K62" s="4">
        <v>0.46</v>
      </c>
      <c r="L62" s="4">
        <v>2.79</v>
      </c>
      <c r="M62" s="4">
        <v>31.97</v>
      </c>
      <c r="N62" s="4">
        <v>271.69</v>
      </c>
      <c r="O62" s="4">
        <v>3508.43</v>
      </c>
      <c r="P62" s="4">
        <v>952.58</v>
      </c>
      <c r="Q62" s="4">
        <v>1381.68</v>
      </c>
      <c r="R62" s="4">
        <v>1174.17</v>
      </c>
      <c r="S62" s="4">
        <v>862.29</v>
      </c>
      <c r="T62" s="4">
        <v>560.29</v>
      </c>
      <c r="U62" s="4">
        <v>93.77</v>
      </c>
      <c r="V62" s="4">
        <v>208.23</v>
      </c>
      <c r="W62" s="4">
        <v>4370.72</v>
      </c>
      <c r="X62" s="4">
        <v>0.4</v>
      </c>
      <c r="Y62" s="4">
        <v>52.83</v>
      </c>
      <c r="Z62" s="4">
        <v>76.09</v>
      </c>
      <c r="AA62" s="4">
        <v>247.96</v>
      </c>
      <c r="AB62" s="4">
        <v>5.89</v>
      </c>
      <c r="AC62" s="4">
        <v>242.07</v>
      </c>
      <c r="AD62" s="4">
        <v>38.93</v>
      </c>
      <c r="AE62" s="4">
        <v>240.96</v>
      </c>
      <c r="AF62" s="4">
        <v>1.52</v>
      </c>
      <c r="AG62" s="4">
        <v>24</v>
      </c>
      <c r="AH62" s="4">
        <v>8.1300000000000008</v>
      </c>
      <c r="AI62" s="4">
        <v>424.46</v>
      </c>
      <c r="AJ62" s="4">
        <v>65.19</v>
      </c>
      <c r="AK62" s="4">
        <v>116.36</v>
      </c>
      <c r="AL62" s="4">
        <v>13.76</v>
      </c>
    </row>
    <row r="63" spans="1:38" x14ac:dyDescent="0.35">
      <c r="A63" s="7"/>
      <c r="B63" s="7" t="s">
        <v>21</v>
      </c>
      <c r="C63" s="3" t="s">
        <v>22</v>
      </c>
      <c r="D63" s="4">
        <v>328.42</v>
      </c>
      <c r="E63" s="4">
        <v>13.15</v>
      </c>
      <c r="F63" s="4">
        <v>42.39</v>
      </c>
      <c r="G63" s="4">
        <v>71.430000000000007</v>
      </c>
      <c r="H63" s="4">
        <v>0.05</v>
      </c>
      <c r="I63" s="4">
        <v>8.56</v>
      </c>
      <c r="J63" s="4">
        <v>8.2899999999999991</v>
      </c>
      <c r="K63" s="4">
        <v>0.01</v>
      </c>
      <c r="L63" s="4">
        <v>0.25</v>
      </c>
      <c r="M63" s="4">
        <v>0</v>
      </c>
      <c r="N63" s="4">
        <v>11.66</v>
      </c>
      <c r="O63" s="4">
        <v>358.55</v>
      </c>
      <c r="P63" s="4">
        <v>97.52</v>
      </c>
      <c r="Q63" s="4">
        <v>117.24</v>
      </c>
      <c r="R63" s="4">
        <v>143.79</v>
      </c>
      <c r="S63" s="4">
        <v>0.62</v>
      </c>
      <c r="T63" s="4">
        <v>0.03</v>
      </c>
      <c r="U63" s="4">
        <v>0</v>
      </c>
      <c r="V63" s="4">
        <v>0.59</v>
      </c>
      <c r="W63" s="4">
        <v>359.18</v>
      </c>
      <c r="X63" s="4">
        <v>2.02</v>
      </c>
      <c r="Y63" s="4">
        <v>10.86</v>
      </c>
      <c r="Z63" s="4">
        <v>1.7</v>
      </c>
      <c r="AA63" s="4">
        <v>16.829999999999998</v>
      </c>
      <c r="AB63" s="4">
        <v>16.829999999999998</v>
      </c>
      <c r="AC63" s="4">
        <v>0</v>
      </c>
      <c r="AD63" s="4">
        <v>0</v>
      </c>
      <c r="AE63" s="4">
        <v>15.75</v>
      </c>
      <c r="AF63" s="4">
        <v>0.04</v>
      </c>
      <c r="AG63" s="4">
        <v>37.15</v>
      </c>
      <c r="AH63" s="4">
        <v>24.37</v>
      </c>
      <c r="AI63" s="4">
        <v>-1.73</v>
      </c>
      <c r="AJ63" s="4">
        <v>4.07</v>
      </c>
      <c r="AK63" s="4">
        <v>2.2999999999999998</v>
      </c>
      <c r="AL63" s="4">
        <v>0</v>
      </c>
    </row>
    <row r="64" spans="1:38" x14ac:dyDescent="0.35">
      <c r="A64" s="7"/>
      <c r="B64" s="7"/>
      <c r="C64" s="3" t="s">
        <v>23</v>
      </c>
      <c r="D64" s="4">
        <v>344.72</v>
      </c>
      <c r="E64" s="4">
        <v>15.35</v>
      </c>
      <c r="F64" s="4">
        <v>42.64</v>
      </c>
      <c r="G64" s="4">
        <v>89.61</v>
      </c>
      <c r="H64" s="4">
        <v>2.95</v>
      </c>
      <c r="I64" s="4">
        <v>13.72</v>
      </c>
      <c r="J64" s="4">
        <v>13.6</v>
      </c>
      <c r="K64" s="4">
        <v>0</v>
      </c>
      <c r="L64" s="4">
        <v>0.12</v>
      </c>
      <c r="M64" s="4">
        <v>0.01</v>
      </c>
      <c r="N64" s="4">
        <v>41.31</v>
      </c>
      <c r="O64" s="4">
        <v>399.8</v>
      </c>
      <c r="P64" s="4">
        <v>92.58</v>
      </c>
      <c r="Q64" s="4">
        <v>132.4</v>
      </c>
      <c r="R64" s="4">
        <v>174.82</v>
      </c>
      <c r="S64" s="4">
        <v>7.13</v>
      </c>
      <c r="T64" s="4">
        <v>0.1</v>
      </c>
      <c r="U64" s="4">
        <v>0.17</v>
      </c>
      <c r="V64" s="4">
        <v>6.86</v>
      </c>
      <c r="W64" s="4">
        <v>406.93</v>
      </c>
      <c r="X64" s="4">
        <v>0</v>
      </c>
      <c r="Y64" s="4">
        <v>9.31</v>
      </c>
      <c r="Z64" s="4">
        <v>4.55</v>
      </c>
      <c r="AA64" s="4">
        <v>9.36</v>
      </c>
      <c r="AB64" s="4">
        <v>9.36</v>
      </c>
      <c r="AC64" s="4">
        <v>0</v>
      </c>
      <c r="AD64" s="4">
        <v>0.01</v>
      </c>
      <c r="AE64" s="4">
        <v>35.93</v>
      </c>
      <c r="AF64" s="4">
        <v>0.13</v>
      </c>
      <c r="AG64" s="4">
        <v>29.31</v>
      </c>
      <c r="AH64" s="4">
        <v>18.53</v>
      </c>
      <c r="AI64" s="4">
        <v>9.3000000000000007</v>
      </c>
      <c r="AJ64" s="4">
        <v>3.37</v>
      </c>
      <c r="AK64" s="4">
        <v>2.4</v>
      </c>
      <c r="AL64" s="4">
        <v>5.14</v>
      </c>
    </row>
    <row r="65" spans="1:38" x14ac:dyDescent="0.35">
      <c r="A65" s="7"/>
      <c r="B65" s="7" t="s">
        <v>24</v>
      </c>
      <c r="C65" s="3" t="s">
        <v>22</v>
      </c>
      <c r="D65" s="4">
        <v>410.02</v>
      </c>
      <c r="E65" s="4">
        <v>15.8</v>
      </c>
      <c r="F65" s="4">
        <v>46.44</v>
      </c>
      <c r="G65" s="4">
        <v>173.37</v>
      </c>
      <c r="H65" s="4">
        <v>0.62</v>
      </c>
      <c r="I65" s="4">
        <v>12.06</v>
      </c>
      <c r="J65" s="4">
        <v>11.82</v>
      </c>
      <c r="K65" s="4">
        <v>0.1</v>
      </c>
      <c r="L65" s="4">
        <v>0.14000000000000001</v>
      </c>
      <c r="M65" s="4">
        <v>0.38</v>
      </c>
      <c r="N65" s="4">
        <v>29.03</v>
      </c>
      <c r="O65" s="4">
        <v>432.69</v>
      </c>
      <c r="P65" s="4">
        <v>80.260000000000005</v>
      </c>
      <c r="Q65" s="4">
        <v>75.989999999999995</v>
      </c>
      <c r="R65" s="4">
        <v>276.44</v>
      </c>
      <c r="S65" s="4">
        <v>50.33</v>
      </c>
      <c r="T65" s="4">
        <v>15.09</v>
      </c>
      <c r="U65" s="4">
        <v>2.76</v>
      </c>
      <c r="V65" s="4">
        <v>32.479999999999997</v>
      </c>
      <c r="W65" s="4">
        <v>483.02</v>
      </c>
      <c r="X65" s="4">
        <v>9.4600000000000009</v>
      </c>
      <c r="Y65" s="4">
        <v>21.44</v>
      </c>
      <c r="Z65" s="4">
        <v>17.38</v>
      </c>
      <c r="AA65" s="4">
        <v>11.45</v>
      </c>
      <c r="AB65" s="4">
        <v>1.93</v>
      </c>
      <c r="AC65" s="4">
        <v>9.52</v>
      </c>
      <c r="AD65" s="4">
        <v>0.39</v>
      </c>
      <c r="AE65" s="4">
        <v>24.42</v>
      </c>
      <c r="AF65" s="4">
        <v>0.13</v>
      </c>
      <c r="AG65" s="4">
        <v>76.650000000000006</v>
      </c>
      <c r="AH65" s="4">
        <v>4.7699999999999996</v>
      </c>
      <c r="AI65" s="4">
        <v>-6.09</v>
      </c>
      <c r="AJ65" s="4">
        <v>2.89</v>
      </c>
      <c r="AK65" s="4">
        <v>42.24</v>
      </c>
      <c r="AL65" s="4">
        <v>7.93</v>
      </c>
    </row>
    <row r="66" spans="1:38" x14ac:dyDescent="0.35">
      <c r="A66" s="7"/>
      <c r="B66" s="7"/>
      <c r="C66" s="3" t="s">
        <v>23</v>
      </c>
      <c r="D66" s="4">
        <v>473.81</v>
      </c>
      <c r="E66" s="4">
        <v>21.48</v>
      </c>
      <c r="F66" s="4">
        <v>58.86</v>
      </c>
      <c r="G66" s="4">
        <v>146.16999999999999</v>
      </c>
      <c r="H66" s="4">
        <v>1.7</v>
      </c>
      <c r="I66" s="4">
        <v>18.079999999999998</v>
      </c>
      <c r="J66" s="4">
        <v>17.78</v>
      </c>
      <c r="K66" s="4">
        <v>0.03</v>
      </c>
      <c r="L66" s="4">
        <v>0.27</v>
      </c>
      <c r="M66" s="4">
        <v>5.73</v>
      </c>
      <c r="N66" s="4">
        <v>40.130000000000003</v>
      </c>
      <c r="O66" s="4">
        <v>404.78</v>
      </c>
      <c r="P66" s="4">
        <v>92.23</v>
      </c>
      <c r="Q66" s="4">
        <v>93.57</v>
      </c>
      <c r="R66" s="4">
        <v>218.97</v>
      </c>
      <c r="S66" s="4">
        <v>86.41</v>
      </c>
      <c r="T66" s="4">
        <v>38.97</v>
      </c>
      <c r="U66" s="4">
        <v>3.24</v>
      </c>
      <c r="V66" s="4">
        <v>44.2</v>
      </c>
      <c r="W66" s="4">
        <v>491.19</v>
      </c>
      <c r="X66" s="4">
        <v>0.5</v>
      </c>
      <c r="Y66" s="4">
        <v>22.6</v>
      </c>
      <c r="Z66" s="4">
        <v>10.96</v>
      </c>
      <c r="AA66" s="4">
        <v>43.94</v>
      </c>
      <c r="AB66" s="4">
        <v>22.14</v>
      </c>
      <c r="AC66" s="4">
        <v>21.8</v>
      </c>
      <c r="AD66" s="4">
        <v>5.56</v>
      </c>
      <c r="AE66" s="4">
        <v>34.200000000000003</v>
      </c>
      <c r="AF66" s="4">
        <v>0.09</v>
      </c>
      <c r="AG66" s="4">
        <v>66.739999999999995</v>
      </c>
      <c r="AH66" s="4">
        <v>1.79</v>
      </c>
      <c r="AI66" s="4">
        <v>19.5</v>
      </c>
      <c r="AJ66" s="4">
        <v>5.04</v>
      </c>
      <c r="AK66" s="4">
        <v>50.43</v>
      </c>
      <c r="AL66" s="4">
        <v>4.74</v>
      </c>
    </row>
    <row r="67" spans="1:38" x14ac:dyDescent="0.35">
      <c r="A67" s="7"/>
      <c r="B67" s="7"/>
      <c r="C67" s="3" t="s">
        <v>19</v>
      </c>
      <c r="D67" s="4">
        <v>1698.26</v>
      </c>
      <c r="E67" s="4">
        <v>64.02</v>
      </c>
      <c r="F67" s="4">
        <v>148.66</v>
      </c>
      <c r="G67" s="4">
        <v>481</v>
      </c>
      <c r="H67" s="4">
        <v>17.48</v>
      </c>
      <c r="I67" s="4">
        <v>54.8</v>
      </c>
      <c r="J67" s="4">
        <v>54.21</v>
      </c>
      <c r="K67" s="4">
        <v>0.18</v>
      </c>
      <c r="L67" s="4">
        <v>0.41</v>
      </c>
      <c r="M67" s="4">
        <v>32.31</v>
      </c>
      <c r="N67" s="4">
        <v>202.74</v>
      </c>
      <c r="O67" s="4">
        <v>1382.07</v>
      </c>
      <c r="P67" s="4">
        <v>365.48</v>
      </c>
      <c r="Q67" s="4">
        <v>297.3</v>
      </c>
      <c r="R67" s="4">
        <v>719.28</v>
      </c>
      <c r="S67" s="4">
        <v>490.08</v>
      </c>
      <c r="T67" s="4">
        <v>169.38</v>
      </c>
      <c r="U67" s="4">
        <v>133.33000000000001</v>
      </c>
      <c r="V67" s="4">
        <v>187.36</v>
      </c>
      <c r="W67" s="4">
        <v>1872.15</v>
      </c>
      <c r="X67" s="4">
        <v>1.01</v>
      </c>
      <c r="Y67" s="4">
        <v>49.67</v>
      </c>
      <c r="Z67" s="4">
        <v>14.08</v>
      </c>
      <c r="AA67" s="4">
        <v>73.59</v>
      </c>
      <c r="AB67" s="4">
        <v>5.5</v>
      </c>
      <c r="AC67" s="4">
        <v>68.09</v>
      </c>
      <c r="AD67" s="4">
        <v>32.53</v>
      </c>
      <c r="AE67" s="4">
        <v>183.95</v>
      </c>
      <c r="AF67" s="4">
        <v>3.41</v>
      </c>
      <c r="AG67" s="4">
        <v>62.98</v>
      </c>
      <c r="AH67" s="4">
        <v>43.45</v>
      </c>
      <c r="AI67" s="4">
        <v>192.43</v>
      </c>
      <c r="AJ67" s="4">
        <v>17.22</v>
      </c>
      <c r="AK67" s="4">
        <v>92.21</v>
      </c>
      <c r="AL67" s="4">
        <v>23.78</v>
      </c>
    </row>
    <row r="68" spans="1:38" x14ac:dyDescent="0.35">
      <c r="A68" s="7"/>
      <c r="B68" s="7"/>
      <c r="C68" s="3" t="s">
        <v>20</v>
      </c>
      <c r="D68" s="4">
        <v>1003.73</v>
      </c>
      <c r="E68" s="4">
        <v>28.56</v>
      </c>
      <c r="F68" s="4">
        <v>42.25</v>
      </c>
      <c r="G68" s="4">
        <v>406.84</v>
      </c>
      <c r="H68" s="4">
        <v>10.37</v>
      </c>
      <c r="I68" s="4">
        <v>30.74</v>
      </c>
      <c r="J68" s="4">
        <v>30.35</v>
      </c>
      <c r="K68" s="4">
        <v>0.02</v>
      </c>
      <c r="L68" s="4">
        <v>0.37</v>
      </c>
      <c r="M68" s="4">
        <v>0.63</v>
      </c>
      <c r="N68" s="4">
        <v>64.62</v>
      </c>
      <c r="O68" s="4">
        <v>1136.4100000000001</v>
      </c>
      <c r="P68" s="4">
        <v>377.38</v>
      </c>
      <c r="Q68" s="4">
        <v>592.54999999999995</v>
      </c>
      <c r="R68" s="4">
        <v>166.48</v>
      </c>
      <c r="S68" s="4">
        <v>116.73</v>
      </c>
      <c r="T68" s="4">
        <v>63.3</v>
      </c>
      <c r="U68" s="4">
        <v>34.11</v>
      </c>
      <c r="V68" s="4">
        <v>19.32</v>
      </c>
      <c r="W68" s="4">
        <v>1253.1400000000001</v>
      </c>
      <c r="X68" s="4">
        <v>0</v>
      </c>
      <c r="Y68" s="4">
        <v>4.1900000000000004</v>
      </c>
      <c r="Z68" s="4">
        <v>0</v>
      </c>
      <c r="AA68" s="4">
        <v>0</v>
      </c>
      <c r="AB68" s="4">
        <v>0</v>
      </c>
      <c r="AC68" s="4">
        <v>0</v>
      </c>
      <c r="AD68" s="4">
        <v>0.74</v>
      </c>
      <c r="AE68" s="4">
        <v>55.77</v>
      </c>
      <c r="AF68" s="4">
        <v>0.21</v>
      </c>
      <c r="AG68" s="4">
        <v>1.54</v>
      </c>
      <c r="AH68" s="4">
        <v>4.2699999999999996</v>
      </c>
      <c r="AI68" s="4">
        <v>216.51</v>
      </c>
      <c r="AJ68" s="4">
        <v>30.19</v>
      </c>
      <c r="AK68" s="4">
        <v>2.2599999999999998</v>
      </c>
      <c r="AL68" s="4">
        <v>7.0000000000000007E-2</v>
      </c>
    </row>
    <row r="69" spans="1:38" x14ac:dyDescent="0.35">
      <c r="A69" s="7"/>
      <c r="B69" s="7" t="s">
        <v>25</v>
      </c>
      <c r="C69" s="3" t="s">
        <v>22</v>
      </c>
      <c r="D69" s="4">
        <v>19.34</v>
      </c>
      <c r="E69" s="4">
        <v>0.52</v>
      </c>
      <c r="F69" s="4">
        <v>9.7100000000000009</v>
      </c>
      <c r="G69" s="4">
        <v>17.649999999999999</v>
      </c>
      <c r="H69" s="4">
        <v>0</v>
      </c>
      <c r="I69" s="4">
        <v>0.02</v>
      </c>
      <c r="J69" s="4">
        <v>0.02</v>
      </c>
      <c r="K69" s="4">
        <v>0</v>
      </c>
      <c r="L69" s="4">
        <v>0</v>
      </c>
      <c r="M69" s="4">
        <v>4.32</v>
      </c>
      <c r="N69" s="4">
        <v>7.04</v>
      </c>
      <c r="O69" s="4">
        <v>15.61</v>
      </c>
      <c r="P69" s="4">
        <v>11.38</v>
      </c>
      <c r="Q69" s="4">
        <v>0</v>
      </c>
      <c r="R69" s="4">
        <v>4.2300000000000004</v>
      </c>
      <c r="S69" s="4">
        <v>6.2</v>
      </c>
      <c r="T69" s="4">
        <v>6.2</v>
      </c>
      <c r="U69" s="4">
        <v>0</v>
      </c>
      <c r="V69" s="4">
        <v>0</v>
      </c>
      <c r="W69" s="4">
        <v>21.81</v>
      </c>
      <c r="X69" s="4">
        <v>0</v>
      </c>
      <c r="Y69" s="4">
        <v>1.89</v>
      </c>
      <c r="Z69" s="4">
        <v>0</v>
      </c>
      <c r="AA69" s="4">
        <v>0</v>
      </c>
      <c r="AB69" s="4">
        <v>0</v>
      </c>
      <c r="AC69" s="4">
        <v>0</v>
      </c>
      <c r="AD69" s="4">
        <v>3.81</v>
      </c>
      <c r="AE69" s="4">
        <v>2.92</v>
      </c>
      <c r="AF69" s="4">
        <v>0</v>
      </c>
      <c r="AG69" s="4">
        <v>0</v>
      </c>
      <c r="AH69" s="4">
        <v>0</v>
      </c>
      <c r="AI69" s="4">
        <v>1.51</v>
      </c>
      <c r="AJ69" s="4">
        <v>0.06</v>
      </c>
      <c r="AK69" s="4">
        <v>0</v>
      </c>
      <c r="AL69" s="4">
        <v>0</v>
      </c>
    </row>
    <row r="70" spans="1:38" x14ac:dyDescent="0.35">
      <c r="A70" s="7"/>
      <c r="B70" s="7"/>
      <c r="C70" s="3" t="s">
        <v>23</v>
      </c>
      <c r="D70" s="4">
        <v>230.88</v>
      </c>
      <c r="E70" s="4">
        <v>43.5</v>
      </c>
      <c r="F70" s="4">
        <v>45.25</v>
      </c>
      <c r="G70" s="4">
        <v>172.62</v>
      </c>
      <c r="H70" s="4">
        <v>0.02</v>
      </c>
      <c r="I70" s="4">
        <v>2.41</v>
      </c>
      <c r="J70" s="4">
        <v>2.4</v>
      </c>
      <c r="K70" s="4">
        <v>0</v>
      </c>
      <c r="L70" s="4">
        <v>0</v>
      </c>
      <c r="M70" s="4">
        <v>23.14</v>
      </c>
      <c r="N70" s="4">
        <v>33.5</v>
      </c>
      <c r="O70" s="4">
        <v>137.94</v>
      </c>
      <c r="P70" s="4">
        <v>100.52</v>
      </c>
      <c r="Q70" s="4">
        <v>4.0199999999999996</v>
      </c>
      <c r="R70" s="4">
        <v>33.4</v>
      </c>
      <c r="S70" s="4">
        <v>120.84</v>
      </c>
      <c r="T70" s="4">
        <v>99.53</v>
      </c>
      <c r="U70" s="4">
        <v>2.74</v>
      </c>
      <c r="V70" s="4">
        <v>18.57</v>
      </c>
      <c r="W70" s="4">
        <v>258.79000000000002</v>
      </c>
      <c r="X70" s="4">
        <v>0.47</v>
      </c>
      <c r="Y70" s="4">
        <v>28.58</v>
      </c>
      <c r="Z70" s="4">
        <v>0</v>
      </c>
      <c r="AA70" s="4">
        <v>1</v>
      </c>
      <c r="AB70" s="4">
        <v>1</v>
      </c>
      <c r="AC70" s="4">
        <v>0</v>
      </c>
      <c r="AD70" s="4">
        <v>35.200000000000003</v>
      </c>
      <c r="AE70" s="4">
        <v>4.66</v>
      </c>
      <c r="AF70" s="4">
        <v>2.96</v>
      </c>
      <c r="AG70" s="4">
        <v>3.62</v>
      </c>
      <c r="AH70" s="4">
        <v>0</v>
      </c>
      <c r="AI70" s="4">
        <v>47.88</v>
      </c>
      <c r="AJ70" s="4">
        <v>5.48</v>
      </c>
      <c r="AK70" s="4">
        <v>0</v>
      </c>
      <c r="AL70" s="4">
        <v>0</v>
      </c>
    </row>
  </sheetData>
  <mergeCells count="34">
    <mergeCell ref="D1:AN1"/>
    <mergeCell ref="D2:AN2"/>
    <mergeCell ref="D3:AN3"/>
    <mergeCell ref="A8:A18"/>
    <mergeCell ref="B8:B9"/>
    <mergeCell ref="B10:B12"/>
    <mergeCell ref="B13:B16"/>
    <mergeCell ref="B17:B18"/>
    <mergeCell ref="A19:A29"/>
    <mergeCell ref="B19:B20"/>
    <mergeCell ref="B21:B23"/>
    <mergeCell ref="B24:B27"/>
    <mergeCell ref="B28:B29"/>
    <mergeCell ref="A1:C3"/>
    <mergeCell ref="A41:A50"/>
    <mergeCell ref="B41:B42"/>
    <mergeCell ref="B43:B44"/>
    <mergeCell ref="B45:B48"/>
    <mergeCell ref="B49:B50"/>
    <mergeCell ref="A30:A40"/>
    <mergeCell ref="B30:B31"/>
    <mergeCell ref="B32:B34"/>
    <mergeCell ref="B35:B38"/>
    <mergeCell ref="B39:B40"/>
    <mergeCell ref="A61:A70"/>
    <mergeCell ref="B61:B62"/>
    <mergeCell ref="B63:B64"/>
    <mergeCell ref="B65:B68"/>
    <mergeCell ref="B69:B70"/>
    <mergeCell ref="A51:A60"/>
    <mergeCell ref="B51:B52"/>
    <mergeCell ref="B53:B54"/>
    <mergeCell ref="B55:B58"/>
    <mergeCell ref="B59:B60"/>
  </mergeCells>
  <pageMargins left="0.7" right="0.7" top="0.75" bottom="0.75" header="0.3" footer="0.3"/>
  <pageSetup orientation="portrait" horizontalDpi="4294967295" verticalDpi="429496729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02EA-E9F0-4A7B-A1F4-9B1D6A5550C9}">
  <dimension ref="A1:AL66"/>
  <sheetViews>
    <sheetView workbookViewId="0">
      <pane xSplit="3" topLeftCell="AF1" activePane="topRight" state="frozen"/>
      <selection pane="topRight" activeCell="AM1" sqref="AM1"/>
    </sheetView>
  </sheetViews>
  <sheetFormatPr defaultRowHeight="14.5" x14ac:dyDescent="0.35"/>
  <cols>
    <col min="2" max="2" width="15.90625" customWidth="1"/>
    <col min="4" max="4" width="15.453125" customWidth="1"/>
    <col min="5" max="5" width="16.36328125" customWidth="1"/>
    <col min="6" max="6" width="14.90625" customWidth="1"/>
    <col min="7" max="7" width="10.08984375" customWidth="1"/>
    <col min="8" max="8" width="14.54296875" customWidth="1"/>
    <col min="9" max="9" width="15.453125" customWidth="1"/>
    <col min="10" max="10" width="15.7265625" customWidth="1"/>
    <col min="11" max="11" width="13" customWidth="1"/>
    <col min="12" max="12" width="12.6328125" customWidth="1"/>
    <col min="13" max="13" width="18.08984375" customWidth="1"/>
    <col min="14" max="14" width="12" customWidth="1"/>
    <col min="15" max="15" width="15.6328125" customWidth="1"/>
    <col min="16" max="16" width="15.26953125" customWidth="1"/>
    <col min="17" max="17" width="18.90625" customWidth="1"/>
    <col min="18" max="18" width="18.6328125" customWidth="1"/>
    <col min="19" max="19" width="13.90625" customWidth="1"/>
    <col min="20" max="20" width="16.90625" customWidth="1"/>
    <col min="21" max="21" width="16" customWidth="1"/>
    <col min="22" max="22" width="18.08984375" customWidth="1"/>
    <col min="23" max="23" width="14.54296875" customWidth="1"/>
    <col min="24" max="24" width="19.453125" customWidth="1"/>
    <col min="25" max="25" width="20.1796875" customWidth="1"/>
    <col min="26" max="26" width="17.453125" customWidth="1"/>
    <col min="27" max="27" width="15.36328125" customWidth="1"/>
    <col min="28" max="28" width="13.7265625" customWidth="1"/>
    <col min="29" max="29" width="12.453125" customWidth="1"/>
    <col min="30" max="30" width="16.1796875" customWidth="1"/>
    <col min="31" max="31" width="17.54296875" customWidth="1"/>
    <col min="32" max="32" width="13.6328125" customWidth="1"/>
    <col min="33" max="33" width="12.26953125" customWidth="1"/>
    <col min="34" max="34" width="13.36328125" customWidth="1"/>
    <col min="35" max="35" width="19.453125" customWidth="1"/>
    <col min="36" max="36" width="23.26953125" customWidth="1"/>
    <col min="37" max="37" width="15.90625" customWidth="1"/>
    <col min="38" max="38" width="20.08984375" customWidth="1"/>
  </cols>
  <sheetData>
    <row r="1" spans="1:38" ht="130.5" x14ac:dyDescent="0.35">
      <c r="A1" s="2" t="s">
        <v>7</v>
      </c>
      <c r="B1" s="8" t="s">
        <v>8</v>
      </c>
      <c r="C1" s="8" t="s">
        <v>9</v>
      </c>
      <c r="D1" s="2" t="s">
        <v>65</v>
      </c>
      <c r="E1" s="2" t="s">
        <v>64</v>
      </c>
      <c r="F1" s="2" t="s">
        <v>63</v>
      </c>
      <c r="G1" s="2" t="s">
        <v>62</v>
      </c>
      <c r="H1" s="2" t="s">
        <v>61</v>
      </c>
      <c r="I1" s="2" t="s">
        <v>60</v>
      </c>
      <c r="J1" s="2" t="s">
        <v>59</v>
      </c>
      <c r="K1" s="2" t="s">
        <v>58</v>
      </c>
      <c r="L1" s="2" t="s">
        <v>57</v>
      </c>
      <c r="M1" s="2" t="s">
        <v>56</v>
      </c>
      <c r="N1" s="2" t="s">
        <v>55</v>
      </c>
      <c r="O1" s="2" t="s">
        <v>54</v>
      </c>
      <c r="P1" s="2" t="s">
        <v>53</v>
      </c>
      <c r="Q1" s="2" t="s">
        <v>52</v>
      </c>
      <c r="R1" s="2" t="s">
        <v>51</v>
      </c>
      <c r="S1" s="2" t="s">
        <v>50</v>
      </c>
      <c r="T1" s="2" t="s">
        <v>49</v>
      </c>
      <c r="U1" s="2" t="s">
        <v>48</v>
      </c>
      <c r="V1" s="2" t="s">
        <v>47</v>
      </c>
      <c r="W1" s="2" t="s">
        <v>46</v>
      </c>
      <c r="X1" s="2" t="s">
        <v>45</v>
      </c>
      <c r="Y1" s="2" t="s">
        <v>44</v>
      </c>
      <c r="Z1" s="2" t="s">
        <v>43</v>
      </c>
      <c r="AA1" s="2" t="s">
        <v>42</v>
      </c>
      <c r="AB1" s="2" t="s">
        <v>41</v>
      </c>
      <c r="AC1" s="2" t="s">
        <v>40</v>
      </c>
      <c r="AD1" s="2" t="s">
        <v>39</v>
      </c>
      <c r="AE1" s="2" t="s">
        <v>38</v>
      </c>
      <c r="AF1" s="2" t="s">
        <v>37</v>
      </c>
      <c r="AG1" s="2" t="s">
        <v>36</v>
      </c>
      <c r="AH1" s="2" t="s">
        <v>35</v>
      </c>
      <c r="AI1" s="2" t="s">
        <v>34</v>
      </c>
      <c r="AJ1" s="2" t="s">
        <v>33</v>
      </c>
      <c r="AK1" s="2" t="s">
        <v>32</v>
      </c>
      <c r="AL1" s="2" t="s">
        <v>31</v>
      </c>
    </row>
    <row r="2" spans="1:38" x14ac:dyDescent="0.35">
      <c r="A2" s="3" t="s">
        <v>17</v>
      </c>
      <c r="B2" s="3" t="s">
        <v>18</v>
      </c>
      <c r="C2" s="3" t="s">
        <v>19</v>
      </c>
      <c r="D2" s="4">
        <v>663.63</v>
      </c>
      <c r="E2" s="4">
        <v>8.67</v>
      </c>
      <c r="F2" s="4">
        <v>45.08</v>
      </c>
      <c r="G2" s="4">
        <v>120.87</v>
      </c>
      <c r="H2" s="4">
        <v>7.27</v>
      </c>
      <c r="I2">
        <v>-25.44</v>
      </c>
      <c r="J2" s="4">
        <v>25.35</v>
      </c>
      <c r="K2" s="4">
        <v>0.05</v>
      </c>
      <c r="L2" s="4">
        <v>0.04</v>
      </c>
      <c r="M2" s="4">
        <v>0</v>
      </c>
      <c r="N2" s="4">
        <v>7.91</v>
      </c>
      <c r="O2" s="4">
        <v>685.84</v>
      </c>
      <c r="P2" s="4">
        <v>186</v>
      </c>
      <c r="Q2" s="4">
        <v>184.52</v>
      </c>
      <c r="R2" s="4">
        <v>315.33</v>
      </c>
      <c r="S2" s="4">
        <v>46.76</v>
      </c>
      <c r="T2" s="4">
        <v>24.78</v>
      </c>
      <c r="U2" s="4">
        <v>2.61</v>
      </c>
      <c r="V2" s="4">
        <v>19.38</v>
      </c>
      <c r="W2" s="4">
        <v>732.61</v>
      </c>
      <c r="X2" s="4">
        <v>0</v>
      </c>
      <c r="Y2" s="4">
        <v>2.0499999999999998</v>
      </c>
      <c r="Z2" s="4">
        <v>9.9600000000000009</v>
      </c>
      <c r="AA2" s="4">
        <v>31.61</v>
      </c>
      <c r="AB2" s="4">
        <v>30.85</v>
      </c>
      <c r="AC2" s="4">
        <v>0.76</v>
      </c>
      <c r="AD2" s="4">
        <v>0</v>
      </c>
      <c r="AE2" s="4">
        <v>1.48</v>
      </c>
      <c r="AF2" s="4">
        <v>0.03</v>
      </c>
      <c r="AG2" s="4">
        <v>30.08</v>
      </c>
      <c r="AH2" s="4">
        <v>10.24</v>
      </c>
      <c r="AI2" s="4">
        <v>43.24</v>
      </c>
      <c r="AJ2" s="4">
        <v>0.92</v>
      </c>
      <c r="AK2" s="4">
        <v>0.78</v>
      </c>
      <c r="AL2" s="4">
        <v>5.69</v>
      </c>
    </row>
    <row r="3" spans="1:38" x14ac:dyDescent="0.35">
      <c r="A3" s="3"/>
      <c r="B3" s="3"/>
      <c r="C3" s="3" t="s">
        <v>20</v>
      </c>
      <c r="D3" s="4">
        <v>3759.79</v>
      </c>
      <c r="E3" s="4">
        <v>133.16999999999999</v>
      </c>
      <c r="F3" s="4">
        <v>329.02</v>
      </c>
      <c r="G3" s="4">
        <v>850.75</v>
      </c>
      <c r="H3" s="4">
        <v>86.77</v>
      </c>
      <c r="I3">
        <v>-149.53</v>
      </c>
      <c r="J3" s="4">
        <v>146.47</v>
      </c>
      <c r="K3" s="4">
        <v>0.44</v>
      </c>
      <c r="L3" s="4">
        <v>2.62</v>
      </c>
      <c r="M3" s="4">
        <v>14.93</v>
      </c>
      <c r="N3" s="4">
        <v>135.49</v>
      </c>
      <c r="O3" s="4">
        <v>3469.1</v>
      </c>
      <c r="P3" s="4">
        <v>1047.19</v>
      </c>
      <c r="Q3" s="4">
        <v>1333.44</v>
      </c>
      <c r="R3" s="4">
        <v>1088.47</v>
      </c>
      <c r="S3" s="4">
        <v>713.58</v>
      </c>
      <c r="T3" s="4">
        <v>500.77</v>
      </c>
      <c r="U3" s="4">
        <v>75.34</v>
      </c>
      <c r="V3" s="4">
        <v>137.46</v>
      </c>
      <c r="W3" s="4">
        <v>4182.68</v>
      </c>
      <c r="X3" s="4">
        <v>0.35</v>
      </c>
      <c r="Y3" s="4">
        <v>60.55</v>
      </c>
      <c r="Z3" s="4">
        <v>67.87</v>
      </c>
      <c r="AA3" s="4">
        <v>201.03</v>
      </c>
      <c r="AB3" s="4">
        <v>3.71</v>
      </c>
      <c r="AC3" s="4">
        <v>197.32</v>
      </c>
      <c r="AD3" s="4">
        <v>15.02</v>
      </c>
      <c r="AE3" s="4">
        <v>99.78</v>
      </c>
      <c r="AF3" s="4">
        <v>1.62</v>
      </c>
      <c r="AG3" s="4">
        <v>23.66</v>
      </c>
      <c r="AH3" s="4">
        <v>8.1300000000000008</v>
      </c>
      <c r="AI3" s="4">
        <v>504.76</v>
      </c>
      <c r="AJ3" s="4">
        <v>10.050000000000001</v>
      </c>
      <c r="AK3" s="4">
        <v>116.13</v>
      </c>
      <c r="AL3" s="4">
        <v>19.14</v>
      </c>
    </row>
    <row r="4" spans="1:38" x14ac:dyDescent="0.35">
      <c r="A4" s="3"/>
      <c r="B4" s="3" t="s">
        <v>21</v>
      </c>
      <c r="C4" s="3" t="s">
        <v>22</v>
      </c>
      <c r="D4" s="4">
        <v>347.7</v>
      </c>
      <c r="E4" s="4">
        <v>22.06</v>
      </c>
      <c r="F4" s="4">
        <v>41.68</v>
      </c>
      <c r="G4" s="4">
        <v>85.25</v>
      </c>
      <c r="H4" s="4">
        <v>0.05</v>
      </c>
      <c r="I4">
        <v>-9.16</v>
      </c>
      <c r="J4" s="4">
        <v>8.8800000000000008</v>
      </c>
      <c r="K4" s="4">
        <v>0.01</v>
      </c>
      <c r="L4" s="4">
        <v>0.27</v>
      </c>
      <c r="M4" s="4">
        <v>0</v>
      </c>
      <c r="N4" s="4">
        <v>15.99</v>
      </c>
      <c r="O4" s="4">
        <v>410.19</v>
      </c>
      <c r="P4" s="4">
        <v>111.91</v>
      </c>
      <c r="Q4" s="4">
        <v>131.66</v>
      </c>
      <c r="R4" s="4">
        <v>166.61</v>
      </c>
      <c r="S4" s="4">
        <v>0.33</v>
      </c>
      <c r="T4" s="4">
        <v>0.02</v>
      </c>
      <c r="U4" s="4">
        <v>0</v>
      </c>
      <c r="V4" s="4">
        <v>0.3</v>
      </c>
      <c r="W4" s="4">
        <v>410.51</v>
      </c>
      <c r="X4" s="4">
        <v>0</v>
      </c>
      <c r="Y4" s="4">
        <v>12.39</v>
      </c>
      <c r="Z4" s="4">
        <v>1.39</v>
      </c>
      <c r="AA4" s="4">
        <v>16.899999999999999</v>
      </c>
      <c r="AB4" s="4">
        <v>16.899999999999999</v>
      </c>
      <c r="AC4" s="4">
        <v>0</v>
      </c>
      <c r="AD4" s="4">
        <v>0</v>
      </c>
      <c r="AE4" s="4">
        <v>0.2</v>
      </c>
      <c r="AF4" s="4">
        <v>0.05</v>
      </c>
      <c r="AG4" s="4">
        <v>39.11</v>
      </c>
      <c r="AH4" s="4">
        <v>24.55</v>
      </c>
      <c r="AI4" s="4">
        <v>6.87</v>
      </c>
      <c r="AJ4" s="4">
        <v>0.89</v>
      </c>
      <c r="AK4" s="4">
        <v>2.98</v>
      </c>
      <c r="AL4" s="4">
        <v>0</v>
      </c>
    </row>
    <row r="5" spans="1:38" x14ac:dyDescent="0.35">
      <c r="A5" s="3"/>
      <c r="B5" s="3"/>
      <c r="C5" s="3" t="s">
        <v>23</v>
      </c>
      <c r="D5" s="4">
        <v>203.62</v>
      </c>
      <c r="E5" s="4">
        <v>12.78</v>
      </c>
      <c r="F5" s="4">
        <v>15.45</v>
      </c>
      <c r="G5" s="4">
        <v>70.72</v>
      </c>
      <c r="H5" s="4">
        <v>0.55000000000000004</v>
      </c>
      <c r="I5">
        <v>-8.9700000000000006</v>
      </c>
      <c r="J5" s="4">
        <v>8.8699999999999992</v>
      </c>
      <c r="K5" s="4">
        <v>0</v>
      </c>
      <c r="L5" s="4">
        <v>0.1</v>
      </c>
      <c r="M5" s="4">
        <v>0</v>
      </c>
      <c r="N5" s="4">
        <v>10.54</v>
      </c>
      <c r="O5" s="4">
        <v>251.93</v>
      </c>
      <c r="P5" s="4">
        <v>70.540000000000006</v>
      </c>
      <c r="Q5" s="4">
        <v>78.62</v>
      </c>
      <c r="R5" s="4">
        <v>102.77</v>
      </c>
      <c r="S5" s="4">
        <v>0.2</v>
      </c>
      <c r="T5" s="4">
        <v>0.04</v>
      </c>
      <c r="U5" s="4">
        <v>7.0000000000000007E-2</v>
      </c>
      <c r="V5" s="4">
        <v>0.1</v>
      </c>
      <c r="W5" s="4">
        <v>252.13</v>
      </c>
      <c r="X5" s="4">
        <v>0</v>
      </c>
      <c r="Y5" s="4">
        <v>6.02</v>
      </c>
      <c r="Z5" s="4">
        <v>2.14</v>
      </c>
      <c r="AA5" s="4">
        <v>6.91</v>
      </c>
      <c r="AB5" s="4">
        <v>6.91</v>
      </c>
      <c r="AC5" s="4">
        <v>0</v>
      </c>
      <c r="AD5" s="4">
        <v>0</v>
      </c>
      <c r="AE5" s="4">
        <v>0.6</v>
      </c>
      <c r="AF5" s="4">
        <v>0.13</v>
      </c>
      <c r="AG5" s="4">
        <v>23.05</v>
      </c>
      <c r="AH5" s="4">
        <v>12.5</v>
      </c>
      <c r="AI5" s="4">
        <v>6.82</v>
      </c>
      <c r="AJ5" s="4">
        <v>0.34</v>
      </c>
      <c r="AK5" s="4">
        <v>0.54</v>
      </c>
      <c r="AL5" s="4">
        <v>0</v>
      </c>
    </row>
    <row r="6" spans="1:38" x14ac:dyDescent="0.35">
      <c r="A6" s="3"/>
      <c r="B6" s="3"/>
      <c r="C6" s="3" t="s">
        <v>19</v>
      </c>
      <c r="D6" s="4">
        <v>110.58</v>
      </c>
      <c r="E6" s="4">
        <v>0.71</v>
      </c>
      <c r="F6" s="4">
        <v>13.73</v>
      </c>
      <c r="G6" s="4">
        <v>42.59</v>
      </c>
      <c r="H6" s="4">
        <v>2.42</v>
      </c>
      <c r="I6">
        <v>-3.03</v>
      </c>
      <c r="J6" s="4">
        <v>3.03</v>
      </c>
      <c r="K6" s="4">
        <v>0</v>
      </c>
      <c r="L6" s="4">
        <v>0</v>
      </c>
      <c r="M6" s="4">
        <v>0</v>
      </c>
      <c r="N6" s="4">
        <v>0.66</v>
      </c>
      <c r="O6" s="4">
        <v>124.5</v>
      </c>
      <c r="P6" s="4">
        <v>20.85</v>
      </c>
      <c r="Q6" s="4">
        <v>36.04</v>
      </c>
      <c r="R6" s="4">
        <v>67.599999999999994</v>
      </c>
      <c r="S6" s="4">
        <v>5.1100000000000003</v>
      </c>
      <c r="T6" s="4">
        <v>0.03</v>
      </c>
      <c r="U6" s="4">
        <v>0.08</v>
      </c>
      <c r="V6" s="4">
        <v>5</v>
      </c>
      <c r="W6" s="4">
        <v>129.6</v>
      </c>
      <c r="X6" s="4">
        <v>0</v>
      </c>
      <c r="Y6" s="4">
        <v>6.84</v>
      </c>
      <c r="Z6" s="4">
        <v>1.1200000000000001</v>
      </c>
      <c r="AA6" s="4">
        <v>11.3</v>
      </c>
      <c r="AB6" s="4">
        <v>11.3</v>
      </c>
      <c r="AC6" s="4">
        <v>0</v>
      </c>
      <c r="AD6" s="4">
        <v>0</v>
      </c>
      <c r="AE6" s="4">
        <v>0.62</v>
      </c>
      <c r="AF6" s="4">
        <v>7.0000000000000007E-2</v>
      </c>
      <c r="AG6" s="4">
        <v>2.63</v>
      </c>
      <c r="AH6" s="4">
        <v>3.03</v>
      </c>
      <c r="AI6" s="4">
        <v>7.39</v>
      </c>
      <c r="AJ6" s="4">
        <v>0.12</v>
      </c>
      <c r="AK6" s="4">
        <v>1.81</v>
      </c>
      <c r="AL6" s="4">
        <v>5.14</v>
      </c>
    </row>
    <row r="7" spans="1:38" ht="29" x14ac:dyDescent="0.35">
      <c r="A7" s="3"/>
      <c r="B7" s="3" t="s">
        <v>24</v>
      </c>
      <c r="C7" s="3" t="s">
        <v>22</v>
      </c>
      <c r="D7" s="4">
        <v>383.2</v>
      </c>
      <c r="E7" s="4">
        <v>19.78</v>
      </c>
      <c r="F7" s="4">
        <v>53.08</v>
      </c>
      <c r="G7" s="4">
        <v>183.94</v>
      </c>
      <c r="H7" s="4">
        <v>0.64</v>
      </c>
      <c r="I7">
        <v>-11.67</v>
      </c>
      <c r="J7" s="4">
        <v>11.42</v>
      </c>
      <c r="K7" s="4">
        <v>0.11</v>
      </c>
      <c r="L7" s="4">
        <v>0.15</v>
      </c>
      <c r="M7" s="4">
        <v>0.2</v>
      </c>
      <c r="N7" s="4">
        <v>22.01</v>
      </c>
      <c r="O7" s="4">
        <v>453.88</v>
      </c>
      <c r="P7" s="4">
        <v>74.08</v>
      </c>
      <c r="Q7" s="4">
        <v>72.459999999999994</v>
      </c>
      <c r="R7" s="4">
        <v>307.33</v>
      </c>
      <c r="S7" s="4">
        <v>49.62</v>
      </c>
      <c r="T7" s="4">
        <v>13.76</v>
      </c>
      <c r="U7" s="4">
        <v>5.13</v>
      </c>
      <c r="V7" s="4">
        <v>30.72</v>
      </c>
      <c r="W7" s="4">
        <v>503.49</v>
      </c>
      <c r="X7" s="4">
        <v>0</v>
      </c>
      <c r="Y7" s="4">
        <v>19.55</v>
      </c>
      <c r="Z7" s="4">
        <v>14.67</v>
      </c>
      <c r="AA7" s="4">
        <v>7.9</v>
      </c>
      <c r="AB7" s="4">
        <v>1.39</v>
      </c>
      <c r="AC7" s="4">
        <v>6.51</v>
      </c>
      <c r="AD7" s="4">
        <v>0.19</v>
      </c>
      <c r="AE7" s="4">
        <v>6.36</v>
      </c>
      <c r="AF7" s="4">
        <v>0.09</v>
      </c>
      <c r="AG7" s="4">
        <v>76.63</v>
      </c>
      <c r="AH7" s="4">
        <v>6.04</v>
      </c>
      <c r="AI7" s="4">
        <v>-5.68</v>
      </c>
      <c r="AJ7" s="4">
        <v>0.46</v>
      </c>
      <c r="AK7" s="4">
        <v>41.85</v>
      </c>
      <c r="AL7" s="4">
        <v>8.07</v>
      </c>
    </row>
    <row r="8" spans="1:38" x14ac:dyDescent="0.35">
      <c r="A8" s="3"/>
      <c r="B8" s="3"/>
      <c r="C8" s="3" t="s">
        <v>23</v>
      </c>
      <c r="D8" s="4">
        <v>432.02</v>
      </c>
      <c r="E8" s="4">
        <v>18.47</v>
      </c>
      <c r="F8" s="4">
        <v>75.45</v>
      </c>
      <c r="G8" s="4">
        <v>149.83000000000001</v>
      </c>
      <c r="H8" s="4">
        <v>1.72</v>
      </c>
      <c r="I8">
        <v>-15.77</v>
      </c>
      <c r="J8" s="4">
        <v>15.5</v>
      </c>
      <c r="K8" s="4">
        <v>0.03</v>
      </c>
      <c r="L8" s="4">
        <v>0.25</v>
      </c>
      <c r="M8" s="4">
        <v>2.37</v>
      </c>
      <c r="N8" s="4">
        <v>32.06</v>
      </c>
      <c r="O8" s="4">
        <v>423.2</v>
      </c>
      <c r="P8" s="4">
        <v>87.93</v>
      </c>
      <c r="Q8" s="4">
        <v>87.25</v>
      </c>
      <c r="R8" s="4">
        <v>248.02</v>
      </c>
      <c r="S8" s="4">
        <v>70.25</v>
      </c>
      <c r="T8" s="4">
        <v>29.53</v>
      </c>
      <c r="U8" s="4">
        <v>2.48</v>
      </c>
      <c r="V8" s="4">
        <v>38.24</v>
      </c>
      <c r="W8" s="4">
        <v>493.45</v>
      </c>
      <c r="X8" s="4">
        <v>0</v>
      </c>
      <c r="Y8" s="4">
        <v>23.07</v>
      </c>
      <c r="Z8" s="4">
        <v>10.34</v>
      </c>
      <c r="AA8" s="4">
        <v>37.03</v>
      </c>
      <c r="AB8" s="4">
        <v>17.25</v>
      </c>
      <c r="AC8" s="4">
        <v>19.78</v>
      </c>
      <c r="AD8" s="4">
        <v>2.38</v>
      </c>
      <c r="AE8" s="4">
        <v>6.28</v>
      </c>
      <c r="AF8" s="4">
        <v>0.09</v>
      </c>
      <c r="AG8" s="4">
        <v>66.739999999999995</v>
      </c>
      <c r="AH8" s="4">
        <v>1.76</v>
      </c>
      <c r="AI8" s="4">
        <v>23.35</v>
      </c>
      <c r="AJ8" s="4">
        <v>0.73</v>
      </c>
      <c r="AK8" s="4">
        <v>50.34</v>
      </c>
      <c r="AL8" s="4">
        <v>4.74</v>
      </c>
    </row>
    <row r="9" spans="1:38" x14ac:dyDescent="0.35">
      <c r="A9" s="3"/>
      <c r="B9" s="3"/>
      <c r="C9" s="3" t="s">
        <v>19</v>
      </c>
      <c r="D9" s="4">
        <v>1585.4</v>
      </c>
      <c r="E9" s="4">
        <v>46.02</v>
      </c>
      <c r="F9" s="4">
        <v>154.47999999999999</v>
      </c>
      <c r="G9" s="4">
        <v>592.27</v>
      </c>
      <c r="H9" s="4">
        <v>16.75</v>
      </c>
      <c r="I9">
        <v>-56.4</v>
      </c>
      <c r="J9" s="4">
        <v>55.68</v>
      </c>
      <c r="K9" s="4">
        <v>0.19</v>
      </c>
      <c r="L9" s="4">
        <v>0.53</v>
      </c>
      <c r="M9" s="4">
        <v>10.82</v>
      </c>
      <c r="N9" s="4">
        <v>77.98</v>
      </c>
      <c r="O9" s="4">
        <v>1436.99</v>
      </c>
      <c r="P9" s="4">
        <v>383.33</v>
      </c>
      <c r="Q9" s="4">
        <v>317.32</v>
      </c>
      <c r="R9" s="4">
        <v>736.35</v>
      </c>
      <c r="S9" s="4">
        <v>435.38</v>
      </c>
      <c r="T9" s="4">
        <v>155.51</v>
      </c>
      <c r="U9" s="4">
        <v>118</v>
      </c>
      <c r="V9" s="4">
        <v>161.87</v>
      </c>
      <c r="W9" s="4">
        <v>1872.37</v>
      </c>
      <c r="X9" s="4">
        <v>0</v>
      </c>
      <c r="Y9" s="4">
        <v>54.05</v>
      </c>
      <c r="Z9" s="4">
        <v>9.51</v>
      </c>
      <c r="AA9" s="4">
        <v>75.599999999999994</v>
      </c>
      <c r="AB9" s="4">
        <v>11.53</v>
      </c>
      <c r="AC9" s="4">
        <v>64.069999999999993</v>
      </c>
      <c r="AD9" s="4">
        <v>9</v>
      </c>
      <c r="AE9" s="4">
        <v>37.729999999999997</v>
      </c>
      <c r="AF9" s="4">
        <v>1.87</v>
      </c>
      <c r="AG9" s="4">
        <v>55.68</v>
      </c>
      <c r="AH9" s="4">
        <v>41.41</v>
      </c>
      <c r="AI9" s="4">
        <v>207.68</v>
      </c>
      <c r="AJ9" s="4">
        <v>3.15</v>
      </c>
      <c r="AK9" s="4">
        <v>97.1</v>
      </c>
      <c r="AL9" s="4">
        <v>20.7</v>
      </c>
    </row>
    <row r="10" spans="1:38" x14ac:dyDescent="0.35">
      <c r="A10" s="3"/>
      <c r="B10" s="3"/>
      <c r="C10" s="3" t="s">
        <v>20</v>
      </c>
      <c r="D10" s="4">
        <v>948.96</v>
      </c>
      <c r="E10" s="4">
        <v>14.22</v>
      </c>
      <c r="F10" s="4">
        <v>73.489999999999995</v>
      </c>
      <c r="G10" s="4">
        <v>430.35</v>
      </c>
      <c r="H10" s="4">
        <v>10.37</v>
      </c>
      <c r="I10">
        <v>-29.88</v>
      </c>
      <c r="J10" s="4">
        <v>29.54</v>
      </c>
      <c r="K10" s="4">
        <v>0.02</v>
      </c>
      <c r="L10" s="4">
        <v>0.32</v>
      </c>
      <c r="M10" s="4">
        <v>0.14000000000000001</v>
      </c>
      <c r="N10" s="4">
        <v>32.479999999999997</v>
      </c>
      <c r="O10" s="4">
        <v>1137.8900000000001</v>
      </c>
      <c r="P10" s="4">
        <v>384.74</v>
      </c>
      <c r="Q10" s="4">
        <v>582.30999999999995</v>
      </c>
      <c r="R10" s="4">
        <v>170.84</v>
      </c>
      <c r="S10" s="4">
        <v>87.53</v>
      </c>
      <c r="T10" s="4">
        <v>47.71</v>
      </c>
      <c r="U10" s="4">
        <v>24.14</v>
      </c>
      <c r="V10" s="4">
        <v>15.68</v>
      </c>
      <c r="W10" s="4">
        <v>1225.42</v>
      </c>
      <c r="X10" s="4">
        <v>0</v>
      </c>
      <c r="Y10" s="4">
        <v>5.92</v>
      </c>
      <c r="Z10" s="4">
        <v>0</v>
      </c>
      <c r="AA10" s="4">
        <v>0.06</v>
      </c>
      <c r="AB10" s="4">
        <v>0</v>
      </c>
      <c r="AC10" s="4">
        <v>0.06</v>
      </c>
      <c r="AD10" s="4">
        <v>0.14000000000000001</v>
      </c>
      <c r="AE10" s="4">
        <v>12.61</v>
      </c>
      <c r="AF10" s="4">
        <v>0.24</v>
      </c>
      <c r="AG10" s="4">
        <v>1.54</v>
      </c>
      <c r="AH10" s="4">
        <v>4.2699999999999996</v>
      </c>
      <c r="AI10" s="4">
        <v>253.48</v>
      </c>
      <c r="AJ10" s="4">
        <v>5</v>
      </c>
      <c r="AK10" s="4">
        <v>2.46</v>
      </c>
      <c r="AL10" s="4">
        <v>7.0000000000000007E-2</v>
      </c>
    </row>
    <row r="11" spans="1:38" ht="58" x14ac:dyDescent="0.35">
      <c r="A11" s="3"/>
      <c r="B11" s="3" t="s">
        <v>25</v>
      </c>
      <c r="C11" s="3" t="s">
        <v>22</v>
      </c>
      <c r="D11" s="4">
        <v>15.58</v>
      </c>
      <c r="E11" s="4">
        <v>0.35</v>
      </c>
      <c r="F11" s="4">
        <v>16.440000000000001</v>
      </c>
      <c r="G11" s="4">
        <v>15.54</v>
      </c>
      <c r="H11" s="4">
        <v>0</v>
      </c>
      <c r="I11">
        <v>-0.02</v>
      </c>
      <c r="J11" s="4">
        <v>0.02</v>
      </c>
      <c r="K11" s="4">
        <v>0</v>
      </c>
      <c r="L11" s="4">
        <v>0</v>
      </c>
      <c r="M11" s="4">
        <v>0.95</v>
      </c>
      <c r="N11" s="4">
        <v>5.41</v>
      </c>
      <c r="O11" s="4">
        <v>15.2</v>
      </c>
      <c r="P11" s="4">
        <v>10.83</v>
      </c>
      <c r="Q11" s="4">
        <v>0</v>
      </c>
      <c r="R11" s="4">
        <v>4.37</v>
      </c>
      <c r="S11" s="4">
        <v>10.15</v>
      </c>
      <c r="T11" s="4">
        <v>10.15</v>
      </c>
      <c r="U11" s="4">
        <v>0</v>
      </c>
      <c r="V11" s="4">
        <v>0</v>
      </c>
      <c r="W11" s="4">
        <v>25.35</v>
      </c>
      <c r="X11" s="4">
        <v>0</v>
      </c>
      <c r="Y11" s="4">
        <v>1.65</v>
      </c>
      <c r="Z11" s="4">
        <v>0</v>
      </c>
      <c r="AA11" s="4">
        <v>0</v>
      </c>
      <c r="AB11" s="4">
        <v>0</v>
      </c>
      <c r="AC11" s="4">
        <v>0</v>
      </c>
      <c r="AD11" s="4">
        <v>1.1599999999999999</v>
      </c>
      <c r="AE11" s="4">
        <v>0.02</v>
      </c>
      <c r="AF11" s="4">
        <v>0</v>
      </c>
      <c r="AG11" s="4">
        <v>0</v>
      </c>
      <c r="AH11" s="4">
        <v>0</v>
      </c>
      <c r="AI11" s="4">
        <v>2.04</v>
      </c>
      <c r="AJ11" s="4">
        <v>0.12</v>
      </c>
      <c r="AK11" s="4">
        <v>0</v>
      </c>
      <c r="AL11" s="4">
        <v>0</v>
      </c>
    </row>
    <row r="12" spans="1:38" x14ac:dyDescent="0.35">
      <c r="A12" s="3"/>
      <c r="B12" s="3"/>
      <c r="C12" s="3" t="s">
        <v>23</v>
      </c>
      <c r="D12" s="4">
        <v>211.05</v>
      </c>
      <c r="E12" s="4">
        <v>51.61</v>
      </c>
      <c r="F12" s="4">
        <v>63.38</v>
      </c>
      <c r="G12" s="4">
        <v>138.61000000000001</v>
      </c>
      <c r="H12" s="4">
        <v>0.02</v>
      </c>
      <c r="I12">
        <v>-2.35</v>
      </c>
      <c r="J12" s="4">
        <v>2.34</v>
      </c>
      <c r="K12" s="4">
        <v>0</v>
      </c>
      <c r="L12" s="4">
        <v>0</v>
      </c>
      <c r="M12" s="4">
        <v>4.79</v>
      </c>
      <c r="N12" s="4">
        <v>39.75</v>
      </c>
      <c r="O12" s="4">
        <v>139.47</v>
      </c>
      <c r="P12" s="4">
        <v>101.88</v>
      </c>
      <c r="Q12" s="4">
        <v>5.41</v>
      </c>
      <c r="R12" s="4">
        <v>32.18</v>
      </c>
      <c r="S12" s="4">
        <v>107.48</v>
      </c>
      <c r="T12" s="4">
        <v>84.5</v>
      </c>
      <c r="U12" s="4">
        <v>2.27</v>
      </c>
      <c r="V12" s="4">
        <v>20.71</v>
      </c>
      <c r="W12" s="4">
        <v>246.95</v>
      </c>
      <c r="X12" s="4">
        <v>0.01</v>
      </c>
      <c r="Y12" s="4">
        <v>31.19</v>
      </c>
      <c r="Z12" s="4">
        <v>0</v>
      </c>
      <c r="AA12" s="4">
        <v>0.5</v>
      </c>
      <c r="AB12" s="4">
        <v>0.5</v>
      </c>
      <c r="AC12" s="4">
        <v>0</v>
      </c>
      <c r="AD12" s="4">
        <v>16.239999999999998</v>
      </c>
      <c r="AE12" s="4">
        <v>1.23</v>
      </c>
      <c r="AF12" s="4">
        <v>0.85</v>
      </c>
      <c r="AG12" s="4">
        <v>3.62</v>
      </c>
      <c r="AH12" s="4">
        <v>0</v>
      </c>
      <c r="AI12" s="4">
        <v>62.35</v>
      </c>
      <c r="AJ12" s="4">
        <v>0.95</v>
      </c>
      <c r="AK12" s="4">
        <v>0</v>
      </c>
      <c r="AL12" s="4">
        <v>0</v>
      </c>
    </row>
    <row r="13" spans="1:38" x14ac:dyDescent="0.35">
      <c r="A13" s="3" t="s">
        <v>26</v>
      </c>
      <c r="B13" s="3" t="s">
        <v>18</v>
      </c>
      <c r="C13" s="3" t="s">
        <v>19</v>
      </c>
      <c r="D13" s="4">
        <v>663.61</v>
      </c>
      <c r="E13" s="4">
        <v>6.2</v>
      </c>
      <c r="F13" s="4">
        <v>42.27</v>
      </c>
      <c r="G13" s="4">
        <v>121.32</v>
      </c>
      <c r="H13" s="4">
        <v>7.19</v>
      </c>
      <c r="I13">
        <v>-25.42</v>
      </c>
      <c r="J13" s="4">
        <v>25.33</v>
      </c>
      <c r="K13" s="4">
        <v>0.05</v>
      </c>
      <c r="L13" s="4">
        <v>0.04</v>
      </c>
      <c r="M13" s="4">
        <v>0</v>
      </c>
      <c r="N13" s="4">
        <v>20.28</v>
      </c>
      <c r="O13" s="4">
        <v>697.39</v>
      </c>
      <c r="P13" s="4">
        <v>182.92</v>
      </c>
      <c r="Q13" s="4">
        <v>184.98</v>
      </c>
      <c r="R13" s="4">
        <v>329.49</v>
      </c>
      <c r="S13" s="4">
        <v>43.97</v>
      </c>
      <c r="T13" s="4">
        <v>24.93</v>
      </c>
      <c r="U13" s="4">
        <v>2.52</v>
      </c>
      <c r="V13" s="4">
        <v>16.52</v>
      </c>
      <c r="W13" s="4">
        <v>741.36</v>
      </c>
      <c r="X13" s="4">
        <v>0</v>
      </c>
      <c r="Y13" s="4">
        <v>0.8</v>
      </c>
      <c r="Z13" s="4">
        <v>9.9600000000000009</v>
      </c>
      <c r="AA13" s="4">
        <v>33.090000000000003</v>
      </c>
      <c r="AB13" s="4">
        <v>32.340000000000003</v>
      </c>
      <c r="AC13" s="4">
        <v>0.75</v>
      </c>
      <c r="AD13" s="4">
        <v>0</v>
      </c>
      <c r="AE13" s="4">
        <v>1.48</v>
      </c>
      <c r="AF13" s="4">
        <v>0.03</v>
      </c>
      <c r="AG13" s="4">
        <v>30.08</v>
      </c>
      <c r="AH13" s="4">
        <v>10.25</v>
      </c>
      <c r="AI13" s="4">
        <v>43.15</v>
      </c>
      <c r="AJ13" s="4">
        <v>1.86</v>
      </c>
      <c r="AK13" s="4">
        <v>0.78</v>
      </c>
      <c r="AL13" s="4">
        <v>5.69</v>
      </c>
    </row>
    <row r="14" spans="1:38" x14ac:dyDescent="0.35">
      <c r="A14" s="3"/>
      <c r="B14" s="3"/>
      <c r="C14" s="3" t="s">
        <v>20</v>
      </c>
      <c r="D14" s="4">
        <v>3741.45</v>
      </c>
      <c r="E14" s="4">
        <v>159.82</v>
      </c>
      <c r="F14" s="4">
        <v>371.66</v>
      </c>
      <c r="G14" s="4">
        <v>858.55</v>
      </c>
      <c r="H14" s="4">
        <v>86.95</v>
      </c>
      <c r="I14">
        <v>-151.28</v>
      </c>
      <c r="J14" s="4">
        <v>148.26</v>
      </c>
      <c r="K14" s="4">
        <v>0.41</v>
      </c>
      <c r="L14" s="4">
        <v>2.61</v>
      </c>
      <c r="M14" s="4">
        <v>14.61</v>
      </c>
      <c r="N14" s="4">
        <v>146.05000000000001</v>
      </c>
      <c r="O14" s="4">
        <v>3529.08</v>
      </c>
      <c r="P14" s="4">
        <v>1003.9</v>
      </c>
      <c r="Q14" s="4">
        <v>1340.93</v>
      </c>
      <c r="R14" s="4">
        <v>1184.25</v>
      </c>
      <c r="S14" s="4">
        <v>716.86</v>
      </c>
      <c r="T14" s="4">
        <v>499.89</v>
      </c>
      <c r="U14" s="4">
        <v>74.84</v>
      </c>
      <c r="V14" s="4">
        <v>142.13</v>
      </c>
      <c r="W14" s="4">
        <v>4245.9399999999996</v>
      </c>
      <c r="X14" s="4">
        <v>0.39</v>
      </c>
      <c r="Y14" s="4">
        <v>51.64</v>
      </c>
      <c r="Z14" s="4">
        <v>67.84</v>
      </c>
      <c r="AA14" s="4">
        <v>206.69</v>
      </c>
      <c r="AB14" s="4">
        <v>3.78</v>
      </c>
      <c r="AC14" s="4">
        <v>202.91</v>
      </c>
      <c r="AD14" s="4">
        <v>14.02</v>
      </c>
      <c r="AE14" s="4">
        <v>96.8</v>
      </c>
      <c r="AF14" s="4">
        <v>1.55</v>
      </c>
      <c r="AG14" s="4">
        <v>23.66</v>
      </c>
      <c r="AH14" s="4">
        <v>8.1300000000000008</v>
      </c>
      <c r="AI14" s="4">
        <v>504.1</v>
      </c>
      <c r="AJ14" s="4">
        <v>20.010000000000002</v>
      </c>
      <c r="AK14" s="4">
        <v>116.13</v>
      </c>
      <c r="AL14" s="4">
        <v>19.12</v>
      </c>
    </row>
    <row r="15" spans="1:38" x14ac:dyDescent="0.35">
      <c r="A15" s="3"/>
      <c r="B15" s="3" t="s">
        <v>21</v>
      </c>
      <c r="C15" s="3" t="s">
        <v>22</v>
      </c>
      <c r="D15" s="4">
        <v>348.26</v>
      </c>
      <c r="E15" s="4">
        <v>20.88</v>
      </c>
      <c r="F15" s="4">
        <v>45.42</v>
      </c>
      <c r="G15" s="4">
        <v>91</v>
      </c>
      <c r="H15" s="4">
        <v>0.05</v>
      </c>
      <c r="I15">
        <v>-9.3800000000000008</v>
      </c>
      <c r="J15" s="4">
        <v>9.1</v>
      </c>
      <c r="K15" s="4">
        <v>0.01</v>
      </c>
      <c r="L15" s="4">
        <v>0.27</v>
      </c>
      <c r="M15" s="4">
        <v>0</v>
      </c>
      <c r="N15" s="4">
        <v>8.25</v>
      </c>
      <c r="O15" s="4">
        <v>410.79</v>
      </c>
      <c r="P15" s="4">
        <v>120.7</v>
      </c>
      <c r="Q15" s="4">
        <v>128.44</v>
      </c>
      <c r="R15" s="4">
        <v>161.65</v>
      </c>
      <c r="S15" s="4">
        <v>0.25</v>
      </c>
      <c r="T15" s="4">
        <v>0.02</v>
      </c>
      <c r="U15" s="4">
        <v>0</v>
      </c>
      <c r="V15" s="4">
        <v>0.22</v>
      </c>
      <c r="W15" s="4">
        <v>411.04</v>
      </c>
      <c r="X15" s="4">
        <v>0.83</v>
      </c>
      <c r="Y15" s="4">
        <v>11.63</v>
      </c>
      <c r="Z15" s="4">
        <v>1.4</v>
      </c>
      <c r="AA15" s="4">
        <v>16.600000000000001</v>
      </c>
      <c r="AB15" s="4">
        <v>16.600000000000001</v>
      </c>
      <c r="AC15" s="4">
        <v>0</v>
      </c>
      <c r="AD15" s="4">
        <v>0</v>
      </c>
      <c r="AE15" s="4">
        <v>2.13</v>
      </c>
      <c r="AF15" s="4">
        <v>0.05</v>
      </c>
      <c r="AG15" s="4">
        <v>39.82</v>
      </c>
      <c r="AH15" s="4">
        <v>25.2</v>
      </c>
      <c r="AI15" s="4">
        <v>4.16</v>
      </c>
      <c r="AJ15" s="4">
        <v>1.51</v>
      </c>
      <c r="AK15" s="4">
        <v>2.73</v>
      </c>
      <c r="AL15" s="4">
        <v>0</v>
      </c>
    </row>
    <row r="16" spans="1:38" x14ac:dyDescent="0.35">
      <c r="A16" s="3"/>
      <c r="B16" s="3"/>
      <c r="C16" s="3" t="s">
        <v>23</v>
      </c>
      <c r="D16" s="4">
        <v>203.8</v>
      </c>
      <c r="E16" s="4">
        <v>12.97</v>
      </c>
      <c r="F16" s="4">
        <v>17.22</v>
      </c>
      <c r="G16" s="4">
        <v>70.209999999999994</v>
      </c>
      <c r="H16" s="4">
        <v>0.55000000000000004</v>
      </c>
      <c r="I16">
        <v>-9.1999999999999993</v>
      </c>
      <c r="J16" s="4">
        <v>9.1</v>
      </c>
      <c r="K16" s="4">
        <v>0</v>
      </c>
      <c r="L16" s="4">
        <v>0.1</v>
      </c>
      <c r="M16" s="4">
        <v>0</v>
      </c>
      <c r="N16" s="4">
        <v>7.64</v>
      </c>
      <c r="O16" s="4">
        <v>247.88</v>
      </c>
      <c r="P16" s="4">
        <v>70.06</v>
      </c>
      <c r="Q16" s="4">
        <v>77.17</v>
      </c>
      <c r="R16" s="4">
        <v>100.65</v>
      </c>
      <c r="S16" s="4">
        <v>0.2</v>
      </c>
      <c r="T16" s="4">
        <v>0.04</v>
      </c>
      <c r="U16" s="4">
        <v>7.0000000000000007E-2</v>
      </c>
      <c r="V16" s="4">
        <v>0.09</v>
      </c>
      <c r="W16" s="4">
        <v>248.08</v>
      </c>
      <c r="X16" s="4">
        <v>0</v>
      </c>
      <c r="Y16" s="4">
        <v>5.76</v>
      </c>
      <c r="Z16" s="4">
        <v>2.16</v>
      </c>
      <c r="AA16" s="4">
        <v>7.07</v>
      </c>
      <c r="AB16" s="4">
        <v>7.07</v>
      </c>
      <c r="AC16" s="4">
        <v>0</v>
      </c>
      <c r="AD16" s="4">
        <v>0</v>
      </c>
      <c r="AE16" s="4">
        <v>2.48</v>
      </c>
      <c r="AF16" s="4">
        <v>0.1</v>
      </c>
      <c r="AG16" s="4">
        <v>23.06</v>
      </c>
      <c r="AH16" s="4">
        <v>12.5</v>
      </c>
      <c r="AI16" s="4">
        <v>6.85</v>
      </c>
      <c r="AJ16" s="4">
        <v>0.65</v>
      </c>
      <c r="AK16" s="4">
        <v>0.53</v>
      </c>
      <c r="AL16" s="4">
        <v>0</v>
      </c>
    </row>
    <row r="17" spans="1:38" x14ac:dyDescent="0.35">
      <c r="A17" s="3"/>
      <c r="B17" s="3"/>
      <c r="C17" s="3" t="s">
        <v>19</v>
      </c>
      <c r="D17" s="4">
        <v>110.03</v>
      </c>
      <c r="E17" s="4">
        <v>2.0299999999999998</v>
      </c>
      <c r="F17" s="4">
        <v>14.01</v>
      </c>
      <c r="G17" s="4">
        <v>32</v>
      </c>
      <c r="H17" s="4">
        <v>2.42</v>
      </c>
      <c r="I17">
        <v>-3.07</v>
      </c>
      <c r="J17" s="4">
        <v>3.06</v>
      </c>
      <c r="K17" s="4">
        <v>0</v>
      </c>
      <c r="L17" s="4">
        <v>0</v>
      </c>
      <c r="M17" s="4">
        <v>0</v>
      </c>
      <c r="N17" s="4">
        <v>11.4</v>
      </c>
      <c r="O17" s="4">
        <v>115.04</v>
      </c>
      <c r="P17" s="4">
        <v>22.73</v>
      </c>
      <c r="Q17" s="4">
        <v>34.979999999999997</v>
      </c>
      <c r="R17" s="4">
        <v>57.33</v>
      </c>
      <c r="S17" s="4">
        <v>7.32</v>
      </c>
      <c r="T17" s="4">
        <v>0.86</v>
      </c>
      <c r="U17" s="4">
        <v>7.0000000000000007E-2</v>
      </c>
      <c r="V17" s="4">
        <v>6.38</v>
      </c>
      <c r="W17" s="4">
        <v>122.36</v>
      </c>
      <c r="X17" s="4">
        <v>0</v>
      </c>
      <c r="Y17" s="4">
        <v>5.69</v>
      </c>
      <c r="Z17" s="4">
        <v>1.1200000000000001</v>
      </c>
      <c r="AA17" s="4">
        <v>11.3</v>
      </c>
      <c r="AB17" s="4">
        <v>11.3</v>
      </c>
      <c r="AC17" s="4">
        <v>0</v>
      </c>
      <c r="AD17" s="4">
        <v>0</v>
      </c>
      <c r="AE17" s="4">
        <v>11.05</v>
      </c>
      <c r="AF17" s="4">
        <v>7.0000000000000007E-2</v>
      </c>
      <c r="AG17" s="4">
        <v>2.63</v>
      </c>
      <c r="AH17" s="4">
        <v>3.03</v>
      </c>
      <c r="AI17" s="4">
        <v>7.39</v>
      </c>
      <c r="AJ17" s="4">
        <v>0.26</v>
      </c>
      <c r="AK17" s="4">
        <v>1.81</v>
      </c>
      <c r="AL17" s="4">
        <v>5.14</v>
      </c>
    </row>
    <row r="18" spans="1:38" ht="29" x14ac:dyDescent="0.35">
      <c r="A18" s="3"/>
      <c r="B18" s="3" t="s">
        <v>24</v>
      </c>
      <c r="C18" s="3" t="s">
        <v>22</v>
      </c>
      <c r="D18" s="4">
        <v>386.1</v>
      </c>
      <c r="E18" s="4">
        <v>18.25</v>
      </c>
      <c r="F18" s="4">
        <v>49.56</v>
      </c>
      <c r="G18" s="4">
        <v>188.94</v>
      </c>
      <c r="H18" s="4">
        <v>0.64</v>
      </c>
      <c r="I18">
        <v>-12.19</v>
      </c>
      <c r="J18" s="4">
        <v>11.94</v>
      </c>
      <c r="K18" s="4">
        <v>0.1</v>
      </c>
      <c r="L18" s="4">
        <v>0.14000000000000001</v>
      </c>
      <c r="M18" s="4">
        <v>0.36</v>
      </c>
      <c r="N18" s="4">
        <v>21.14</v>
      </c>
      <c r="O18" s="4">
        <v>451.35</v>
      </c>
      <c r="P18" s="4">
        <v>76.7</v>
      </c>
      <c r="Q18" s="4">
        <v>73.34</v>
      </c>
      <c r="R18" s="4">
        <v>301.31</v>
      </c>
      <c r="S18" s="4">
        <v>49.48</v>
      </c>
      <c r="T18" s="4">
        <v>13.96</v>
      </c>
      <c r="U18" s="4">
        <v>5.41</v>
      </c>
      <c r="V18" s="4">
        <v>30.11</v>
      </c>
      <c r="W18" s="4">
        <v>500.83</v>
      </c>
      <c r="X18" s="4">
        <v>2.21</v>
      </c>
      <c r="Y18" s="4">
        <v>18.71</v>
      </c>
      <c r="Z18" s="4">
        <v>14.98</v>
      </c>
      <c r="AA18" s="4">
        <v>8.9700000000000006</v>
      </c>
      <c r="AB18" s="4">
        <v>1.97</v>
      </c>
      <c r="AC18" s="4">
        <v>7</v>
      </c>
      <c r="AD18" s="4">
        <v>0.36</v>
      </c>
      <c r="AE18" s="4">
        <v>8.86</v>
      </c>
      <c r="AF18" s="4">
        <v>0.09</v>
      </c>
      <c r="AG18" s="4">
        <v>76.63</v>
      </c>
      <c r="AH18" s="4">
        <v>6.04</v>
      </c>
      <c r="AI18" s="4">
        <v>-6.19</v>
      </c>
      <c r="AJ18" s="4">
        <v>0.95</v>
      </c>
      <c r="AK18" s="4">
        <v>41.85</v>
      </c>
      <c r="AL18" s="4">
        <v>8.07</v>
      </c>
    </row>
    <row r="19" spans="1:38" x14ac:dyDescent="0.35">
      <c r="A19" s="3"/>
      <c r="B19" s="3"/>
      <c r="C19" s="3" t="s">
        <v>23</v>
      </c>
      <c r="D19" s="4">
        <v>435.87</v>
      </c>
      <c r="E19" s="4">
        <v>22.59</v>
      </c>
      <c r="F19" s="4">
        <v>74.17</v>
      </c>
      <c r="G19" s="4">
        <v>151.08000000000001</v>
      </c>
      <c r="H19" s="4">
        <v>1.71</v>
      </c>
      <c r="I19">
        <v>-16.03</v>
      </c>
      <c r="J19" s="4">
        <v>15.74</v>
      </c>
      <c r="K19" s="4">
        <v>0.03</v>
      </c>
      <c r="L19" s="4">
        <v>0.26</v>
      </c>
      <c r="M19" s="4">
        <v>2.15</v>
      </c>
      <c r="N19" s="4">
        <v>32.090000000000003</v>
      </c>
      <c r="O19" s="4">
        <v>419.65</v>
      </c>
      <c r="P19" s="4">
        <v>87.88</v>
      </c>
      <c r="Q19" s="4">
        <v>88.53</v>
      </c>
      <c r="R19" s="4">
        <v>243.25</v>
      </c>
      <c r="S19" s="4">
        <v>73.97</v>
      </c>
      <c r="T19" s="4">
        <v>31.83</v>
      </c>
      <c r="U19" s="4">
        <v>2.74</v>
      </c>
      <c r="V19" s="4">
        <v>39.4</v>
      </c>
      <c r="W19" s="4">
        <v>493.63</v>
      </c>
      <c r="X19" s="4">
        <v>1.6</v>
      </c>
      <c r="Y19" s="4">
        <v>21.75</v>
      </c>
      <c r="Z19" s="4">
        <v>10.33</v>
      </c>
      <c r="AA19" s="4">
        <v>35.64</v>
      </c>
      <c r="AB19" s="4">
        <v>18.22</v>
      </c>
      <c r="AC19" s="4">
        <v>17.420000000000002</v>
      </c>
      <c r="AD19" s="4">
        <v>2.2000000000000002</v>
      </c>
      <c r="AE19" s="4">
        <v>16.55</v>
      </c>
      <c r="AF19" s="4">
        <v>0.09</v>
      </c>
      <c r="AG19" s="4">
        <v>66.739999999999995</v>
      </c>
      <c r="AH19" s="4">
        <v>1.76</v>
      </c>
      <c r="AI19" s="4">
        <v>23.25</v>
      </c>
      <c r="AJ19" s="4">
        <v>1.46</v>
      </c>
      <c r="AK19" s="4">
        <v>50.34</v>
      </c>
      <c r="AL19" s="4">
        <v>4.74</v>
      </c>
    </row>
    <row r="20" spans="1:38" x14ac:dyDescent="0.35">
      <c r="A20" s="3"/>
      <c r="B20" s="3"/>
      <c r="C20" s="3" t="s">
        <v>19</v>
      </c>
      <c r="D20" s="4">
        <v>1592.26</v>
      </c>
      <c r="E20" s="4">
        <v>43.35</v>
      </c>
      <c r="F20" s="4">
        <v>159.08000000000001</v>
      </c>
      <c r="G20" s="4">
        <v>563.32000000000005</v>
      </c>
      <c r="H20" s="4">
        <v>16.75</v>
      </c>
      <c r="I20">
        <v>-56.61</v>
      </c>
      <c r="J20" s="4">
        <v>55.92</v>
      </c>
      <c r="K20" s="4">
        <v>0.2</v>
      </c>
      <c r="L20" s="4">
        <v>0.48</v>
      </c>
      <c r="M20" s="4">
        <v>9.39</v>
      </c>
      <c r="N20" s="4">
        <v>125.21</v>
      </c>
      <c r="O20" s="4">
        <v>1409.06</v>
      </c>
      <c r="P20" s="4">
        <v>372.41</v>
      </c>
      <c r="Q20" s="4">
        <v>315.70999999999998</v>
      </c>
      <c r="R20" s="4">
        <v>720.95</v>
      </c>
      <c r="S20" s="4">
        <v>427.99</v>
      </c>
      <c r="T20" s="4">
        <v>149.15</v>
      </c>
      <c r="U20" s="4">
        <v>117.71</v>
      </c>
      <c r="V20" s="4">
        <v>161.13</v>
      </c>
      <c r="W20" s="4">
        <v>1837.05</v>
      </c>
      <c r="X20" s="4">
        <v>0</v>
      </c>
      <c r="Y20" s="4">
        <v>56.82</v>
      </c>
      <c r="Z20" s="4">
        <v>11.71</v>
      </c>
      <c r="AA20" s="4">
        <v>74.900000000000006</v>
      </c>
      <c r="AB20" s="4">
        <v>11.47</v>
      </c>
      <c r="AC20" s="4">
        <v>63.42</v>
      </c>
      <c r="AD20" s="4">
        <v>8.76</v>
      </c>
      <c r="AE20" s="4">
        <v>95.48</v>
      </c>
      <c r="AF20" s="4">
        <v>2.86</v>
      </c>
      <c r="AG20" s="4">
        <v>55.68</v>
      </c>
      <c r="AH20" s="4">
        <v>41.41</v>
      </c>
      <c r="AI20" s="4">
        <v>207.69</v>
      </c>
      <c r="AJ20" s="4">
        <v>5.63</v>
      </c>
      <c r="AK20" s="4">
        <v>97.1</v>
      </c>
      <c r="AL20" s="4">
        <v>21.19</v>
      </c>
    </row>
    <row r="21" spans="1:38" x14ac:dyDescent="0.35">
      <c r="A21" s="3"/>
      <c r="B21" s="3"/>
      <c r="C21" s="3" t="s">
        <v>20</v>
      </c>
      <c r="D21" s="4">
        <v>953.22</v>
      </c>
      <c r="E21" s="4">
        <v>21.32</v>
      </c>
      <c r="F21" s="4">
        <v>56.31</v>
      </c>
      <c r="G21" s="4">
        <v>444.85</v>
      </c>
      <c r="H21" s="4">
        <v>10.37</v>
      </c>
      <c r="I21">
        <v>-30</v>
      </c>
      <c r="J21" s="4">
        <v>29.65</v>
      </c>
      <c r="K21" s="4">
        <v>0.02</v>
      </c>
      <c r="L21" s="4">
        <v>0.33</v>
      </c>
      <c r="M21" s="4">
        <v>0.09</v>
      </c>
      <c r="N21" s="4">
        <v>15.62</v>
      </c>
      <c r="O21" s="4">
        <v>1140.45</v>
      </c>
      <c r="P21" s="4">
        <v>385.15</v>
      </c>
      <c r="Q21" s="4">
        <v>585.21</v>
      </c>
      <c r="R21" s="4">
        <v>170.09</v>
      </c>
      <c r="S21" s="4">
        <v>87.32</v>
      </c>
      <c r="T21" s="4">
        <v>46.37</v>
      </c>
      <c r="U21" s="4">
        <v>24.79</v>
      </c>
      <c r="V21" s="4">
        <v>16.170000000000002</v>
      </c>
      <c r="W21" s="4">
        <v>1227.77</v>
      </c>
      <c r="X21" s="4">
        <v>0</v>
      </c>
      <c r="Y21" s="4">
        <v>6.45</v>
      </c>
      <c r="Z21" s="4">
        <v>0</v>
      </c>
      <c r="AA21" s="4">
        <v>0.05</v>
      </c>
      <c r="AB21" s="4">
        <v>0</v>
      </c>
      <c r="AC21" s="4">
        <v>0.05</v>
      </c>
      <c r="AD21" s="4">
        <v>0.06</v>
      </c>
      <c r="AE21" s="4">
        <v>6.73</v>
      </c>
      <c r="AF21" s="4">
        <v>0.21</v>
      </c>
      <c r="AG21" s="4">
        <v>1.54</v>
      </c>
      <c r="AH21" s="4">
        <v>4.2699999999999996</v>
      </c>
      <c r="AI21" s="4">
        <v>253.48</v>
      </c>
      <c r="AJ21" s="4">
        <v>9.23</v>
      </c>
      <c r="AK21" s="4">
        <v>2.46</v>
      </c>
      <c r="AL21" s="4">
        <v>7.0000000000000007E-2</v>
      </c>
    </row>
    <row r="22" spans="1:38" ht="58" x14ac:dyDescent="0.35">
      <c r="A22" s="3"/>
      <c r="B22" s="3" t="s">
        <v>25</v>
      </c>
      <c r="C22" s="3" t="s">
        <v>22</v>
      </c>
      <c r="D22" s="4">
        <v>14.75</v>
      </c>
      <c r="E22" s="4">
        <v>1.34</v>
      </c>
      <c r="F22" s="4">
        <v>9.5</v>
      </c>
      <c r="G22" s="4">
        <v>18.14</v>
      </c>
      <c r="H22" s="4">
        <v>0</v>
      </c>
      <c r="I22">
        <v>-0.02</v>
      </c>
      <c r="J22" s="4">
        <v>0.02</v>
      </c>
      <c r="K22" s="4">
        <v>0</v>
      </c>
      <c r="L22" s="4">
        <v>0</v>
      </c>
      <c r="M22" s="4">
        <v>0.84</v>
      </c>
      <c r="N22" s="4">
        <v>9.32</v>
      </c>
      <c r="O22" s="4">
        <v>16.440000000000001</v>
      </c>
      <c r="P22" s="4">
        <v>12.01</v>
      </c>
      <c r="Q22" s="4">
        <v>0</v>
      </c>
      <c r="R22" s="4">
        <v>4.43</v>
      </c>
      <c r="S22" s="4">
        <v>5.35</v>
      </c>
      <c r="T22" s="4">
        <v>5.35</v>
      </c>
      <c r="U22" s="4">
        <v>0</v>
      </c>
      <c r="V22" s="4">
        <v>0</v>
      </c>
      <c r="W22" s="4">
        <v>21.78</v>
      </c>
      <c r="X22" s="4">
        <v>0</v>
      </c>
      <c r="Y22" s="4">
        <v>2.34</v>
      </c>
      <c r="Z22" s="4">
        <v>0</v>
      </c>
      <c r="AA22" s="4">
        <v>0</v>
      </c>
      <c r="AB22" s="4">
        <v>0</v>
      </c>
      <c r="AC22" s="4">
        <v>0</v>
      </c>
      <c r="AD22" s="4">
        <v>1.07</v>
      </c>
      <c r="AE22" s="4">
        <v>4.45</v>
      </c>
      <c r="AF22" s="4">
        <v>0</v>
      </c>
      <c r="AG22" s="4">
        <v>0</v>
      </c>
      <c r="AH22" s="4">
        <v>0</v>
      </c>
      <c r="AI22" s="4">
        <v>2.04</v>
      </c>
      <c r="AJ22" s="4">
        <v>0.14000000000000001</v>
      </c>
      <c r="AK22" s="4">
        <v>0</v>
      </c>
      <c r="AL22" s="4">
        <v>0</v>
      </c>
    </row>
    <row r="23" spans="1:38" x14ac:dyDescent="0.35">
      <c r="A23" s="3"/>
      <c r="B23" s="3"/>
      <c r="C23" s="3" t="s">
        <v>23</v>
      </c>
      <c r="D23" s="4">
        <v>213.65</v>
      </c>
      <c r="E23" s="4">
        <v>46.78</v>
      </c>
      <c r="F23" s="4">
        <v>58.3</v>
      </c>
      <c r="G23" s="4">
        <v>157.57</v>
      </c>
      <c r="H23" s="4">
        <v>0.02</v>
      </c>
      <c r="I23">
        <v>-2.4</v>
      </c>
      <c r="J23" s="4">
        <v>2.39</v>
      </c>
      <c r="K23" s="4">
        <v>0</v>
      </c>
      <c r="L23" s="4">
        <v>0</v>
      </c>
      <c r="M23" s="4">
        <v>4.66</v>
      </c>
      <c r="N23" s="4">
        <v>31.7</v>
      </c>
      <c r="O23" s="4">
        <v>140.19</v>
      </c>
      <c r="P23" s="4">
        <v>100.56</v>
      </c>
      <c r="Q23" s="4">
        <v>5.66</v>
      </c>
      <c r="R23" s="4">
        <v>33.96</v>
      </c>
      <c r="S23" s="4">
        <v>112.26</v>
      </c>
      <c r="T23" s="4">
        <v>85.85</v>
      </c>
      <c r="U23" s="4">
        <v>2.2599999999999998</v>
      </c>
      <c r="V23" s="4">
        <v>24.15</v>
      </c>
      <c r="W23" s="4">
        <v>252.45</v>
      </c>
      <c r="X23" s="4">
        <v>0</v>
      </c>
      <c r="Y23" s="4">
        <v>26.92</v>
      </c>
      <c r="Z23" s="4">
        <v>0</v>
      </c>
      <c r="AA23" s="4">
        <v>0.5</v>
      </c>
      <c r="AB23" s="4">
        <v>0.5</v>
      </c>
      <c r="AC23" s="4">
        <v>0</v>
      </c>
      <c r="AD23" s="4">
        <v>15.89</v>
      </c>
      <c r="AE23" s="4">
        <v>2.81</v>
      </c>
      <c r="AF23" s="4">
        <v>1.32</v>
      </c>
      <c r="AG23" s="4">
        <v>3.62</v>
      </c>
      <c r="AH23" s="4">
        <v>0</v>
      </c>
      <c r="AI23" s="4">
        <v>61.26</v>
      </c>
      <c r="AJ23" s="4">
        <v>1.85</v>
      </c>
      <c r="AK23" s="4">
        <v>0</v>
      </c>
      <c r="AL23" s="4">
        <v>0</v>
      </c>
    </row>
    <row r="24" spans="1:38" x14ac:dyDescent="0.35">
      <c r="A24" s="3" t="s">
        <v>27</v>
      </c>
      <c r="B24" s="3" t="s">
        <v>18</v>
      </c>
      <c r="C24" s="3" t="s">
        <v>19</v>
      </c>
      <c r="D24" s="4">
        <v>671.96</v>
      </c>
      <c r="E24" s="4">
        <v>4.9800000000000004</v>
      </c>
      <c r="F24" s="4">
        <v>63.08</v>
      </c>
      <c r="G24" s="4">
        <v>118.4</v>
      </c>
      <c r="H24" s="4">
        <v>7.19</v>
      </c>
      <c r="I24">
        <v>-25.29</v>
      </c>
      <c r="J24" s="4">
        <v>25.22</v>
      </c>
      <c r="K24" s="4">
        <v>0.03</v>
      </c>
      <c r="L24" s="4">
        <v>0.04</v>
      </c>
      <c r="M24" s="4">
        <v>0</v>
      </c>
      <c r="N24" s="4">
        <v>5.85</v>
      </c>
      <c r="O24" s="4">
        <v>697.75</v>
      </c>
      <c r="P24" s="4">
        <v>186.39</v>
      </c>
      <c r="Q24" s="4">
        <v>197.45</v>
      </c>
      <c r="R24" s="4">
        <v>313.89999999999998</v>
      </c>
      <c r="S24" s="4">
        <v>43.11</v>
      </c>
      <c r="T24" s="4">
        <v>25.05</v>
      </c>
      <c r="U24" s="4">
        <v>2.69</v>
      </c>
      <c r="V24" s="4">
        <v>15.37</v>
      </c>
      <c r="W24" s="4">
        <v>740.86</v>
      </c>
      <c r="X24" s="4">
        <v>8.31</v>
      </c>
      <c r="Y24" s="4">
        <v>0.72</v>
      </c>
      <c r="Z24" s="4">
        <v>14.96</v>
      </c>
      <c r="AA24" s="4">
        <v>33.799999999999997</v>
      </c>
      <c r="AB24" s="4">
        <v>33.06</v>
      </c>
      <c r="AC24" s="4">
        <v>0.74</v>
      </c>
      <c r="AD24" s="4">
        <v>0</v>
      </c>
      <c r="AE24" s="4">
        <v>1.64</v>
      </c>
      <c r="AF24" s="4">
        <v>0.03</v>
      </c>
      <c r="AG24" s="4">
        <v>30.08</v>
      </c>
      <c r="AH24" s="4">
        <v>10.25</v>
      </c>
      <c r="AI24" s="4">
        <v>43.15</v>
      </c>
      <c r="AJ24" s="4">
        <v>3.08</v>
      </c>
      <c r="AK24" s="4">
        <v>0.78</v>
      </c>
      <c r="AL24" s="4">
        <v>5.69</v>
      </c>
    </row>
    <row r="25" spans="1:38" x14ac:dyDescent="0.35">
      <c r="A25" s="3"/>
      <c r="B25" s="3"/>
      <c r="C25" s="3" t="s">
        <v>20</v>
      </c>
      <c r="D25" s="4">
        <v>3790.61</v>
      </c>
      <c r="E25" s="4">
        <v>190.84</v>
      </c>
      <c r="F25" s="4">
        <v>363.56</v>
      </c>
      <c r="G25" s="4">
        <v>851.54</v>
      </c>
      <c r="H25" s="4">
        <v>87.19</v>
      </c>
      <c r="I25">
        <v>-149.91</v>
      </c>
      <c r="J25" s="4">
        <v>146.86000000000001</v>
      </c>
      <c r="K25" s="4">
        <v>0.43</v>
      </c>
      <c r="L25" s="4">
        <v>2.62</v>
      </c>
      <c r="M25" s="4">
        <v>17.670000000000002</v>
      </c>
      <c r="N25" s="4">
        <v>125.9</v>
      </c>
      <c r="O25" s="4">
        <v>3555.91</v>
      </c>
      <c r="P25" s="4">
        <v>1023.56</v>
      </c>
      <c r="Q25" s="4">
        <v>1361.84</v>
      </c>
      <c r="R25" s="4">
        <v>1170.51</v>
      </c>
      <c r="S25" s="4">
        <v>750.73</v>
      </c>
      <c r="T25" s="4">
        <v>514.14</v>
      </c>
      <c r="U25" s="4">
        <v>84.77</v>
      </c>
      <c r="V25" s="4">
        <v>151.83000000000001</v>
      </c>
      <c r="W25" s="4">
        <v>4306.6400000000003</v>
      </c>
      <c r="X25" s="4">
        <v>0.38</v>
      </c>
      <c r="Y25" s="4">
        <v>52.7</v>
      </c>
      <c r="Z25" s="4">
        <v>72.36</v>
      </c>
      <c r="AA25" s="4">
        <v>215.09</v>
      </c>
      <c r="AB25" s="4">
        <v>3.86</v>
      </c>
      <c r="AC25" s="4">
        <v>211.23</v>
      </c>
      <c r="AD25" s="4">
        <v>17.45</v>
      </c>
      <c r="AE25" s="4">
        <v>95.99</v>
      </c>
      <c r="AF25" s="4">
        <v>1.56</v>
      </c>
      <c r="AG25" s="4">
        <v>23.66</v>
      </c>
      <c r="AH25" s="4">
        <v>8.1300000000000008</v>
      </c>
      <c r="AI25" s="4">
        <v>491.08</v>
      </c>
      <c r="AJ25" s="4">
        <v>30.77</v>
      </c>
      <c r="AK25" s="4">
        <v>116.6</v>
      </c>
      <c r="AL25" s="4">
        <v>10.88</v>
      </c>
    </row>
    <row r="26" spans="1:38" x14ac:dyDescent="0.35">
      <c r="A26" s="3"/>
      <c r="B26" s="3" t="s">
        <v>21</v>
      </c>
      <c r="C26" s="3" t="s">
        <v>22</v>
      </c>
      <c r="D26" s="4">
        <v>348.36</v>
      </c>
      <c r="E26" s="4">
        <v>20.66</v>
      </c>
      <c r="F26" s="4">
        <v>46.49</v>
      </c>
      <c r="G26" s="4">
        <v>86.47</v>
      </c>
      <c r="H26" s="4">
        <v>0.05</v>
      </c>
      <c r="I26">
        <v>-9.4700000000000006</v>
      </c>
      <c r="J26" s="4">
        <v>9.19</v>
      </c>
      <c r="K26" s="4">
        <v>0.01</v>
      </c>
      <c r="L26" s="4">
        <v>0.27</v>
      </c>
      <c r="M26" s="4">
        <v>0</v>
      </c>
      <c r="N26" s="4">
        <v>7.87</v>
      </c>
      <c r="O26" s="4">
        <v>405.98</v>
      </c>
      <c r="P26" s="4">
        <v>110.29</v>
      </c>
      <c r="Q26" s="4">
        <v>131.58000000000001</v>
      </c>
      <c r="R26" s="4">
        <v>164.11</v>
      </c>
      <c r="S26" s="4">
        <v>0.25</v>
      </c>
      <c r="T26" s="4">
        <v>0.02</v>
      </c>
      <c r="U26" s="4">
        <v>0</v>
      </c>
      <c r="V26" s="4">
        <v>0.23</v>
      </c>
      <c r="W26" s="4">
        <v>406.23</v>
      </c>
      <c r="X26" s="4">
        <v>0.54</v>
      </c>
      <c r="Y26" s="4">
        <v>12.35</v>
      </c>
      <c r="Z26" s="4">
        <v>1.5</v>
      </c>
      <c r="AA26" s="4">
        <v>18.41</v>
      </c>
      <c r="AB26" s="4">
        <v>18.41</v>
      </c>
      <c r="AC26" s="4">
        <v>0</v>
      </c>
      <c r="AD26" s="4">
        <v>0</v>
      </c>
      <c r="AE26" s="4">
        <v>4.79</v>
      </c>
      <c r="AF26" s="4">
        <v>0.04</v>
      </c>
      <c r="AG26" s="4">
        <v>40.36</v>
      </c>
      <c r="AH26" s="4">
        <v>25.86</v>
      </c>
      <c r="AI26" s="4">
        <v>1.33</v>
      </c>
      <c r="AJ26" s="4">
        <v>2.52</v>
      </c>
      <c r="AK26" s="4">
        <v>2.5099999999999998</v>
      </c>
      <c r="AL26" s="4">
        <v>0</v>
      </c>
    </row>
    <row r="27" spans="1:38" x14ac:dyDescent="0.35">
      <c r="A27" s="3"/>
      <c r="B27" s="3"/>
      <c r="C27" s="3" t="s">
        <v>23</v>
      </c>
      <c r="D27" s="4">
        <v>203.59</v>
      </c>
      <c r="E27" s="4">
        <v>10.64</v>
      </c>
      <c r="F27" s="4">
        <v>20.190000000000001</v>
      </c>
      <c r="G27" s="4">
        <v>66.8</v>
      </c>
      <c r="H27" s="4">
        <v>0.56000000000000005</v>
      </c>
      <c r="I27">
        <v>-9.3800000000000008</v>
      </c>
      <c r="J27" s="4">
        <v>9.2799999999999994</v>
      </c>
      <c r="K27" s="4">
        <v>0</v>
      </c>
      <c r="L27" s="4">
        <v>0.1</v>
      </c>
      <c r="M27" s="4">
        <v>0</v>
      </c>
      <c r="N27" s="4">
        <v>11.87</v>
      </c>
      <c r="O27" s="4">
        <v>246.83</v>
      </c>
      <c r="P27" s="4">
        <v>58.43</v>
      </c>
      <c r="Q27" s="4">
        <v>80.09</v>
      </c>
      <c r="R27" s="4">
        <v>108.3</v>
      </c>
      <c r="S27" s="4">
        <v>0.21</v>
      </c>
      <c r="T27" s="4">
        <v>0.04</v>
      </c>
      <c r="U27" s="4">
        <v>7.0000000000000007E-2</v>
      </c>
      <c r="V27" s="4">
        <v>0.1</v>
      </c>
      <c r="W27" s="4">
        <v>247.04</v>
      </c>
      <c r="X27" s="4">
        <v>0</v>
      </c>
      <c r="Y27" s="4">
        <v>8.94</v>
      </c>
      <c r="Z27" s="4">
        <v>2.44</v>
      </c>
      <c r="AA27" s="4">
        <v>7.08</v>
      </c>
      <c r="AB27" s="4">
        <v>7.08</v>
      </c>
      <c r="AC27" s="4">
        <v>0</v>
      </c>
      <c r="AD27" s="4">
        <v>0</v>
      </c>
      <c r="AE27" s="4">
        <v>5.47</v>
      </c>
      <c r="AF27" s="4">
        <v>0.08</v>
      </c>
      <c r="AG27" s="4">
        <v>23.06</v>
      </c>
      <c r="AH27" s="4">
        <v>12.86</v>
      </c>
      <c r="AI27" s="4">
        <v>4.54</v>
      </c>
      <c r="AJ27" s="4">
        <v>0.98</v>
      </c>
      <c r="AK27" s="4">
        <v>0.55000000000000004</v>
      </c>
      <c r="AL27" s="4">
        <v>0</v>
      </c>
    </row>
    <row r="28" spans="1:38" x14ac:dyDescent="0.35">
      <c r="A28" s="3"/>
      <c r="B28" s="3"/>
      <c r="C28" s="3" t="s">
        <v>19</v>
      </c>
      <c r="D28" s="4">
        <v>111.89</v>
      </c>
      <c r="E28" s="4">
        <v>2.39</v>
      </c>
      <c r="F28" s="4">
        <v>11.25</v>
      </c>
      <c r="G28" s="4">
        <v>34.82</v>
      </c>
      <c r="H28" s="4">
        <v>2.41</v>
      </c>
      <c r="I28">
        <v>-3.23</v>
      </c>
      <c r="J28" s="4">
        <v>3.23</v>
      </c>
      <c r="K28" s="4">
        <v>0</v>
      </c>
      <c r="L28" s="4">
        <v>0</v>
      </c>
      <c r="M28" s="4">
        <v>0</v>
      </c>
      <c r="N28" s="4">
        <v>9.0299999999999994</v>
      </c>
      <c r="O28" s="4">
        <v>122.2</v>
      </c>
      <c r="P28" s="4">
        <v>20.51</v>
      </c>
      <c r="Q28" s="4">
        <v>34.78</v>
      </c>
      <c r="R28" s="4">
        <v>66.91</v>
      </c>
      <c r="S28" s="4">
        <v>6.57</v>
      </c>
      <c r="T28" s="4">
        <v>0.05</v>
      </c>
      <c r="U28" s="4">
        <v>0.08</v>
      </c>
      <c r="V28" s="4">
        <v>6.44</v>
      </c>
      <c r="W28" s="4">
        <v>128.77000000000001</v>
      </c>
      <c r="X28" s="4">
        <v>0</v>
      </c>
      <c r="Y28" s="4">
        <v>3.02</v>
      </c>
      <c r="Z28" s="4">
        <v>1.1200000000000001</v>
      </c>
      <c r="AA28" s="4">
        <v>11.3</v>
      </c>
      <c r="AB28" s="4">
        <v>11.3</v>
      </c>
      <c r="AC28" s="4">
        <v>0</v>
      </c>
      <c r="AD28" s="4">
        <v>0</v>
      </c>
      <c r="AE28" s="4">
        <v>8.68</v>
      </c>
      <c r="AF28" s="4">
        <v>7.0000000000000007E-2</v>
      </c>
      <c r="AG28" s="4">
        <v>2.63</v>
      </c>
      <c r="AH28" s="4">
        <v>3.03</v>
      </c>
      <c r="AI28" s="4">
        <v>7.33</v>
      </c>
      <c r="AJ28" s="4">
        <v>0.38</v>
      </c>
      <c r="AK28" s="4">
        <v>1.81</v>
      </c>
      <c r="AL28" s="4">
        <v>5.14</v>
      </c>
    </row>
    <row r="29" spans="1:38" ht="29" x14ac:dyDescent="0.35">
      <c r="A29" s="3"/>
      <c r="B29" s="3" t="s">
        <v>24</v>
      </c>
      <c r="C29" s="3" t="s">
        <v>22</v>
      </c>
      <c r="D29" s="4">
        <v>392.58</v>
      </c>
      <c r="E29" s="4">
        <v>16.489999999999998</v>
      </c>
      <c r="F29" s="4">
        <v>51.78</v>
      </c>
      <c r="G29" s="4">
        <v>181.73</v>
      </c>
      <c r="H29" s="4">
        <v>0.63</v>
      </c>
      <c r="I29">
        <v>-11.68</v>
      </c>
      <c r="J29" s="4">
        <v>11.44</v>
      </c>
      <c r="K29" s="4">
        <v>0.1</v>
      </c>
      <c r="L29" s="4">
        <v>0.15</v>
      </c>
      <c r="M29" s="4">
        <v>0.11</v>
      </c>
      <c r="N29" s="4">
        <v>24.53</v>
      </c>
      <c r="O29" s="4">
        <v>449.26</v>
      </c>
      <c r="P29" s="4">
        <v>75.959999999999994</v>
      </c>
      <c r="Q29" s="4">
        <v>76.709999999999994</v>
      </c>
      <c r="R29" s="4">
        <v>296.58999999999997</v>
      </c>
      <c r="S29" s="4">
        <v>49.71</v>
      </c>
      <c r="T29" s="4">
        <v>15.32</v>
      </c>
      <c r="U29" s="4">
        <v>5.13</v>
      </c>
      <c r="V29" s="4">
        <v>29.26</v>
      </c>
      <c r="W29" s="4">
        <v>498.97</v>
      </c>
      <c r="X29" s="4">
        <v>2.15</v>
      </c>
      <c r="Y29" s="4">
        <v>19.690000000000001</v>
      </c>
      <c r="Z29" s="4">
        <v>14.36</v>
      </c>
      <c r="AA29" s="4">
        <v>9.84</v>
      </c>
      <c r="AB29" s="4">
        <v>1.72</v>
      </c>
      <c r="AC29" s="4">
        <v>8.1199999999999992</v>
      </c>
      <c r="AD29" s="4">
        <v>0.08</v>
      </c>
      <c r="AE29" s="4">
        <v>13.02</v>
      </c>
      <c r="AF29" s="4">
        <v>0.09</v>
      </c>
      <c r="AG29" s="4">
        <v>76.63</v>
      </c>
      <c r="AH29" s="4">
        <v>6.05</v>
      </c>
      <c r="AI29" s="4">
        <v>-6.53</v>
      </c>
      <c r="AJ29" s="4">
        <v>1.48</v>
      </c>
      <c r="AK29" s="4">
        <v>41.85</v>
      </c>
      <c r="AL29" s="4">
        <v>8.07</v>
      </c>
    </row>
    <row r="30" spans="1:38" x14ac:dyDescent="0.35">
      <c r="A30" s="3"/>
      <c r="B30" s="3"/>
      <c r="C30" s="3" t="s">
        <v>23</v>
      </c>
      <c r="D30" s="4">
        <v>440.1</v>
      </c>
      <c r="E30" s="4">
        <v>20.38</v>
      </c>
      <c r="F30" s="4">
        <v>75.069999999999993</v>
      </c>
      <c r="G30" s="4">
        <v>154.16</v>
      </c>
      <c r="H30" s="4">
        <v>1.71</v>
      </c>
      <c r="I30">
        <v>-16.29</v>
      </c>
      <c r="J30" s="4">
        <v>15.99</v>
      </c>
      <c r="K30" s="4">
        <v>0.03</v>
      </c>
      <c r="L30" s="4">
        <v>0.28000000000000003</v>
      </c>
      <c r="M30" s="4">
        <v>2.68</v>
      </c>
      <c r="N30" s="4">
        <v>28.72</v>
      </c>
      <c r="O30" s="4">
        <v>413.84</v>
      </c>
      <c r="P30" s="4">
        <v>90.71</v>
      </c>
      <c r="Q30" s="4">
        <v>89.42</v>
      </c>
      <c r="R30" s="4">
        <v>233.71</v>
      </c>
      <c r="S30" s="4">
        <v>75.81</v>
      </c>
      <c r="T30" s="4">
        <v>33.950000000000003</v>
      </c>
      <c r="U30" s="4">
        <v>2.84</v>
      </c>
      <c r="V30" s="4">
        <v>39.020000000000003</v>
      </c>
      <c r="W30" s="4">
        <v>489.65</v>
      </c>
      <c r="X30" s="4">
        <v>1.71</v>
      </c>
      <c r="Y30" s="4">
        <v>22.24</v>
      </c>
      <c r="Z30" s="4">
        <v>10.4</v>
      </c>
      <c r="AA30" s="4">
        <v>38.76</v>
      </c>
      <c r="AB30" s="4">
        <v>20</v>
      </c>
      <c r="AC30" s="4">
        <v>18.760000000000002</v>
      </c>
      <c r="AD30" s="4">
        <v>2.78</v>
      </c>
      <c r="AE30" s="4">
        <v>18.100000000000001</v>
      </c>
      <c r="AF30" s="4">
        <v>0.13</v>
      </c>
      <c r="AG30" s="4">
        <v>66.739999999999995</v>
      </c>
      <c r="AH30" s="4">
        <v>1.76</v>
      </c>
      <c r="AI30" s="4">
        <v>23.11</v>
      </c>
      <c r="AJ30" s="4">
        <v>2.2599999999999998</v>
      </c>
      <c r="AK30" s="4">
        <v>50.33</v>
      </c>
      <c r="AL30" s="4">
        <v>4.74</v>
      </c>
    </row>
    <row r="31" spans="1:38" x14ac:dyDescent="0.35">
      <c r="A31" s="3"/>
      <c r="B31" s="3"/>
      <c r="C31" s="3" t="s">
        <v>19</v>
      </c>
      <c r="D31" s="4">
        <v>1616.31</v>
      </c>
      <c r="E31" s="4">
        <v>47.25</v>
      </c>
      <c r="F31" s="4">
        <v>150.30000000000001</v>
      </c>
      <c r="G31" s="4">
        <v>573.62</v>
      </c>
      <c r="H31" s="4">
        <v>16.899999999999999</v>
      </c>
      <c r="I31">
        <v>-56.75</v>
      </c>
      <c r="J31" s="4">
        <v>56.1</v>
      </c>
      <c r="K31" s="4">
        <v>0.21</v>
      </c>
      <c r="L31" s="4">
        <v>0.44</v>
      </c>
      <c r="M31" s="4">
        <v>12.22</v>
      </c>
      <c r="N31" s="4">
        <v>108.5</v>
      </c>
      <c r="O31" s="4">
        <v>1407.63</v>
      </c>
      <c r="P31" s="4">
        <v>381.1</v>
      </c>
      <c r="Q31" s="4">
        <v>314.87</v>
      </c>
      <c r="R31" s="4">
        <v>711.66</v>
      </c>
      <c r="S31" s="4">
        <v>457.9</v>
      </c>
      <c r="T31" s="4">
        <v>158.94</v>
      </c>
      <c r="U31" s="4">
        <v>127.09</v>
      </c>
      <c r="V31" s="4">
        <v>171.87</v>
      </c>
      <c r="W31" s="4">
        <v>1865.53</v>
      </c>
      <c r="X31" s="4">
        <v>0</v>
      </c>
      <c r="Y31" s="4">
        <v>55.25</v>
      </c>
      <c r="Z31" s="4">
        <v>11.71</v>
      </c>
      <c r="AA31" s="4">
        <v>77.37</v>
      </c>
      <c r="AB31" s="4">
        <v>12.87</v>
      </c>
      <c r="AC31" s="4">
        <v>64.5</v>
      </c>
      <c r="AD31" s="4">
        <v>12.14</v>
      </c>
      <c r="AE31" s="4">
        <v>77.08</v>
      </c>
      <c r="AF31" s="4">
        <v>4.07</v>
      </c>
      <c r="AG31" s="4">
        <v>55.68</v>
      </c>
      <c r="AH31" s="4">
        <v>41.45</v>
      </c>
      <c r="AI31" s="4">
        <v>206.28</v>
      </c>
      <c r="AJ31" s="4">
        <v>8.1300000000000008</v>
      </c>
      <c r="AK31" s="4">
        <v>99.1</v>
      </c>
      <c r="AL31" s="4">
        <v>21.44</v>
      </c>
    </row>
    <row r="32" spans="1:38" x14ac:dyDescent="0.35">
      <c r="A32" s="3"/>
      <c r="B32" s="3"/>
      <c r="C32" s="3" t="s">
        <v>20</v>
      </c>
      <c r="D32" s="4">
        <v>962.12</v>
      </c>
      <c r="E32" s="4">
        <v>34.090000000000003</v>
      </c>
      <c r="F32" s="4">
        <v>56.54</v>
      </c>
      <c r="G32" s="4">
        <v>444.51</v>
      </c>
      <c r="H32" s="4">
        <v>10.37</v>
      </c>
      <c r="I32">
        <v>-30.55</v>
      </c>
      <c r="J32" s="4">
        <v>30.18</v>
      </c>
      <c r="K32" s="4">
        <v>0.02</v>
      </c>
      <c r="L32" s="4">
        <v>0.34</v>
      </c>
      <c r="M32" s="4">
        <v>0.11</v>
      </c>
      <c r="N32" s="4">
        <v>29.32</v>
      </c>
      <c r="O32" s="4">
        <v>1164.58</v>
      </c>
      <c r="P32" s="4">
        <v>396.35</v>
      </c>
      <c r="Q32" s="4">
        <v>597.69000000000005</v>
      </c>
      <c r="R32" s="4">
        <v>170.54</v>
      </c>
      <c r="S32" s="4">
        <v>96.5</v>
      </c>
      <c r="T32" s="4">
        <v>51.46</v>
      </c>
      <c r="U32" s="4">
        <v>28.41</v>
      </c>
      <c r="V32" s="4">
        <v>16.63</v>
      </c>
      <c r="W32" s="4">
        <v>1261.08</v>
      </c>
      <c r="X32" s="4">
        <v>0</v>
      </c>
      <c r="Y32" s="4">
        <v>4.42</v>
      </c>
      <c r="Z32" s="4">
        <v>0</v>
      </c>
      <c r="AA32" s="4">
        <v>0.02</v>
      </c>
      <c r="AB32" s="4">
        <v>0</v>
      </c>
      <c r="AC32" s="4">
        <v>0.02</v>
      </c>
      <c r="AD32" s="4">
        <v>0.22</v>
      </c>
      <c r="AE32" s="4">
        <v>4.38</v>
      </c>
      <c r="AF32" s="4">
        <v>0.23</v>
      </c>
      <c r="AG32" s="4">
        <v>1.54</v>
      </c>
      <c r="AH32" s="4">
        <v>4.2699999999999996</v>
      </c>
      <c r="AI32" s="4">
        <v>218.95</v>
      </c>
      <c r="AJ32" s="4">
        <v>16.02</v>
      </c>
      <c r="AK32" s="4">
        <v>2.46</v>
      </c>
      <c r="AL32" s="4">
        <v>7.0000000000000007E-2</v>
      </c>
    </row>
    <row r="33" spans="1:38" ht="58" x14ac:dyDescent="0.35">
      <c r="A33" s="3"/>
      <c r="B33" s="3" t="s">
        <v>25</v>
      </c>
      <c r="C33" s="3" t="s">
        <v>22</v>
      </c>
      <c r="D33" s="4">
        <v>15.07</v>
      </c>
      <c r="E33" s="4">
        <v>2.02</v>
      </c>
      <c r="F33" s="4">
        <v>14.91</v>
      </c>
      <c r="G33" s="4">
        <v>16.77</v>
      </c>
      <c r="H33" s="4">
        <v>0</v>
      </c>
      <c r="I33">
        <v>-0.02</v>
      </c>
      <c r="J33" s="4">
        <v>0.02</v>
      </c>
      <c r="K33" s="4">
        <v>0</v>
      </c>
      <c r="L33" s="4">
        <v>0</v>
      </c>
      <c r="M33" s="4">
        <v>1.24</v>
      </c>
      <c r="N33" s="4">
        <v>3.95</v>
      </c>
      <c r="O33" s="4">
        <v>15.33</v>
      </c>
      <c r="P33" s="4">
        <v>11.42</v>
      </c>
      <c r="Q33" s="4">
        <v>0</v>
      </c>
      <c r="R33" s="4">
        <v>3.91</v>
      </c>
      <c r="S33" s="4">
        <v>7.83</v>
      </c>
      <c r="T33" s="4">
        <v>7.83</v>
      </c>
      <c r="U33" s="4">
        <v>0</v>
      </c>
      <c r="V33" s="4">
        <v>0</v>
      </c>
      <c r="W33" s="4">
        <v>23.16</v>
      </c>
      <c r="X33" s="4">
        <v>0</v>
      </c>
      <c r="Y33" s="4">
        <v>2.36</v>
      </c>
      <c r="Z33" s="4">
        <v>0</v>
      </c>
      <c r="AA33" s="4">
        <v>0</v>
      </c>
      <c r="AB33" s="4">
        <v>0</v>
      </c>
      <c r="AC33" s="4">
        <v>0</v>
      </c>
      <c r="AD33" s="4">
        <v>1.35</v>
      </c>
      <c r="AE33" s="4">
        <v>1.52</v>
      </c>
      <c r="AF33" s="4">
        <v>0</v>
      </c>
      <c r="AG33" s="4">
        <v>0</v>
      </c>
      <c r="AH33" s="4">
        <v>0</v>
      </c>
      <c r="AI33" s="4">
        <v>2.09</v>
      </c>
      <c r="AJ33" s="4">
        <v>0.05</v>
      </c>
      <c r="AK33" s="4">
        <v>0</v>
      </c>
      <c r="AL33" s="4">
        <v>0</v>
      </c>
    </row>
    <row r="34" spans="1:38" x14ac:dyDescent="0.35">
      <c r="A34" s="3"/>
      <c r="B34" s="3"/>
      <c r="C34" s="3" t="s">
        <v>23</v>
      </c>
      <c r="D34" s="4">
        <v>216.16</v>
      </c>
      <c r="E34" s="4">
        <v>48.26</v>
      </c>
      <c r="F34" s="4">
        <v>59.34</v>
      </c>
      <c r="G34" s="4">
        <v>160.38999999999999</v>
      </c>
      <c r="H34" s="4">
        <v>0.02</v>
      </c>
      <c r="I34">
        <v>-2.36</v>
      </c>
      <c r="J34" s="4">
        <v>2.35</v>
      </c>
      <c r="K34" s="4">
        <v>0</v>
      </c>
      <c r="L34" s="4">
        <v>0</v>
      </c>
      <c r="M34" s="4">
        <v>7.84</v>
      </c>
      <c r="N34" s="4">
        <v>36.950000000000003</v>
      </c>
      <c r="O34" s="4">
        <v>140.18</v>
      </c>
      <c r="P34" s="4">
        <v>101.4</v>
      </c>
      <c r="Q34" s="4">
        <v>5.58</v>
      </c>
      <c r="R34" s="4">
        <v>33.200000000000003</v>
      </c>
      <c r="S34" s="4">
        <v>122.69</v>
      </c>
      <c r="T34" s="4">
        <v>99.65</v>
      </c>
      <c r="U34" s="4">
        <v>3.32</v>
      </c>
      <c r="V34" s="4">
        <v>19.71</v>
      </c>
      <c r="W34" s="4">
        <v>262.87</v>
      </c>
      <c r="X34" s="4">
        <v>0.01</v>
      </c>
      <c r="Y34" s="4">
        <v>31.85</v>
      </c>
      <c r="Z34" s="4">
        <v>0</v>
      </c>
      <c r="AA34" s="4">
        <v>0</v>
      </c>
      <c r="AB34" s="4">
        <v>0</v>
      </c>
      <c r="AC34" s="4">
        <v>0</v>
      </c>
      <c r="AD34" s="4">
        <v>18.05</v>
      </c>
      <c r="AE34" s="4">
        <v>1.27</v>
      </c>
      <c r="AF34" s="4">
        <v>1.18</v>
      </c>
      <c r="AG34" s="4">
        <v>3.62</v>
      </c>
      <c r="AH34" s="4">
        <v>0</v>
      </c>
      <c r="AI34" s="4">
        <v>58.61</v>
      </c>
      <c r="AJ34" s="4">
        <v>2.96</v>
      </c>
      <c r="AK34" s="4">
        <v>0</v>
      </c>
      <c r="AL34" s="4">
        <v>0</v>
      </c>
    </row>
    <row r="35" spans="1:38" x14ac:dyDescent="0.35">
      <c r="A35" s="3" t="s">
        <v>28</v>
      </c>
      <c r="B35" s="3" t="s">
        <v>18</v>
      </c>
      <c r="C35" s="3" t="s">
        <v>19</v>
      </c>
      <c r="D35" s="4">
        <v>675.75</v>
      </c>
      <c r="E35" s="4">
        <v>5.29</v>
      </c>
      <c r="F35" s="4">
        <v>40.880000000000003</v>
      </c>
      <c r="G35" s="4">
        <v>122.85</v>
      </c>
      <c r="H35" s="4">
        <v>7.19</v>
      </c>
      <c r="I35">
        <v>-29.08</v>
      </c>
      <c r="J35" s="4">
        <v>28.98</v>
      </c>
      <c r="K35" s="4">
        <v>0.05</v>
      </c>
      <c r="L35" s="4">
        <v>0.05</v>
      </c>
      <c r="M35" s="4">
        <v>0</v>
      </c>
      <c r="N35" s="4">
        <v>10.54</v>
      </c>
      <c r="O35" s="4">
        <v>694.58</v>
      </c>
      <c r="P35" s="4">
        <v>194.92</v>
      </c>
      <c r="Q35" s="4">
        <v>197.54</v>
      </c>
      <c r="R35" s="4">
        <v>302.13</v>
      </c>
      <c r="S35" s="4">
        <v>45.18</v>
      </c>
      <c r="T35" s="4">
        <v>25.98</v>
      </c>
      <c r="U35" s="4">
        <v>2.94</v>
      </c>
      <c r="V35" s="4">
        <v>16.27</v>
      </c>
      <c r="W35" s="4">
        <v>739.77</v>
      </c>
      <c r="X35" s="4">
        <v>0</v>
      </c>
      <c r="Y35" s="4">
        <v>0.82</v>
      </c>
      <c r="Z35" s="4">
        <v>9.93</v>
      </c>
      <c r="AA35" s="4">
        <v>33.36</v>
      </c>
      <c r="AB35" s="4">
        <v>32.6</v>
      </c>
      <c r="AC35" s="4">
        <v>0.75</v>
      </c>
      <c r="AD35" s="4">
        <v>0</v>
      </c>
      <c r="AE35" s="4">
        <v>4.6900000000000004</v>
      </c>
      <c r="AF35" s="4">
        <v>0.03</v>
      </c>
      <c r="AG35" s="4">
        <v>30.08</v>
      </c>
      <c r="AH35" s="4">
        <v>10.25</v>
      </c>
      <c r="AI35" s="4">
        <v>40.14</v>
      </c>
      <c r="AJ35" s="4">
        <v>3.96</v>
      </c>
      <c r="AK35" s="4">
        <v>0.78</v>
      </c>
      <c r="AL35" s="4">
        <v>5.69</v>
      </c>
    </row>
    <row r="36" spans="1:38" x14ac:dyDescent="0.35">
      <c r="A36" s="3"/>
      <c r="B36" s="3"/>
      <c r="C36" s="3" t="s">
        <v>20</v>
      </c>
      <c r="D36" s="4">
        <v>3846.04</v>
      </c>
      <c r="E36" s="4">
        <v>190.09</v>
      </c>
      <c r="F36" s="4">
        <v>305.70999999999998</v>
      </c>
      <c r="G36" s="4">
        <v>764.76</v>
      </c>
      <c r="H36" s="4">
        <v>87.62</v>
      </c>
      <c r="I36">
        <v>-151.72999999999999</v>
      </c>
      <c r="J36" s="4">
        <v>148.34</v>
      </c>
      <c r="K36" s="4">
        <v>0.56000000000000005</v>
      </c>
      <c r="L36" s="4">
        <v>2.83</v>
      </c>
      <c r="M36" s="4">
        <v>22.24</v>
      </c>
      <c r="N36" s="4">
        <v>221.84</v>
      </c>
      <c r="O36" s="4">
        <v>3398.88</v>
      </c>
      <c r="P36" s="4">
        <v>987.15</v>
      </c>
      <c r="Q36" s="4">
        <v>1358.15</v>
      </c>
      <c r="R36" s="4">
        <v>1053.58</v>
      </c>
      <c r="S36" s="4">
        <v>770.46</v>
      </c>
      <c r="T36" s="4">
        <v>519.99</v>
      </c>
      <c r="U36" s="4">
        <v>83.9</v>
      </c>
      <c r="V36" s="4">
        <v>166.57</v>
      </c>
      <c r="W36" s="4">
        <v>4169.34</v>
      </c>
      <c r="X36" s="4">
        <v>0.38</v>
      </c>
      <c r="Y36" s="4">
        <v>66.89</v>
      </c>
      <c r="Z36" s="4">
        <v>74.94</v>
      </c>
      <c r="AA36" s="4">
        <v>220.36</v>
      </c>
      <c r="AB36" s="4">
        <v>4.91</v>
      </c>
      <c r="AC36" s="4">
        <v>215.46</v>
      </c>
      <c r="AD36" s="4">
        <v>25.21</v>
      </c>
      <c r="AE36" s="4">
        <v>197.46</v>
      </c>
      <c r="AF36" s="4">
        <v>1.62</v>
      </c>
      <c r="AG36" s="4">
        <v>24.23</v>
      </c>
      <c r="AH36" s="4">
        <v>8.1300000000000008</v>
      </c>
      <c r="AI36" s="4">
        <v>424.46</v>
      </c>
      <c r="AJ36" s="4">
        <v>41.24</v>
      </c>
      <c r="AK36" s="4">
        <v>116.01</v>
      </c>
      <c r="AL36" s="4">
        <v>13.34</v>
      </c>
    </row>
    <row r="37" spans="1:38" x14ac:dyDescent="0.35">
      <c r="A37" s="3"/>
      <c r="B37" s="3" t="s">
        <v>21</v>
      </c>
      <c r="C37" s="3" t="s">
        <v>22</v>
      </c>
      <c r="D37" s="4">
        <v>349.44</v>
      </c>
      <c r="E37" s="4">
        <v>24.29</v>
      </c>
      <c r="F37" s="4">
        <v>35.75</v>
      </c>
      <c r="G37" s="4">
        <v>93.24</v>
      </c>
      <c r="H37" s="4">
        <v>0.05</v>
      </c>
      <c r="I37">
        <v>-9.4700000000000006</v>
      </c>
      <c r="J37" s="4">
        <v>9.19</v>
      </c>
      <c r="K37" s="4">
        <v>0.01</v>
      </c>
      <c r="L37" s="4">
        <v>0.27</v>
      </c>
      <c r="M37" s="4">
        <v>0</v>
      </c>
      <c r="N37" s="4">
        <v>11.76</v>
      </c>
      <c r="O37" s="4">
        <v>411.51</v>
      </c>
      <c r="P37" s="4">
        <v>116.09</v>
      </c>
      <c r="Q37" s="4">
        <v>131.15</v>
      </c>
      <c r="R37" s="4">
        <v>164.27</v>
      </c>
      <c r="S37" s="4">
        <v>0.26</v>
      </c>
      <c r="T37" s="4">
        <v>0.02</v>
      </c>
      <c r="U37" s="4">
        <v>0</v>
      </c>
      <c r="V37" s="4">
        <v>0.23</v>
      </c>
      <c r="W37" s="4">
        <v>411.77</v>
      </c>
      <c r="X37" s="4">
        <v>0.98</v>
      </c>
      <c r="Y37" s="4">
        <v>11.93</v>
      </c>
      <c r="Z37" s="4">
        <v>1.4</v>
      </c>
      <c r="AA37" s="4">
        <v>18.38</v>
      </c>
      <c r="AB37" s="4">
        <v>18.38</v>
      </c>
      <c r="AC37" s="4">
        <v>0</v>
      </c>
      <c r="AD37" s="4">
        <v>0</v>
      </c>
      <c r="AE37" s="4">
        <v>3.09</v>
      </c>
      <c r="AF37" s="4">
        <v>0.04</v>
      </c>
      <c r="AG37" s="4">
        <v>40.76</v>
      </c>
      <c r="AH37" s="4">
        <v>26.18</v>
      </c>
      <c r="AI37" s="4">
        <v>-0.38</v>
      </c>
      <c r="AJ37" s="4">
        <v>3.19</v>
      </c>
      <c r="AK37" s="4">
        <v>2.25</v>
      </c>
      <c r="AL37" s="4">
        <v>0</v>
      </c>
    </row>
    <row r="38" spans="1:38" x14ac:dyDescent="0.35">
      <c r="A38" s="3"/>
      <c r="B38" s="3"/>
      <c r="C38" s="3" t="s">
        <v>23</v>
      </c>
      <c r="D38" s="4">
        <v>314.73</v>
      </c>
      <c r="E38" s="4">
        <v>14.19</v>
      </c>
      <c r="F38" s="4">
        <v>23.13</v>
      </c>
      <c r="G38" s="4">
        <v>99.44</v>
      </c>
      <c r="H38" s="4">
        <v>2.96</v>
      </c>
      <c r="I38">
        <v>-12.82</v>
      </c>
      <c r="J38" s="4">
        <v>12.71</v>
      </c>
      <c r="K38" s="4">
        <v>0</v>
      </c>
      <c r="L38" s="4">
        <v>0.11</v>
      </c>
      <c r="M38" s="4">
        <v>0</v>
      </c>
      <c r="N38" s="4">
        <v>24.94</v>
      </c>
      <c r="O38" s="4">
        <v>358.9</v>
      </c>
      <c r="P38" s="4">
        <v>80.38</v>
      </c>
      <c r="Q38" s="4">
        <v>113.41</v>
      </c>
      <c r="R38" s="4">
        <v>165.12</v>
      </c>
      <c r="S38" s="4">
        <v>7.49</v>
      </c>
      <c r="T38" s="4">
        <v>0.1</v>
      </c>
      <c r="U38" s="4">
        <v>0.17</v>
      </c>
      <c r="V38" s="4">
        <v>7.22</v>
      </c>
      <c r="W38" s="4">
        <v>366.39</v>
      </c>
      <c r="X38" s="4">
        <v>0</v>
      </c>
      <c r="Y38" s="4">
        <v>9.61</v>
      </c>
      <c r="Z38" s="4">
        <v>4.21</v>
      </c>
      <c r="AA38" s="4">
        <v>20.34</v>
      </c>
      <c r="AB38" s="4">
        <v>20.34</v>
      </c>
      <c r="AC38" s="4">
        <v>0</v>
      </c>
      <c r="AD38" s="4">
        <v>0</v>
      </c>
      <c r="AE38" s="4">
        <v>13.49</v>
      </c>
      <c r="AF38" s="4">
        <v>0.14000000000000001</v>
      </c>
      <c r="AG38" s="4">
        <v>25.69</v>
      </c>
      <c r="AH38" s="4">
        <v>15.89</v>
      </c>
      <c r="AI38" s="4">
        <v>10.85</v>
      </c>
      <c r="AJ38" s="4">
        <v>1.78</v>
      </c>
      <c r="AK38" s="4">
        <v>2.4</v>
      </c>
      <c r="AL38" s="4">
        <v>5.14</v>
      </c>
    </row>
    <row r="39" spans="1:38" ht="29" x14ac:dyDescent="0.35">
      <c r="A39" s="3"/>
      <c r="B39" s="3" t="s">
        <v>24</v>
      </c>
      <c r="C39" s="3" t="s">
        <v>22</v>
      </c>
      <c r="D39" s="4">
        <v>394.37</v>
      </c>
      <c r="E39" s="4">
        <v>20.93</v>
      </c>
      <c r="F39" s="4">
        <v>45.88</v>
      </c>
      <c r="G39" s="4">
        <v>186.92</v>
      </c>
      <c r="H39" s="4">
        <v>0.63</v>
      </c>
      <c r="I39">
        <v>-12.31</v>
      </c>
      <c r="J39" s="4">
        <v>12.07</v>
      </c>
      <c r="K39" s="4">
        <v>0.09</v>
      </c>
      <c r="L39" s="4">
        <v>0.14000000000000001</v>
      </c>
      <c r="M39" s="4">
        <v>0.26</v>
      </c>
      <c r="N39" s="4">
        <v>22.19</v>
      </c>
      <c r="O39" s="4">
        <v>450.94</v>
      </c>
      <c r="P39" s="4">
        <v>79.17</v>
      </c>
      <c r="Q39" s="4">
        <v>76.05</v>
      </c>
      <c r="R39" s="4">
        <v>295.72000000000003</v>
      </c>
      <c r="S39" s="4">
        <v>50.27</v>
      </c>
      <c r="T39" s="4">
        <v>15.08</v>
      </c>
      <c r="U39" s="4">
        <v>5.91</v>
      </c>
      <c r="V39" s="4">
        <v>29.28</v>
      </c>
      <c r="W39" s="4">
        <v>501.2</v>
      </c>
      <c r="X39" s="4">
        <v>1.32</v>
      </c>
      <c r="Y39" s="4">
        <v>18.57</v>
      </c>
      <c r="Z39" s="4">
        <v>16.73</v>
      </c>
      <c r="AA39" s="4">
        <v>9.64</v>
      </c>
      <c r="AB39" s="4">
        <v>1.71</v>
      </c>
      <c r="AC39" s="4">
        <v>7.92</v>
      </c>
      <c r="AD39" s="4">
        <v>0.23</v>
      </c>
      <c r="AE39" s="4">
        <v>12.38</v>
      </c>
      <c r="AF39" s="4">
        <v>0.13</v>
      </c>
      <c r="AG39" s="4">
        <v>76.650000000000006</v>
      </c>
      <c r="AH39" s="4">
        <v>4.71</v>
      </c>
      <c r="AI39" s="4">
        <v>-5.2</v>
      </c>
      <c r="AJ39" s="4">
        <v>1.96</v>
      </c>
      <c r="AK39" s="4">
        <v>41.84</v>
      </c>
      <c r="AL39" s="4">
        <v>8.16</v>
      </c>
    </row>
    <row r="40" spans="1:38" x14ac:dyDescent="0.35">
      <c r="A40" s="3"/>
      <c r="B40" s="3"/>
      <c r="C40" s="3" t="s">
        <v>23</v>
      </c>
      <c r="D40" s="4">
        <v>444.64</v>
      </c>
      <c r="E40" s="4">
        <v>24.58</v>
      </c>
      <c r="F40" s="4">
        <v>51.09</v>
      </c>
      <c r="G40" s="4">
        <v>165.82</v>
      </c>
      <c r="H40" s="4">
        <v>1.71</v>
      </c>
      <c r="I40">
        <v>-16.62</v>
      </c>
      <c r="J40" s="4">
        <v>16.32</v>
      </c>
      <c r="K40" s="4">
        <v>0.03</v>
      </c>
      <c r="L40" s="4">
        <v>0.27</v>
      </c>
      <c r="M40" s="4">
        <v>4.12</v>
      </c>
      <c r="N40" s="4">
        <v>26.49</v>
      </c>
      <c r="O40" s="4">
        <v>416.56</v>
      </c>
      <c r="P40" s="4">
        <v>90.69</v>
      </c>
      <c r="Q40" s="4">
        <v>90.27</v>
      </c>
      <c r="R40" s="4">
        <v>235.6</v>
      </c>
      <c r="S40" s="4">
        <v>74.5</v>
      </c>
      <c r="T40" s="4">
        <v>33.14</v>
      </c>
      <c r="U40" s="4">
        <v>3.35</v>
      </c>
      <c r="V40" s="4">
        <v>38</v>
      </c>
      <c r="W40" s="4">
        <v>491.06</v>
      </c>
      <c r="X40" s="4">
        <v>0</v>
      </c>
      <c r="Y40" s="4">
        <v>22.4</v>
      </c>
      <c r="Z40" s="4">
        <v>10.99</v>
      </c>
      <c r="AA40" s="4">
        <v>40.590000000000003</v>
      </c>
      <c r="AB40" s="4">
        <v>20.61</v>
      </c>
      <c r="AC40" s="4">
        <v>19.98</v>
      </c>
      <c r="AD40" s="4">
        <v>4</v>
      </c>
      <c r="AE40" s="4">
        <v>12.68</v>
      </c>
      <c r="AF40" s="4">
        <v>0.08</v>
      </c>
      <c r="AG40" s="4">
        <v>66.739999999999995</v>
      </c>
      <c r="AH40" s="4">
        <v>1.78</v>
      </c>
      <c r="AI40" s="4">
        <v>22.74</v>
      </c>
      <c r="AJ40" s="4">
        <v>3.08</v>
      </c>
      <c r="AK40" s="4">
        <v>50.33</v>
      </c>
      <c r="AL40" s="4">
        <v>4.74</v>
      </c>
    </row>
    <row r="41" spans="1:38" x14ac:dyDescent="0.35">
      <c r="A41" s="3"/>
      <c r="B41" s="3"/>
      <c r="C41" s="3" t="s">
        <v>19</v>
      </c>
      <c r="D41" s="4">
        <v>1645.15</v>
      </c>
      <c r="E41" s="4">
        <v>47.29</v>
      </c>
      <c r="F41" s="4">
        <v>138.51</v>
      </c>
      <c r="G41" s="4">
        <v>537.86</v>
      </c>
      <c r="H41" s="4">
        <v>17.100000000000001</v>
      </c>
      <c r="I41">
        <v>-54.34</v>
      </c>
      <c r="J41" s="4">
        <v>53.72</v>
      </c>
      <c r="K41" s="4">
        <v>0.2</v>
      </c>
      <c r="L41" s="4">
        <v>0.42</v>
      </c>
      <c r="M41" s="4">
        <v>20.93</v>
      </c>
      <c r="N41" s="4">
        <v>144.97</v>
      </c>
      <c r="O41" s="4">
        <v>1402.22</v>
      </c>
      <c r="P41" s="4">
        <v>375.95</v>
      </c>
      <c r="Q41" s="4">
        <v>312.95999999999998</v>
      </c>
      <c r="R41" s="4">
        <v>713.31</v>
      </c>
      <c r="S41" s="4">
        <v>460.05</v>
      </c>
      <c r="T41" s="4">
        <v>157.29</v>
      </c>
      <c r="U41" s="4">
        <v>129.49</v>
      </c>
      <c r="V41" s="4">
        <v>173.27</v>
      </c>
      <c r="W41" s="4">
        <v>1862.27</v>
      </c>
      <c r="X41" s="4">
        <v>0</v>
      </c>
      <c r="Y41" s="4">
        <v>55.5</v>
      </c>
      <c r="Z41" s="4">
        <v>12.09</v>
      </c>
      <c r="AA41" s="4">
        <v>74.77</v>
      </c>
      <c r="AB41" s="4">
        <v>10.199999999999999</v>
      </c>
      <c r="AC41" s="4">
        <v>64.569999999999993</v>
      </c>
      <c r="AD41" s="4">
        <v>19.39</v>
      </c>
      <c r="AE41" s="4">
        <v>115.6</v>
      </c>
      <c r="AF41" s="4">
        <v>3.62</v>
      </c>
      <c r="AG41" s="4">
        <v>61.55</v>
      </c>
      <c r="AH41" s="4">
        <v>41.47</v>
      </c>
      <c r="AI41" s="4">
        <v>197.22</v>
      </c>
      <c r="AJ41" s="4">
        <v>11.56</v>
      </c>
      <c r="AK41" s="4">
        <v>93.25</v>
      </c>
      <c r="AL41" s="4">
        <v>21.86</v>
      </c>
    </row>
    <row r="42" spans="1:38" x14ac:dyDescent="0.35">
      <c r="A42" s="3"/>
      <c r="B42" s="3"/>
      <c r="C42" s="3" t="s">
        <v>20</v>
      </c>
      <c r="D42" s="4">
        <v>965.02</v>
      </c>
      <c r="E42" s="4">
        <v>24.62</v>
      </c>
      <c r="F42" s="4">
        <v>63.82</v>
      </c>
      <c r="G42" s="4">
        <v>425.42</v>
      </c>
      <c r="H42" s="4">
        <v>10.37</v>
      </c>
      <c r="I42">
        <v>-30.55</v>
      </c>
      <c r="J42" s="4">
        <v>30.15</v>
      </c>
      <c r="K42" s="4">
        <v>0.02</v>
      </c>
      <c r="L42" s="4">
        <v>0.37</v>
      </c>
      <c r="M42" s="4">
        <v>0.3</v>
      </c>
      <c r="N42" s="4">
        <v>26.66</v>
      </c>
      <c r="O42" s="4">
        <v>1148.3499999999999</v>
      </c>
      <c r="P42" s="4">
        <v>381.52</v>
      </c>
      <c r="Q42" s="4">
        <v>597.35</v>
      </c>
      <c r="R42" s="4">
        <v>169.48</v>
      </c>
      <c r="S42" s="4">
        <v>97.71</v>
      </c>
      <c r="T42" s="4">
        <v>51.17</v>
      </c>
      <c r="U42" s="4">
        <v>28.79</v>
      </c>
      <c r="V42" s="4">
        <v>17.75</v>
      </c>
      <c r="W42" s="4">
        <v>1246.05</v>
      </c>
      <c r="X42" s="4">
        <v>0</v>
      </c>
      <c r="Y42" s="4">
        <v>5.99</v>
      </c>
      <c r="Z42" s="4">
        <v>0</v>
      </c>
      <c r="AA42" s="4">
        <v>0</v>
      </c>
      <c r="AB42" s="4">
        <v>0</v>
      </c>
      <c r="AC42" s="4">
        <v>0</v>
      </c>
      <c r="AD42" s="4">
        <v>0.37</v>
      </c>
      <c r="AE42" s="4">
        <v>20.09</v>
      </c>
      <c r="AF42" s="4">
        <v>0.25</v>
      </c>
      <c r="AG42" s="4">
        <v>1.54</v>
      </c>
      <c r="AH42" s="4">
        <v>4.2699999999999996</v>
      </c>
      <c r="AI42" s="4">
        <v>218.95</v>
      </c>
      <c r="AJ42" s="4">
        <v>20.82</v>
      </c>
      <c r="AK42" s="4">
        <v>2.2599999999999998</v>
      </c>
      <c r="AL42" s="4">
        <v>7.0000000000000007E-2</v>
      </c>
    </row>
    <row r="43" spans="1:38" ht="58" x14ac:dyDescent="0.35">
      <c r="A43" s="3"/>
      <c r="B43" s="3" t="s">
        <v>25</v>
      </c>
      <c r="C43" s="3" t="s">
        <v>22</v>
      </c>
      <c r="D43" s="4">
        <v>15.58</v>
      </c>
      <c r="E43" s="4">
        <v>0.16</v>
      </c>
      <c r="F43" s="4">
        <v>12.08</v>
      </c>
      <c r="G43" s="4">
        <v>16.510000000000002</v>
      </c>
      <c r="H43" s="4">
        <v>0</v>
      </c>
      <c r="I43">
        <v>-0.02</v>
      </c>
      <c r="J43" s="4">
        <v>0.02</v>
      </c>
      <c r="K43" s="4">
        <v>0</v>
      </c>
      <c r="L43" s="4">
        <v>0</v>
      </c>
      <c r="M43" s="4">
        <v>2.7</v>
      </c>
      <c r="N43" s="4">
        <v>4.7300000000000004</v>
      </c>
      <c r="O43" s="4">
        <v>16.73</v>
      </c>
      <c r="P43" s="4">
        <v>11.67</v>
      </c>
      <c r="Q43" s="4">
        <v>0</v>
      </c>
      <c r="R43" s="4">
        <v>5.0599999999999996</v>
      </c>
      <c r="S43" s="4">
        <v>5.42</v>
      </c>
      <c r="T43" s="4">
        <v>5.42</v>
      </c>
      <c r="U43" s="4">
        <v>0</v>
      </c>
      <c r="V43" s="4">
        <v>0</v>
      </c>
      <c r="W43" s="4">
        <v>22.15</v>
      </c>
      <c r="X43" s="4">
        <v>0</v>
      </c>
      <c r="Y43" s="4">
        <v>0.02</v>
      </c>
      <c r="Z43" s="4">
        <v>0</v>
      </c>
      <c r="AA43" s="4">
        <v>0</v>
      </c>
      <c r="AB43" s="4">
        <v>0</v>
      </c>
      <c r="AC43" s="4">
        <v>0</v>
      </c>
      <c r="AD43" s="4">
        <v>2.4700000000000002</v>
      </c>
      <c r="AE43" s="4">
        <v>0.08</v>
      </c>
      <c r="AF43" s="4">
        <v>0</v>
      </c>
      <c r="AG43" s="4">
        <v>0</v>
      </c>
      <c r="AH43" s="4">
        <v>0</v>
      </c>
      <c r="AI43" s="4">
        <v>2.09</v>
      </c>
      <c r="AJ43" s="4">
        <v>-0.02</v>
      </c>
      <c r="AK43" s="4">
        <v>0</v>
      </c>
      <c r="AL43" s="4">
        <v>0</v>
      </c>
    </row>
    <row r="44" spans="1:38" x14ac:dyDescent="0.35">
      <c r="A44" s="3"/>
      <c r="B44" s="3"/>
      <c r="C44" s="3" t="s">
        <v>23</v>
      </c>
      <c r="D44" s="4">
        <v>214.24</v>
      </c>
      <c r="E44" s="4">
        <v>49.15</v>
      </c>
      <c r="F44" s="4">
        <v>55.35</v>
      </c>
      <c r="G44" s="4">
        <v>170.8</v>
      </c>
      <c r="H44" s="4">
        <v>0.02</v>
      </c>
      <c r="I44">
        <v>-2.37</v>
      </c>
      <c r="J44" s="4">
        <v>2.37</v>
      </c>
      <c r="K44" s="4">
        <v>0</v>
      </c>
      <c r="L44" s="4">
        <v>0</v>
      </c>
      <c r="M44" s="4">
        <v>14.59</v>
      </c>
      <c r="N44" s="4">
        <v>34.51</v>
      </c>
      <c r="O44" s="4">
        <v>138.5</v>
      </c>
      <c r="P44" s="4">
        <v>98.83</v>
      </c>
      <c r="Q44" s="4">
        <v>5.19</v>
      </c>
      <c r="R44" s="4">
        <v>34.479999999999997</v>
      </c>
      <c r="S44" s="4">
        <v>128.01</v>
      </c>
      <c r="T44" s="4">
        <v>105.82</v>
      </c>
      <c r="U44" s="4">
        <v>3.63</v>
      </c>
      <c r="V44" s="4">
        <v>18.559999999999999</v>
      </c>
      <c r="W44" s="4">
        <v>266.51</v>
      </c>
      <c r="X44" s="4">
        <v>0</v>
      </c>
      <c r="Y44" s="4">
        <v>27.67</v>
      </c>
      <c r="Z44" s="4">
        <v>0</v>
      </c>
      <c r="AA44" s="4">
        <v>0</v>
      </c>
      <c r="AB44" s="4">
        <v>0</v>
      </c>
      <c r="AC44" s="4">
        <v>0</v>
      </c>
      <c r="AD44" s="4">
        <v>26.39</v>
      </c>
      <c r="AE44" s="4">
        <v>2.59</v>
      </c>
      <c r="AF44" s="4">
        <v>0.71</v>
      </c>
      <c r="AG44" s="4">
        <v>3.62</v>
      </c>
      <c r="AH44" s="4">
        <v>0</v>
      </c>
      <c r="AI44" s="4">
        <v>57.3</v>
      </c>
      <c r="AJ44" s="4">
        <v>3.78</v>
      </c>
      <c r="AK44" s="4">
        <v>0</v>
      </c>
      <c r="AL44" s="4">
        <v>0</v>
      </c>
    </row>
    <row r="45" spans="1:38" x14ac:dyDescent="0.35">
      <c r="A45" s="3" t="s">
        <v>29</v>
      </c>
      <c r="B45" s="3" t="s">
        <v>18</v>
      </c>
      <c r="C45" s="3" t="s">
        <v>19</v>
      </c>
      <c r="D45" s="4">
        <v>678.75</v>
      </c>
      <c r="E45" s="4">
        <v>14.82</v>
      </c>
      <c r="F45" s="4">
        <v>31.16</v>
      </c>
      <c r="G45" s="4">
        <v>119.02</v>
      </c>
      <c r="H45" s="4">
        <v>7.19</v>
      </c>
      <c r="I45">
        <v>-29.07</v>
      </c>
      <c r="J45" s="4">
        <v>28.94</v>
      </c>
      <c r="K45" s="4">
        <v>0.05</v>
      </c>
      <c r="L45" s="4">
        <v>0.08</v>
      </c>
      <c r="M45" s="4">
        <v>0</v>
      </c>
      <c r="N45" s="4">
        <v>15.32</v>
      </c>
      <c r="O45" s="4">
        <v>705.49</v>
      </c>
      <c r="P45" s="4">
        <v>195.26</v>
      </c>
      <c r="Q45" s="4">
        <v>197.67</v>
      </c>
      <c r="R45" s="4">
        <v>312.56</v>
      </c>
      <c r="S45" s="4">
        <v>39.56</v>
      </c>
      <c r="T45" s="4">
        <v>20.100000000000001</v>
      </c>
      <c r="U45" s="4">
        <v>3.27</v>
      </c>
      <c r="V45" s="4">
        <v>16.190000000000001</v>
      </c>
      <c r="W45" s="4">
        <v>745.05</v>
      </c>
      <c r="X45" s="4">
        <v>0</v>
      </c>
      <c r="Y45" s="4">
        <v>0.79</v>
      </c>
      <c r="Z45" s="4">
        <v>9.92</v>
      </c>
      <c r="AA45" s="4">
        <v>34.33</v>
      </c>
      <c r="AB45" s="4">
        <v>33.549999999999997</v>
      </c>
      <c r="AC45" s="4">
        <v>0.78</v>
      </c>
      <c r="AD45" s="4">
        <v>0.05</v>
      </c>
      <c r="AE45" s="4">
        <v>2.61</v>
      </c>
      <c r="AF45" s="4">
        <v>0.03</v>
      </c>
      <c r="AG45" s="4">
        <v>30.08</v>
      </c>
      <c r="AH45" s="4">
        <v>10.25</v>
      </c>
      <c r="AI45" s="4">
        <v>38.630000000000003</v>
      </c>
      <c r="AJ45" s="4">
        <v>4.88</v>
      </c>
      <c r="AK45" s="4">
        <v>0.78</v>
      </c>
      <c r="AL45" s="4">
        <v>5.69</v>
      </c>
    </row>
    <row r="46" spans="1:38" x14ac:dyDescent="0.35">
      <c r="A46" s="3"/>
      <c r="B46" s="3"/>
      <c r="C46" s="3" t="s">
        <v>20</v>
      </c>
      <c r="D46" s="4">
        <v>3938.02</v>
      </c>
      <c r="E46" s="4">
        <v>164.61</v>
      </c>
      <c r="F46" s="4">
        <v>284.82</v>
      </c>
      <c r="G46" s="4">
        <v>811.78</v>
      </c>
      <c r="H46" s="4">
        <v>87.49</v>
      </c>
      <c r="I46">
        <v>-152.55000000000001</v>
      </c>
      <c r="J46" s="4">
        <v>149.13999999999999</v>
      </c>
      <c r="K46" s="4">
        <v>0.59</v>
      </c>
      <c r="L46" s="4">
        <v>2.82</v>
      </c>
      <c r="M46" s="4">
        <v>34.159999999999997</v>
      </c>
      <c r="N46" s="4">
        <v>196.4</v>
      </c>
      <c r="O46" s="4">
        <v>3498.12</v>
      </c>
      <c r="P46" s="4">
        <v>1028.03</v>
      </c>
      <c r="Q46" s="4">
        <v>1360.71</v>
      </c>
      <c r="R46" s="4">
        <v>1109.3800000000001</v>
      </c>
      <c r="S46" s="4">
        <v>828.56</v>
      </c>
      <c r="T46" s="4">
        <v>560.59</v>
      </c>
      <c r="U46" s="4">
        <v>92.28</v>
      </c>
      <c r="V46" s="4">
        <v>175.69</v>
      </c>
      <c r="W46" s="4">
        <v>4326.68</v>
      </c>
      <c r="X46" s="4">
        <v>0.33</v>
      </c>
      <c r="Y46" s="4">
        <v>61.91</v>
      </c>
      <c r="Z46" s="4">
        <v>76.09</v>
      </c>
      <c r="AA46" s="4">
        <v>230.85</v>
      </c>
      <c r="AB46" s="4">
        <v>4.9000000000000004</v>
      </c>
      <c r="AC46" s="4">
        <v>225.95</v>
      </c>
      <c r="AD46" s="4">
        <v>41.47</v>
      </c>
      <c r="AE46" s="4">
        <v>165.86</v>
      </c>
      <c r="AF46" s="4">
        <v>1.69</v>
      </c>
      <c r="AG46" s="4">
        <v>24.25</v>
      </c>
      <c r="AH46" s="4">
        <v>8.1300000000000008</v>
      </c>
      <c r="AI46" s="4">
        <v>424.46</v>
      </c>
      <c r="AJ46" s="4">
        <v>52.79</v>
      </c>
      <c r="AK46" s="4">
        <v>115.99</v>
      </c>
      <c r="AL46" s="4">
        <v>13.75</v>
      </c>
    </row>
    <row r="47" spans="1:38" x14ac:dyDescent="0.35">
      <c r="A47" s="3"/>
      <c r="B47" s="3" t="s">
        <v>21</v>
      </c>
      <c r="C47" s="3" t="s">
        <v>22</v>
      </c>
      <c r="D47" s="4">
        <v>352.08</v>
      </c>
      <c r="E47" s="4">
        <v>22.57</v>
      </c>
      <c r="F47" s="4">
        <v>35.06</v>
      </c>
      <c r="G47" s="4">
        <v>90.65</v>
      </c>
      <c r="H47" s="4">
        <v>0.05</v>
      </c>
      <c r="I47">
        <v>-9.59</v>
      </c>
      <c r="J47" s="4">
        <v>9.31</v>
      </c>
      <c r="K47" s="4">
        <v>0.01</v>
      </c>
      <c r="L47" s="4">
        <v>0.27</v>
      </c>
      <c r="M47" s="4">
        <v>0</v>
      </c>
      <c r="N47" s="4">
        <v>11.6</v>
      </c>
      <c r="O47" s="4">
        <v>409.52</v>
      </c>
      <c r="P47" s="4">
        <v>114.33</v>
      </c>
      <c r="Q47" s="4">
        <v>129.63</v>
      </c>
      <c r="R47" s="4">
        <v>165.55</v>
      </c>
      <c r="S47" s="4">
        <v>0.36</v>
      </c>
      <c r="T47" s="4">
        <v>0.03</v>
      </c>
      <c r="U47" s="4">
        <v>0</v>
      </c>
      <c r="V47" s="4">
        <v>0.32</v>
      </c>
      <c r="W47" s="4">
        <v>409.88</v>
      </c>
      <c r="X47" s="4">
        <v>0</v>
      </c>
      <c r="Y47" s="4">
        <v>12.17</v>
      </c>
      <c r="Z47" s="4">
        <v>1.4</v>
      </c>
      <c r="AA47" s="4">
        <v>16.84</v>
      </c>
      <c r="AB47" s="4">
        <v>16.84</v>
      </c>
      <c r="AC47" s="4">
        <v>0</v>
      </c>
      <c r="AD47" s="4">
        <v>0.01</v>
      </c>
      <c r="AE47" s="4">
        <v>3.29</v>
      </c>
      <c r="AF47" s="4">
        <v>0.04</v>
      </c>
      <c r="AG47" s="4">
        <v>40.770000000000003</v>
      </c>
      <c r="AH47" s="4">
        <v>26.02</v>
      </c>
      <c r="AI47" s="4">
        <v>-0.42</v>
      </c>
      <c r="AJ47" s="4">
        <v>3.95</v>
      </c>
      <c r="AK47" s="4">
        <v>2.27</v>
      </c>
      <c r="AL47" s="4">
        <v>0</v>
      </c>
    </row>
    <row r="48" spans="1:38" x14ac:dyDescent="0.35">
      <c r="A48" s="3"/>
      <c r="B48" s="3"/>
      <c r="C48" s="3" t="s">
        <v>23</v>
      </c>
      <c r="D48" s="4">
        <v>316.92</v>
      </c>
      <c r="E48" s="4">
        <v>14.64</v>
      </c>
      <c r="F48" s="4">
        <v>33.28</v>
      </c>
      <c r="G48" s="4">
        <v>96.95</v>
      </c>
      <c r="H48" s="4">
        <v>2.96</v>
      </c>
      <c r="I48">
        <v>-13.08</v>
      </c>
      <c r="J48" s="4">
        <v>12.97</v>
      </c>
      <c r="K48" s="4">
        <v>0</v>
      </c>
      <c r="L48" s="4">
        <v>0.11</v>
      </c>
      <c r="M48" s="4">
        <v>0</v>
      </c>
      <c r="N48" s="4">
        <v>26.57</v>
      </c>
      <c r="O48" s="4">
        <v>375.86</v>
      </c>
      <c r="P48" s="4">
        <v>92.15</v>
      </c>
      <c r="Q48" s="4">
        <v>110.28</v>
      </c>
      <c r="R48" s="4">
        <v>173.43</v>
      </c>
      <c r="S48" s="4">
        <v>8.06</v>
      </c>
      <c r="T48" s="4">
        <v>0.11</v>
      </c>
      <c r="U48" s="4">
        <v>0.16</v>
      </c>
      <c r="V48" s="4">
        <v>7.79</v>
      </c>
      <c r="W48" s="4">
        <v>383.92</v>
      </c>
      <c r="X48" s="4">
        <v>0</v>
      </c>
      <c r="Y48" s="4">
        <v>9.6999999999999993</v>
      </c>
      <c r="Z48" s="4">
        <v>4.25</v>
      </c>
      <c r="AA48" s="4">
        <v>10.85</v>
      </c>
      <c r="AB48" s="4">
        <v>10.85</v>
      </c>
      <c r="AC48" s="4">
        <v>0</v>
      </c>
      <c r="AD48" s="4">
        <v>0.02</v>
      </c>
      <c r="AE48" s="4">
        <v>16.84</v>
      </c>
      <c r="AF48" s="4">
        <v>0.14000000000000001</v>
      </c>
      <c r="AG48" s="4">
        <v>25.69</v>
      </c>
      <c r="AH48" s="4">
        <v>16.59</v>
      </c>
      <c r="AI48" s="4">
        <v>9.3000000000000007</v>
      </c>
      <c r="AJ48" s="4">
        <v>2.1800000000000002</v>
      </c>
      <c r="AK48" s="4">
        <v>2.4</v>
      </c>
      <c r="AL48" s="4">
        <v>5.14</v>
      </c>
    </row>
    <row r="49" spans="1:38" ht="29" x14ac:dyDescent="0.35">
      <c r="A49" s="3"/>
      <c r="B49" s="3" t="s">
        <v>24</v>
      </c>
      <c r="C49" s="3" t="s">
        <v>22</v>
      </c>
      <c r="D49" s="4">
        <v>400.37</v>
      </c>
      <c r="E49" s="4">
        <v>16.760000000000002</v>
      </c>
      <c r="F49" s="4">
        <v>51</v>
      </c>
      <c r="G49" s="4">
        <v>186.34</v>
      </c>
      <c r="H49" s="4">
        <v>0.63</v>
      </c>
      <c r="I49">
        <v>-12.53</v>
      </c>
      <c r="J49" s="4">
        <v>12.3</v>
      </c>
      <c r="K49" s="4">
        <v>0.09</v>
      </c>
      <c r="L49" s="4">
        <v>0.14000000000000001</v>
      </c>
      <c r="M49" s="4">
        <v>0.47</v>
      </c>
      <c r="N49" s="4">
        <v>14.78</v>
      </c>
      <c r="O49" s="4">
        <v>441.65</v>
      </c>
      <c r="P49" s="4">
        <v>79.05</v>
      </c>
      <c r="Q49" s="4">
        <v>76.099999999999994</v>
      </c>
      <c r="R49" s="4">
        <v>286.51</v>
      </c>
      <c r="S49" s="4">
        <v>53.11</v>
      </c>
      <c r="T49" s="4">
        <v>19.68</v>
      </c>
      <c r="U49" s="4">
        <v>2.87</v>
      </c>
      <c r="V49" s="4">
        <v>30.56</v>
      </c>
      <c r="W49" s="4">
        <v>494.76</v>
      </c>
      <c r="X49" s="4">
        <v>4.04</v>
      </c>
      <c r="Y49" s="4">
        <v>20.34</v>
      </c>
      <c r="Z49" s="4">
        <v>18.57</v>
      </c>
      <c r="AA49" s="4">
        <v>11.58</v>
      </c>
      <c r="AB49" s="4">
        <v>1.89</v>
      </c>
      <c r="AC49" s="4">
        <v>9.6999999999999993</v>
      </c>
      <c r="AD49" s="4">
        <v>0.45</v>
      </c>
      <c r="AE49" s="4">
        <v>11.06</v>
      </c>
      <c r="AF49" s="4">
        <v>0.14000000000000001</v>
      </c>
      <c r="AG49" s="4">
        <v>76.650000000000006</v>
      </c>
      <c r="AH49" s="4">
        <v>4.75</v>
      </c>
      <c r="AI49" s="4">
        <v>-5.85</v>
      </c>
      <c r="AJ49" s="4">
        <v>2.42</v>
      </c>
      <c r="AK49" s="4">
        <v>42.24</v>
      </c>
      <c r="AL49" s="4">
        <v>8.18</v>
      </c>
    </row>
    <row r="50" spans="1:38" x14ac:dyDescent="0.35">
      <c r="A50" s="3"/>
      <c r="B50" s="3"/>
      <c r="C50" s="3" t="s">
        <v>23</v>
      </c>
      <c r="D50" s="4">
        <v>456.97</v>
      </c>
      <c r="E50" s="4">
        <v>24.52</v>
      </c>
      <c r="F50" s="4">
        <v>60.99</v>
      </c>
      <c r="G50" s="4">
        <v>159.38</v>
      </c>
      <c r="H50" s="4">
        <v>1.7</v>
      </c>
      <c r="I50">
        <v>-18.02</v>
      </c>
      <c r="J50" s="4">
        <v>17.72</v>
      </c>
      <c r="K50" s="4">
        <v>0.03</v>
      </c>
      <c r="L50" s="4">
        <v>0.27</v>
      </c>
      <c r="M50" s="4">
        <v>6.44</v>
      </c>
      <c r="N50" s="4">
        <v>23.19</v>
      </c>
      <c r="O50" s="4">
        <v>411.84</v>
      </c>
      <c r="P50" s="4">
        <v>92.19</v>
      </c>
      <c r="Q50" s="4">
        <v>90.99</v>
      </c>
      <c r="R50" s="4">
        <v>228.67</v>
      </c>
      <c r="S50" s="4">
        <v>81.27</v>
      </c>
      <c r="T50" s="4">
        <v>37.229999999999997</v>
      </c>
      <c r="U50" s="4">
        <v>3.11</v>
      </c>
      <c r="V50" s="4">
        <v>40.92</v>
      </c>
      <c r="W50" s="4">
        <v>493.11</v>
      </c>
      <c r="X50" s="4">
        <v>0.2</v>
      </c>
      <c r="Y50" s="4">
        <v>25.07</v>
      </c>
      <c r="Z50" s="4">
        <v>11.21</v>
      </c>
      <c r="AA50" s="4">
        <v>41.58</v>
      </c>
      <c r="AB50" s="4">
        <v>20.68</v>
      </c>
      <c r="AC50" s="4">
        <v>20.9</v>
      </c>
      <c r="AD50" s="4">
        <v>6.12</v>
      </c>
      <c r="AE50" s="4">
        <v>17.64</v>
      </c>
      <c r="AF50" s="4">
        <v>0.09</v>
      </c>
      <c r="AG50" s="4">
        <v>66.739999999999995</v>
      </c>
      <c r="AH50" s="4">
        <v>1.79</v>
      </c>
      <c r="AI50" s="4">
        <v>20.11</v>
      </c>
      <c r="AJ50" s="4">
        <v>3.83</v>
      </c>
      <c r="AK50" s="4">
        <v>50.43</v>
      </c>
      <c r="AL50" s="4">
        <v>4.74</v>
      </c>
    </row>
    <row r="51" spans="1:38" x14ac:dyDescent="0.35">
      <c r="A51" s="3"/>
      <c r="B51" s="3"/>
      <c r="C51" s="3" t="s">
        <v>19</v>
      </c>
      <c r="D51" s="4">
        <v>1670.95</v>
      </c>
      <c r="E51" s="4">
        <v>52.08</v>
      </c>
      <c r="F51" s="4">
        <v>163.30000000000001</v>
      </c>
      <c r="G51" s="4">
        <v>525.94000000000005</v>
      </c>
      <c r="H51" s="4">
        <v>17.09</v>
      </c>
      <c r="I51">
        <v>-54.78</v>
      </c>
      <c r="J51" s="4">
        <v>54.16</v>
      </c>
      <c r="K51" s="4">
        <v>0.2</v>
      </c>
      <c r="L51" s="4">
        <v>0.42</v>
      </c>
      <c r="M51" s="4">
        <v>37.270000000000003</v>
      </c>
      <c r="N51" s="4">
        <v>148.79</v>
      </c>
      <c r="O51" s="4">
        <v>1388.03</v>
      </c>
      <c r="P51" s="4">
        <v>372.22</v>
      </c>
      <c r="Q51" s="4">
        <v>307.70999999999998</v>
      </c>
      <c r="R51" s="4">
        <v>708.1</v>
      </c>
      <c r="S51" s="4">
        <v>491.79</v>
      </c>
      <c r="T51" s="4">
        <v>179.18</v>
      </c>
      <c r="U51" s="4">
        <v>135.32</v>
      </c>
      <c r="V51" s="4">
        <v>177.29</v>
      </c>
      <c r="W51" s="4">
        <v>1879.82</v>
      </c>
      <c r="X51" s="4">
        <v>0</v>
      </c>
      <c r="Y51" s="4">
        <v>58.7</v>
      </c>
      <c r="Z51" s="4">
        <v>11.84</v>
      </c>
      <c r="AA51" s="4">
        <v>73.16</v>
      </c>
      <c r="AB51" s="4">
        <v>6</v>
      </c>
      <c r="AC51" s="4">
        <v>67.16</v>
      </c>
      <c r="AD51" s="4">
        <v>34.270000000000003</v>
      </c>
      <c r="AE51" s="4">
        <v>129.35</v>
      </c>
      <c r="AF51" s="4">
        <v>4.32</v>
      </c>
      <c r="AG51" s="4">
        <v>61.55</v>
      </c>
      <c r="AH51" s="4">
        <v>41.76</v>
      </c>
      <c r="AI51" s="4">
        <v>196.75</v>
      </c>
      <c r="AJ51" s="4">
        <v>14.02</v>
      </c>
      <c r="AK51" s="4">
        <v>93.25</v>
      </c>
      <c r="AL51" s="4">
        <v>23.76</v>
      </c>
    </row>
    <row r="52" spans="1:38" x14ac:dyDescent="0.35">
      <c r="A52" s="3"/>
      <c r="B52" s="3"/>
      <c r="C52" s="3" t="s">
        <v>20</v>
      </c>
      <c r="D52" s="4">
        <v>969.1</v>
      </c>
      <c r="E52" s="4">
        <v>29.53</v>
      </c>
      <c r="F52" s="4">
        <v>60.51</v>
      </c>
      <c r="G52" s="4">
        <v>433.54</v>
      </c>
      <c r="H52" s="4">
        <v>10.37</v>
      </c>
      <c r="I52">
        <v>-30.62</v>
      </c>
      <c r="J52" s="4">
        <v>30.24</v>
      </c>
      <c r="K52" s="4">
        <v>0.02</v>
      </c>
      <c r="L52" s="4">
        <v>0.36</v>
      </c>
      <c r="M52" s="4">
        <v>0.85</v>
      </c>
      <c r="N52" s="4">
        <v>32.5</v>
      </c>
      <c r="O52" s="4">
        <v>1151.0899999999999</v>
      </c>
      <c r="P52" s="4">
        <v>390.25</v>
      </c>
      <c r="Q52" s="4">
        <v>592.84</v>
      </c>
      <c r="R52" s="4">
        <v>168.01</v>
      </c>
      <c r="S52" s="4">
        <v>105.76</v>
      </c>
      <c r="T52" s="4">
        <v>54.08</v>
      </c>
      <c r="U52" s="4">
        <v>32.54</v>
      </c>
      <c r="V52" s="4">
        <v>19.13</v>
      </c>
      <c r="W52" s="4">
        <v>1256.8499999999999</v>
      </c>
      <c r="X52" s="4">
        <v>0</v>
      </c>
      <c r="Y52" s="4">
        <v>9.74</v>
      </c>
      <c r="Z52" s="4">
        <v>0</v>
      </c>
      <c r="AA52" s="4">
        <v>0.1</v>
      </c>
      <c r="AB52" s="4">
        <v>0</v>
      </c>
      <c r="AC52" s="4">
        <v>0.1</v>
      </c>
      <c r="AD52" s="4">
        <v>0.76</v>
      </c>
      <c r="AE52" s="4">
        <v>24.66</v>
      </c>
      <c r="AF52" s="4">
        <v>0.21</v>
      </c>
      <c r="AG52" s="4">
        <v>1.54</v>
      </c>
      <c r="AH52" s="4">
        <v>4.2699999999999996</v>
      </c>
      <c r="AI52" s="4">
        <v>218.95</v>
      </c>
      <c r="AJ52" s="4">
        <v>25.68</v>
      </c>
      <c r="AK52" s="4">
        <v>2.2599999999999998</v>
      </c>
      <c r="AL52" s="4">
        <v>7.0000000000000007E-2</v>
      </c>
    </row>
    <row r="53" spans="1:38" ht="58" x14ac:dyDescent="0.35">
      <c r="A53" s="3"/>
      <c r="B53" s="3" t="s">
        <v>25</v>
      </c>
      <c r="C53" s="3" t="s">
        <v>22</v>
      </c>
      <c r="D53" s="4">
        <v>18.059999999999999</v>
      </c>
      <c r="E53" s="4">
        <v>0.71</v>
      </c>
      <c r="F53" s="4">
        <v>12.44</v>
      </c>
      <c r="G53" s="4">
        <v>17.850000000000001</v>
      </c>
      <c r="H53" s="4">
        <v>0</v>
      </c>
      <c r="I53">
        <v>-0.02</v>
      </c>
      <c r="J53" s="4">
        <v>0.02</v>
      </c>
      <c r="K53" s="4">
        <v>0</v>
      </c>
      <c r="L53" s="4">
        <v>0</v>
      </c>
      <c r="M53" s="4">
        <v>5.26</v>
      </c>
      <c r="N53" s="4">
        <v>6.48</v>
      </c>
      <c r="O53" s="4">
        <v>17.54</v>
      </c>
      <c r="P53" s="4">
        <v>13.11</v>
      </c>
      <c r="Q53" s="4">
        <v>0</v>
      </c>
      <c r="R53" s="4">
        <v>4.43</v>
      </c>
      <c r="S53" s="4">
        <v>6.21</v>
      </c>
      <c r="T53" s="4">
        <v>6.21</v>
      </c>
      <c r="U53" s="4">
        <v>0</v>
      </c>
      <c r="V53" s="4">
        <v>0</v>
      </c>
      <c r="W53" s="4">
        <v>23.75</v>
      </c>
      <c r="X53" s="4">
        <v>0</v>
      </c>
      <c r="Y53" s="4">
        <v>1.35</v>
      </c>
      <c r="Z53" s="4">
        <v>0</v>
      </c>
      <c r="AA53" s="4">
        <v>0</v>
      </c>
      <c r="AB53" s="4">
        <v>0</v>
      </c>
      <c r="AC53" s="4">
        <v>0</v>
      </c>
      <c r="AD53" s="4">
        <v>4.4800000000000004</v>
      </c>
      <c r="AE53" s="4">
        <v>2.1800000000000002</v>
      </c>
      <c r="AF53" s="4">
        <v>0</v>
      </c>
      <c r="AG53" s="4">
        <v>0</v>
      </c>
      <c r="AH53" s="4">
        <v>0</v>
      </c>
      <c r="AI53" s="4">
        <v>1.51</v>
      </c>
      <c r="AJ53" s="4">
        <v>0.09</v>
      </c>
      <c r="AK53" s="4">
        <v>0</v>
      </c>
      <c r="AL53" s="4">
        <v>0</v>
      </c>
    </row>
    <row r="54" spans="1:38" x14ac:dyDescent="0.35">
      <c r="A54" s="3"/>
      <c r="B54" s="3"/>
      <c r="C54" s="3" t="s">
        <v>23</v>
      </c>
      <c r="D54" s="4">
        <v>217.97</v>
      </c>
      <c r="E54" s="4">
        <v>63.98</v>
      </c>
      <c r="F54" s="4">
        <v>62.34</v>
      </c>
      <c r="G54" s="4">
        <v>174.82</v>
      </c>
      <c r="H54" s="4">
        <v>0.02</v>
      </c>
      <c r="I54">
        <v>-2.4</v>
      </c>
      <c r="J54" s="4">
        <v>2.39</v>
      </c>
      <c r="K54" s="4">
        <v>0</v>
      </c>
      <c r="L54" s="4">
        <v>0</v>
      </c>
      <c r="M54" s="4">
        <v>27.06</v>
      </c>
      <c r="N54" s="4">
        <v>28.65</v>
      </c>
      <c r="O54" s="4">
        <v>142.09</v>
      </c>
      <c r="P54" s="4">
        <v>103.17</v>
      </c>
      <c r="Q54" s="4">
        <v>5.5</v>
      </c>
      <c r="R54" s="4">
        <v>33.42</v>
      </c>
      <c r="S54" s="4">
        <v>138.41</v>
      </c>
      <c r="T54" s="4">
        <v>116.43</v>
      </c>
      <c r="U54" s="4">
        <v>2.88</v>
      </c>
      <c r="V54" s="4">
        <v>19.100000000000001</v>
      </c>
      <c r="W54" s="4">
        <v>280.5</v>
      </c>
      <c r="X54" s="4">
        <v>1.03</v>
      </c>
      <c r="Y54" s="4">
        <v>29.5</v>
      </c>
      <c r="Z54" s="4">
        <v>0</v>
      </c>
      <c r="AA54" s="4">
        <v>0.01</v>
      </c>
      <c r="AB54" s="4">
        <v>0</v>
      </c>
      <c r="AC54" s="4">
        <v>0.01</v>
      </c>
      <c r="AD54" s="4">
        <v>37.619999999999997</v>
      </c>
      <c r="AE54" s="4">
        <v>1.85</v>
      </c>
      <c r="AF54" s="4">
        <v>0.34</v>
      </c>
      <c r="AG54" s="4">
        <v>3.62</v>
      </c>
      <c r="AH54" s="4">
        <v>0</v>
      </c>
      <c r="AI54" s="4">
        <v>56.3</v>
      </c>
      <c r="AJ54" s="4">
        <v>4.62</v>
      </c>
      <c r="AK54" s="4">
        <v>0</v>
      </c>
      <c r="AL54" s="4">
        <v>0</v>
      </c>
    </row>
    <row r="55" spans="1:38" x14ac:dyDescent="0.35">
      <c r="A55" s="3" t="s">
        <v>30</v>
      </c>
      <c r="B55" s="3" t="s">
        <v>18</v>
      </c>
      <c r="C55" s="3" t="s">
        <v>19</v>
      </c>
      <c r="D55" s="4">
        <v>698.01</v>
      </c>
      <c r="E55" s="4">
        <v>4.72</v>
      </c>
      <c r="F55" s="4">
        <v>57.66</v>
      </c>
      <c r="G55" s="4">
        <v>115.92</v>
      </c>
      <c r="H55" s="4">
        <v>7.19</v>
      </c>
      <c r="I55">
        <v>-28.84</v>
      </c>
      <c r="J55" s="4">
        <v>28.76</v>
      </c>
      <c r="K55" s="4">
        <v>0.04</v>
      </c>
      <c r="L55" s="4">
        <v>0.04</v>
      </c>
      <c r="M55" s="4">
        <v>0</v>
      </c>
      <c r="N55" s="4">
        <v>15.88</v>
      </c>
      <c r="O55" s="4">
        <v>725.51</v>
      </c>
      <c r="P55" s="4">
        <v>183.76</v>
      </c>
      <c r="Q55" s="4">
        <v>207.61</v>
      </c>
      <c r="R55" s="4">
        <v>334.14</v>
      </c>
      <c r="S55" s="4">
        <v>39.36</v>
      </c>
      <c r="T55" s="4">
        <v>18.899999999999999</v>
      </c>
      <c r="U55" s="4">
        <v>3.41</v>
      </c>
      <c r="V55" s="4">
        <v>17.05</v>
      </c>
      <c r="W55" s="4">
        <v>764.87</v>
      </c>
      <c r="X55" s="4">
        <v>1.07</v>
      </c>
      <c r="Y55" s="4">
        <v>1.46</v>
      </c>
      <c r="Z55" s="4">
        <v>10.18</v>
      </c>
      <c r="AA55" s="4">
        <v>42.64</v>
      </c>
      <c r="AB55" s="4">
        <v>41.87</v>
      </c>
      <c r="AC55" s="4">
        <v>0.77</v>
      </c>
      <c r="AD55" s="4">
        <v>0</v>
      </c>
      <c r="AE55" s="4">
        <v>7.43</v>
      </c>
      <c r="AF55" s="4">
        <v>0.03</v>
      </c>
      <c r="AG55" s="4">
        <v>30.08</v>
      </c>
      <c r="AH55" s="4">
        <v>10.25</v>
      </c>
      <c r="AI55" s="4">
        <v>38.630000000000003</v>
      </c>
      <c r="AJ55" s="4">
        <v>6.11</v>
      </c>
      <c r="AK55" s="4">
        <v>0.78</v>
      </c>
      <c r="AL55" s="4">
        <v>5.69</v>
      </c>
    </row>
    <row r="56" spans="1:38" x14ac:dyDescent="0.35">
      <c r="A56" s="3"/>
      <c r="B56" s="3"/>
      <c r="C56" s="3" t="s">
        <v>20</v>
      </c>
      <c r="D56" s="4">
        <v>3980.78</v>
      </c>
      <c r="E56" s="4">
        <v>212.02</v>
      </c>
      <c r="F56" s="4">
        <v>350.88</v>
      </c>
      <c r="G56" s="4">
        <v>728.64</v>
      </c>
      <c r="H56" s="4">
        <v>87.35</v>
      </c>
      <c r="I56">
        <v>-151.66</v>
      </c>
      <c r="J56" s="4">
        <v>148.41</v>
      </c>
      <c r="K56" s="4">
        <v>0.46</v>
      </c>
      <c r="L56" s="4">
        <v>2.79</v>
      </c>
      <c r="M56" s="4">
        <v>31.97</v>
      </c>
      <c r="N56" s="4">
        <v>271.69</v>
      </c>
      <c r="O56" s="4">
        <v>3508.43</v>
      </c>
      <c r="P56" s="4">
        <v>952.58</v>
      </c>
      <c r="Q56" s="4">
        <v>1381.68</v>
      </c>
      <c r="R56" s="4">
        <v>1174.17</v>
      </c>
      <c r="S56" s="4">
        <v>862.29</v>
      </c>
      <c r="T56" s="4">
        <v>560.29</v>
      </c>
      <c r="U56" s="4">
        <v>93.77</v>
      </c>
      <c r="V56" s="4">
        <v>208.23</v>
      </c>
      <c r="W56" s="4">
        <v>4370.72</v>
      </c>
      <c r="X56" s="4">
        <v>0.4</v>
      </c>
      <c r="Y56" s="4">
        <v>52.83</v>
      </c>
      <c r="Z56" s="4">
        <v>76.09</v>
      </c>
      <c r="AA56" s="4">
        <v>247.96</v>
      </c>
      <c r="AB56" s="4">
        <v>5.89</v>
      </c>
      <c r="AC56" s="4">
        <v>242.07</v>
      </c>
      <c r="AD56" s="4">
        <v>38.93</v>
      </c>
      <c r="AE56" s="4">
        <v>240.96</v>
      </c>
      <c r="AF56" s="4">
        <v>1.52</v>
      </c>
      <c r="AG56" s="4">
        <v>24</v>
      </c>
      <c r="AH56" s="4">
        <v>8.1300000000000008</v>
      </c>
      <c r="AI56" s="4">
        <v>424.46</v>
      </c>
      <c r="AJ56" s="4">
        <v>65.19</v>
      </c>
      <c r="AK56" s="4">
        <v>116.36</v>
      </c>
      <c r="AL56" s="4">
        <v>13.76</v>
      </c>
    </row>
    <row r="57" spans="1:38" x14ac:dyDescent="0.35">
      <c r="A57" s="3"/>
      <c r="B57" s="3" t="s">
        <v>21</v>
      </c>
      <c r="C57" s="3" t="s">
        <v>22</v>
      </c>
      <c r="D57" s="4">
        <v>328.42</v>
      </c>
      <c r="E57" s="4">
        <v>13.15</v>
      </c>
      <c r="F57" s="4">
        <v>42.39</v>
      </c>
      <c r="G57" s="4">
        <v>71.430000000000007</v>
      </c>
      <c r="H57" s="4">
        <v>0.05</v>
      </c>
      <c r="I57">
        <v>-8.56</v>
      </c>
      <c r="J57" s="4">
        <v>8.2899999999999991</v>
      </c>
      <c r="K57" s="4">
        <v>0.01</v>
      </c>
      <c r="L57" s="4">
        <v>0.25</v>
      </c>
      <c r="M57" s="4">
        <v>0</v>
      </c>
      <c r="N57" s="4">
        <v>11.66</v>
      </c>
      <c r="O57" s="4">
        <v>358.55</v>
      </c>
      <c r="P57" s="4">
        <v>97.52</v>
      </c>
      <c r="Q57" s="4">
        <v>117.24</v>
      </c>
      <c r="R57" s="4">
        <v>143.79</v>
      </c>
      <c r="S57" s="4">
        <v>0.62</v>
      </c>
      <c r="T57" s="4">
        <v>0.03</v>
      </c>
      <c r="U57" s="4">
        <v>0</v>
      </c>
      <c r="V57" s="4">
        <v>0.59</v>
      </c>
      <c r="W57" s="4">
        <v>359.18</v>
      </c>
      <c r="X57" s="4">
        <v>2.02</v>
      </c>
      <c r="Y57" s="4">
        <v>10.86</v>
      </c>
      <c r="Z57" s="4">
        <v>1.7</v>
      </c>
      <c r="AA57" s="4">
        <v>16.829999999999998</v>
      </c>
      <c r="AB57" s="4">
        <v>16.829999999999998</v>
      </c>
      <c r="AC57" s="4">
        <v>0</v>
      </c>
      <c r="AD57" s="4">
        <v>0</v>
      </c>
      <c r="AE57" s="4">
        <v>15.75</v>
      </c>
      <c r="AF57" s="4">
        <v>0.04</v>
      </c>
      <c r="AG57" s="4">
        <v>37.15</v>
      </c>
      <c r="AH57" s="4">
        <v>24.37</v>
      </c>
      <c r="AI57" s="4">
        <v>-1.73</v>
      </c>
      <c r="AJ57" s="4">
        <v>4.07</v>
      </c>
      <c r="AK57" s="4">
        <v>2.2999999999999998</v>
      </c>
      <c r="AL57" s="4">
        <v>0</v>
      </c>
    </row>
    <row r="58" spans="1:38" x14ac:dyDescent="0.35">
      <c r="A58" s="3"/>
      <c r="B58" s="3"/>
      <c r="C58" s="3" t="s">
        <v>23</v>
      </c>
      <c r="D58" s="4">
        <v>344.72</v>
      </c>
      <c r="E58" s="4">
        <v>15.35</v>
      </c>
      <c r="F58" s="4">
        <v>42.64</v>
      </c>
      <c r="G58" s="4">
        <v>89.61</v>
      </c>
      <c r="H58" s="4">
        <v>2.95</v>
      </c>
      <c r="I58">
        <v>-13.72</v>
      </c>
      <c r="J58" s="4">
        <v>13.6</v>
      </c>
      <c r="K58" s="4">
        <v>0</v>
      </c>
      <c r="L58" s="4">
        <v>0.12</v>
      </c>
      <c r="M58" s="4">
        <v>0.01</v>
      </c>
      <c r="N58" s="4">
        <v>41.31</v>
      </c>
      <c r="O58" s="4">
        <v>399.8</v>
      </c>
      <c r="P58" s="4">
        <v>92.58</v>
      </c>
      <c r="Q58" s="4">
        <v>132.4</v>
      </c>
      <c r="R58" s="4">
        <v>174.82</v>
      </c>
      <c r="S58" s="4">
        <v>7.13</v>
      </c>
      <c r="T58" s="4">
        <v>0.1</v>
      </c>
      <c r="U58" s="4">
        <v>0.17</v>
      </c>
      <c r="V58" s="4">
        <v>6.86</v>
      </c>
      <c r="W58" s="4">
        <v>406.93</v>
      </c>
      <c r="X58" s="4">
        <v>0</v>
      </c>
      <c r="Y58" s="4">
        <v>9.31</v>
      </c>
      <c r="Z58" s="4">
        <v>4.55</v>
      </c>
      <c r="AA58" s="4">
        <v>9.36</v>
      </c>
      <c r="AB58" s="4">
        <v>9.36</v>
      </c>
      <c r="AC58" s="4">
        <v>0</v>
      </c>
      <c r="AD58" s="4">
        <v>0.01</v>
      </c>
      <c r="AE58" s="4">
        <v>35.93</v>
      </c>
      <c r="AF58" s="4">
        <v>0.13</v>
      </c>
      <c r="AG58" s="4">
        <v>29.31</v>
      </c>
      <c r="AH58" s="4">
        <v>18.53</v>
      </c>
      <c r="AI58" s="4">
        <v>9.3000000000000007</v>
      </c>
      <c r="AJ58" s="4">
        <v>3.37</v>
      </c>
      <c r="AK58" s="4">
        <v>2.4</v>
      </c>
      <c r="AL58" s="4">
        <v>5.14</v>
      </c>
    </row>
    <row r="59" spans="1:38" ht="29" x14ac:dyDescent="0.35">
      <c r="A59" s="3"/>
      <c r="B59" s="3" t="s">
        <v>24</v>
      </c>
      <c r="C59" s="3" t="s">
        <v>22</v>
      </c>
      <c r="D59" s="4">
        <v>410.02</v>
      </c>
      <c r="E59" s="4">
        <v>15.8</v>
      </c>
      <c r="F59" s="4">
        <v>46.44</v>
      </c>
      <c r="G59" s="4">
        <v>173.37</v>
      </c>
      <c r="H59" s="4">
        <v>0.62</v>
      </c>
      <c r="I59">
        <v>-12.06</v>
      </c>
      <c r="J59" s="4">
        <v>11.82</v>
      </c>
      <c r="K59" s="4">
        <v>0.1</v>
      </c>
      <c r="L59" s="4">
        <v>0.14000000000000001</v>
      </c>
      <c r="M59" s="4">
        <v>0.38</v>
      </c>
      <c r="N59" s="4">
        <v>29.03</v>
      </c>
      <c r="O59" s="4">
        <v>432.69</v>
      </c>
      <c r="P59" s="4">
        <v>80.260000000000005</v>
      </c>
      <c r="Q59" s="4">
        <v>75.989999999999995</v>
      </c>
      <c r="R59" s="4">
        <v>276.44</v>
      </c>
      <c r="S59" s="4">
        <v>50.33</v>
      </c>
      <c r="T59" s="4">
        <v>15.09</v>
      </c>
      <c r="U59" s="4">
        <v>2.76</v>
      </c>
      <c r="V59" s="4">
        <v>32.479999999999997</v>
      </c>
      <c r="W59" s="4">
        <v>483.02</v>
      </c>
      <c r="X59" s="4">
        <v>9.4600000000000009</v>
      </c>
      <c r="Y59" s="4">
        <v>21.44</v>
      </c>
      <c r="Z59" s="4">
        <v>17.38</v>
      </c>
      <c r="AA59" s="4">
        <v>11.45</v>
      </c>
      <c r="AB59" s="4">
        <v>1.93</v>
      </c>
      <c r="AC59" s="4">
        <v>9.52</v>
      </c>
      <c r="AD59" s="4">
        <v>0.39</v>
      </c>
      <c r="AE59" s="4">
        <v>24.42</v>
      </c>
      <c r="AF59" s="4">
        <v>0.13</v>
      </c>
      <c r="AG59" s="4">
        <v>76.650000000000006</v>
      </c>
      <c r="AH59" s="4">
        <v>4.7699999999999996</v>
      </c>
      <c r="AI59" s="4">
        <v>-6.09</v>
      </c>
      <c r="AJ59" s="4">
        <v>2.89</v>
      </c>
      <c r="AK59" s="4">
        <v>42.24</v>
      </c>
      <c r="AL59" s="4">
        <v>7.93</v>
      </c>
    </row>
    <row r="60" spans="1:38" x14ac:dyDescent="0.35">
      <c r="A60" s="3"/>
      <c r="B60" s="3"/>
      <c r="C60" s="3" t="s">
        <v>23</v>
      </c>
      <c r="D60" s="4">
        <v>473.81</v>
      </c>
      <c r="E60" s="4">
        <v>21.48</v>
      </c>
      <c r="F60" s="4">
        <v>58.86</v>
      </c>
      <c r="G60" s="4">
        <v>146.16999999999999</v>
      </c>
      <c r="H60" s="4">
        <v>1.7</v>
      </c>
      <c r="I60">
        <v>-18.079999999999998</v>
      </c>
      <c r="J60" s="4">
        <v>17.78</v>
      </c>
      <c r="K60" s="4">
        <v>0.03</v>
      </c>
      <c r="L60" s="4">
        <v>0.27</v>
      </c>
      <c r="M60" s="4">
        <v>5.73</v>
      </c>
      <c r="N60" s="4">
        <v>40.130000000000003</v>
      </c>
      <c r="O60" s="4">
        <v>404.78</v>
      </c>
      <c r="P60" s="4">
        <v>92.23</v>
      </c>
      <c r="Q60" s="4">
        <v>93.57</v>
      </c>
      <c r="R60" s="4">
        <v>218.97</v>
      </c>
      <c r="S60" s="4">
        <v>86.41</v>
      </c>
      <c r="T60" s="4">
        <v>38.97</v>
      </c>
      <c r="U60" s="4">
        <v>3.24</v>
      </c>
      <c r="V60" s="4">
        <v>44.2</v>
      </c>
      <c r="W60" s="4">
        <v>491.19</v>
      </c>
      <c r="X60" s="4">
        <v>0.5</v>
      </c>
      <c r="Y60" s="4">
        <v>22.6</v>
      </c>
      <c r="Z60" s="4">
        <v>10.96</v>
      </c>
      <c r="AA60" s="4">
        <v>43.94</v>
      </c>
      <c r="AB60" s="4">
        <v>22.14</v>
      </c>
      <c r="AC60" s="4">
        <v>21.8</v>
      </c>
      <c r="AD60" s="4">
        <v>5.56</v>
      </c>
      <c r="AE60" s="4">
        <v>34.200000000000003</v>
      </c>
      <c r="AF60" s="4">
        <v>0.09</v>
      </c>
      <c r="AG60" s="4">
        <v>66.739999999999995</v>
      </c>
      <c r="AH60" s="4">
        <v>1.79</v>
      </c>
      <c r="AI60" s="4">
        <v>19.5</v>
      </c>
      <c r="AJ60" s="4">
        <v>5.04</v>
      </c>
      <c r="AK60" s="4">
        <v>50.43</v>
      </c>
      <c r="AL60" s="4">
        <v>4.74</v>
      </c>
    </row>
    <row r="61" spans="1:38" x14ac:dyDescent="0.35">
      <c r="A61" s="3"/>
      <c r="B61" s="3"/>
      <c r="C61" s="3" t="s">
        <v>19</v>
      </c>
      <c r="D61" s="4">
        <v>1698.26</v>
      </c>
      <c r="E61" s="4">
        <v>64.02</v>
      </c>
      <c r="F61" s="4">
        <v>148.66</v>
      </c>
      <c r="G61" s="4">
        <v>481</v>
      </c>
      <c r="H61" s="4">
        <v>17.48</v>
      </c>
      <c r="I61">
        <v>-54.8</v>
      </c>
      <c r="J61" s="4">
        <v>54.21</v>
      </c>
      <c r="K61" s="4">
        <v>0.18</v>
      </c>
      <c r="L61" s="4">
        <v>0.41</v>
      </c>
      <c r="M61" s="4">
        <v>32.31</v>
      </c>
      <c r="N61" s="4">
        <v>202.74</v>
      </c>
      <c r="O61" s="4">
        <v>1382.07</v>
      </c>
      <c r="P61" s="4">
        <v>365.48</v>
      </c>
      <c r="Q61" s="4">
        <v>297.3</v>
      </c>
      <c r="R61" s="4">
        <v>719.28</v>
      </c>
      <c r="S61" s="4">
        <v>490.08</v>
      </c>
      <c r="T61" s="4">
        <v>169.38</v>
      </c>
      <c r="U61" s="4">
        <v>133.33000000000001</v>
      </c>
      <c r="V61" s="4">
        <v>187.36</v>
      </c>
      <c r="W61" s="4">
        <v>1872.15</v>
      </c>
      <c r="X61" s="4">
        <v>1.01</v>
      </c>
      <c r="Y61" s="4">
        <v>49.67</v>
      </c>
      <c r="Z61" s="4">
        <v>14.08</v>
      </c>
      <c r="AA61" s="4">
        <v>73.59</v>
      </c>
      <c r="AB61" s="4">
        <v>5.5</v>
      </c>
      <c r="AC61" s="4">
        <v>68.09</v>
      </c>
      <c r="AD61" s="4">
        <v>32.53</v>
      </c>
      <c r="AE61" s="4">
        <v>183.95</v>
      </c>
      <c r="AF61" s="4">
        <v>3.41</v>
      </c>
      <c r="AG61" s="4">
        <v>62.98</v>
      </c>
      <c r="AH61" s="4">
        <v>43.45</v>
      </c>
      <c r="AI61" s="4">
        <v>192.43</v>
      </c>
      <c r="AJ61" s="4">
        <v>17.22</v>
      </c>
      <c r="AK61" s="4">
        <v>92.21</v>
      </c>
      <c r="AL61" s="4">
        <v>23.78</v>
      </c>
    </row>
    <row r="62" spans="1:38" x14ac:dyDescent="0.35">
      <c r="A62" s="3"/>
      <c r="B62" s="3"/>
      <c r="C62" s="3" t="s">
        <v>20</v>
      </c>
      <c r="D62" s="4">
        <v>1003.73</v>
      </c>
      <c r="E62" s="4">
        <v>28.56</v>
      </c>
      <c r="F62" s="4">
        <v>42.25</v>
      </c>
      <c r="G62" s="4">
        <v>406.84</v>
      </c>
      <c r="H62" s="4">
        <v>10.37</v>
      </c>
      <c r="I62">
        <v>-30.74</v>
      </c>
      <c r="J62" s="4">
        <v>30.35</v>
      </c>
      <c r="K62" s="4">
        <v>0.02</v>
      </c>
      <c r="L62" s="4">
        <v>0.37</v>
      </c>
      <c r="M62" s="4">
        <v>0.63</v>
      </c>
      <c r="N62" s="4">
        <v>64.62</v>
      </c>
      <c r="O62" s="4">
        <v>1136.4100000000001</v>
      </c>
      <c r="P62" s="4">
        <v>377.38</v>
      </c>
      <c r="Q62" s="4">
        <v>592.54999999999995</v>
      </c>
      <c r="R62" s="4">
        <v>166.48</v>
      </c>
      <c r="S62" s="4">
        <v>116.73</v>
      </c>
      <c r="T62" s="4">
        <v>63.3</v>
      </c>
      <c r="U62" s="4">
        <v>34.11</v>
      </c>
      <c r="V62" s="4">
        <v>19.32</v>
      </c>
      <c r="W62" s="4">
        <v>1253.1400000000001</v>
      </c>
      <c r="X62" s="4">
        <v>0</v>
      </c>
      <c r="Y62" s="4">
        <v>4.1900000000000004</v>
      </c>
      <c r="Z62" s="4">
        <v>0</v>
      </c>
      <c r="AA62" s="4">
        <v>0</v>
      </c>
      <c r="AB62" s="4">
        <v>0</v>
      </c>
      <c r="AC62" s="4">
        <v>0</v>
      </c>
      <c r="AD62" s="4">
        <v>0.74</v>
      </c>
      <c r="AE62" s="4">
        <v>55.77</v>
      </c>
      <c r="AF62" s="4">
        <v>0.21</v>
      </c>
      <c r="AG62" s="4">
        <v>1.54</v>
      </c>
      <c r="AH62" s="4">
        <v>4.2699999999999996</v>
      </c>
      <c r="AI62" s="4">
        <v>216.51</v>
      </c>
      <c r="AJ62" s="4">
        <v>30.19</v>
      </c>
      <c r="AK62" s="4">
        <v>2.2599999999999998</v>
      </c>
      <c r="AL62" s="4">
        <v>7.0000000000000007E-2</v>
      </c>
    </row>
    <row r="63" spans="1:38" ht="58" x14ac:dyDescent="0.35">
      <c r="A63" s="3"/>
      <c r="B63" s="3" t="s">
        <v>25</v>
      </c>
      <c r="C63" s="3" t="s">
        <v>22</v>
      </c>
      <c r="D63" s="4">
        <v>19.34</v>
      </c>
      <c r="E63" s="4">
        <v>0.52</v>
      </c>
      <c r="F63" s="4">
        <v>9.7100000000000009</v>
      </c>
      <c r="G63" s="4">
        <v>17.649999999999999</v>
      </c>
      <c r="H63" s="4">
        <v>0</v>
      </c>
      <c r="I63">
        <v>-0.02</v>
      </c>
      <c r="J63" s="4">
        <v>0.02</v>
      </c>
      <c r="K63" s="4">
        <v>0</v>
      </c>
      <c r="L63" s="4">
        <v>0</v>
      </c>
      <c r="M63" s="4">
        <v>4.32</v>
      </c>
      <c r="N63" s="4">
        <v>7.04</v>
      </c>
      <c r="O63" s="4">
        <v>15.61</v>
      </c>
      <c r="P63" s="4">
        <v>11.38</v>
      </c>
      <c r="Q63" s="4">
        <v>0</v>
      </c>
      <c r="R63" s="4">
        <v>4.2300000000000004</v>
      </c>
      <c r="S63" s="4">
        <v>6.2</v>
      </c>
      <c r="T63" s="4">
        <v>6.2</v>
      </c>
      <c r="U63" s="4">
        <v>0</v>
      </c>
      <c r="V63" s="4">
        <v>0</v>
      </c>
      <c r="W63" s="4">
        <v>21.81</v>
      </c>
      <c r="X63" s="4">
        <v>0</v>
      </c>
      <c r="Y63" s="4">
        <v>1.89</v>
      </c>
      <c r="Z63" s="4">
        <v>0</v>
      </c>
      <c r="AA63" s="4">
        <v>0</v>
      </c>
      <c r="AB63" s="4">
        <v>0</v>
      </c>
      <c r="AC63" s="4">
        <v>0</v>
      </c>
      <c r="AD63" s="4">
        <v>3.81</v>
      </c>
      <c r="AE63" s="4">
        <v>2.92</v>
      </c>
      <c r="AF63" s="4">
        <v>0</v>
      </c>
      <c r="AG63" s="4">
        <v>0</v>
      </c>
      <c r="AH63" s="4">
        <v>0</v>
      </c>
      <c r="AI63" s="4">
        <v>1.51</v>
      </c>
      <c r="AJ63" s="4">
        <v>0.06</v>
      </c>
      <c r="AK63" s="4">
        <v>0</v>
      </c>
      <c r="AL63" s="4">
        <v>0</v>
      </c>
    </row>
    <row r="64" spans="1:38" x14ac:dyDescent="0.35">
      <c r="A64" s="3"/>
      <c r="B64" s="3"/>
      <c r="C64" s="3" t="s">
        <v>23</v>
      </c>
      <c r="D64" s="4">
        <v>230.88</v>
      </c>
      <c r="E64" s="4">
        <v>43.5</v>
      </c>
      <c r="F64" s="4">
        <v>45.25</v>
      </c>
      <c r="G64" s="4">
        <v>172.62</v>
      </c>
      <c r="H64" s="4">
        <v>0.02</v>
      </c>
      <c r="I64">
        <v>-2.41</v>
      </c>
      <c r="J64" s="4">
        <v>2.4</v>
      </c>
      <c r="K64" s="4">
        <v>0</v>
      </c>
      <c r="L64" s="4">
        <v>0</v>
      </c>
      <c r="M64" s="4">
        <v>23.14</v>
      </c>
      <c r="N64" s="4">
        <v>33.5</v>
      </c>
      <c r="O64" s="4">
        <v>137.94</v>
      </c>
      <c r="P64" s="4">
        <v>100.52</v>
      </c>
      <c r="Q64" s="4">
        <v>4.0199999999999996</v>
      </c>
      <c r="R64" s="4">
        <v>33.4</v>
      </c>
      <c r="S64" s="4">
        <v>120.84</v>
      </c>
      <c r="T64" s="4">
        <v>99.53</v>
      </c>
      <c r="U64" s="4">
        <v>2.74</v>
      </c>
      <c r="V64" s="4">
        <v>18.57</v>
      </c>
      <c r="W64" s="4">
        <v>258.79000000000002</v>
      </c>
      <c r="X64" s="4">
        <v>0.47</v>
      </c>
      <c r="Y64" s="4">
        <v>28.58</v>
      </c>
      <c r="Z64" s="4">
        <v>0</v>
      </c>
      <c r="AA64" s="4">
        <v>1</v>
      </c>
      <c r="AB64" s="4">
        <v>1</v>
      </c>
      <c r="AC64" s="4">
        <v>0</v>
      </c>
      <c r="AD64" s="4">
        <v>35.200000000000003</v>
      </c>
      <c r="AE64" s="4">
        <v>4.66</v>
      </c>
      <c r="AF64" s="4">
        <v>2.96</v>
      </c>
      <c r="AG64" s="4">
        <v>3.62</v>
      </c>
      <c r="AH64" s="4">
        <v>0</v>
      </c>
      <c r="AI64" s="4">
        <v>47.88</v>
      </c>
      <c r="AJ64" s="4">
        <v>5.48</v>
      </c>
      <c r="AK64" s="4">
        <v>0</v>
      </c>
      <c r="AL64" s="4">
        <v>0</v>
      </c>
    </row>
    <row r="66" spans="9:9" x14ac:dyDescent="0.35">
      <c r="I66">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DFF3E-3D57-43B9-9763-19D07E4292F5}">
  <sheetPr>
    <outlinePr summaryBelow="0" summaryRight="0"/>
  </sheetPr>
  <dimension ref="A1:AU70"/>
  <sheetViews>
    <sheetView workbookViewId="0">
      <pane xSplit="3" ySplit="7" topLeftCell="AS62" activePane="bottomRight" state="frozen"/>
      <selection activeCell="F3" sqref="F3"/>
      <selection pane="topRight" activeCell="F3" sqref="F3"/>
      <selection pane="bottomLeft" activeCell="F3" sqref="F3"/>
      <selection pane="bottomRight" activeCell="D3" sqref="D3:AU3"/>
    </sheetView>
  </sheetViews>
  <sheetFormatPr defaultRowHeight="14.5" x14ac:dyDescent="0.35"/>
  <cols>
    <col min="1" max="1" width="32" customWidth="1"/>
    <col min="2" max="2" width="21" customWidth="1"/>
    <col min="3" max="3" width="59" customWidth="1"/>
    <col min="4" max="4" width="42" customWidth="1"/>
    <col min="5" max="5" width="30" customWidth="1"/>
    <col min="6" max="6" width="36" customWidth="1"/>
    <col min="7" max="7" width="30" customWidth="1"/>
    <col min="8" max="8" width="38" customWidth="1"/>
    <col min="9" max="9" width="30" customWidth="1"/>
    <col min="10" max="10" width="43" customWidth="1"/>
    <col min="11" max="13" width="30" customWidth="1"/>
    <col min="14" max="14" width="32" customWidth="1"/>
    <col min="15" max="17" width="30" customWidth="1"/>
    <col min="18" max="18" width="36" customWidth="1"/>
    <col min="19" max="21" width="30" customWidth="1"/>
    <col min="22" max="22" width="38" customWidth="1"/>
    <col min="23" max="23" width="50" customWidth="1"/>
    <col min="24" max="24" width="69" customWidth="1"/>
    <col min="25" max="25" width="87" customWidth="1"/>
    <col min="26" max="26" width="76" customWidth="1"/>
    <col min="27" max="27" width="45" customWidth="1"/>
    <col min="28" max="28" width="70" customWidth="1"/>
    <col min="29" max="29" width="30" customWidth="1"/>
    <col min="30" max="30" width="40" customWidth="1"/>
    <col min="31" max="31" width="65" customWidth="1"/>
    <col min="32" max="32" width="83" customWidth="1"/>
    <col min="33" max="33" width="72" customWidth="1"/>
    <col min="34" max="34" width="43" customWidth="1"/>
    <col min="35" max="35" width="30" customWidth="1"/>
    <col min="36" max="36" width="72" customWidth="1"/>
    <col min="37" max="41" width="30" customWidth="1"/>
    <col min="42" max="42" width="42" customWidth="1"/>
    <col min="43" max="43" width="33" customWidth="1"/>
    <col min="44" max="44" width="38" customWidth="1"/>
    <col min="45" max="45" width="64" customWidth="1"/>
    <col min="46" max="47" width="30" customWidth="1"/>
  </cols>
  <sheetData>
    <row r="1" spans="1:47" ht="23.5" customHeight="1" x14ac:dyDescent="0.35">
      <c r="A1" s="5"/>
      <c r="B1" s="5"/>
      <c r="C1" s="5"/>
      <c r="D1" s="6" t="s">
        <v>2</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row>
    <row r="2" spans="1:47" ht="23.5" customHeight="1" x14ac:dyDescent="0.35">
      <c r="A2" s="5"/>
      <c r="B2" s="5"/>
      <c r="C2" s="5"/>
      <c r="D2" s="6" t="s">
        <v>68</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row>
    <row r="3" spans="1:47" ht="23.5" customHeight="1" x14ac:dyDescent="0.35">
      <c r="A3" s="5"/>
      <c r="B3" s="5"/>
      <c r="C3" s="5"/>
      <c r="D3" s="6" t="s">
        <v>111</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row>
    <row r="5" spans="1:47" x14ac:dyDescent="0.35">
      <c r="A5" t="s">
        <v>66</v>
      </c>
    </row>
    <row r="6" spans="1:47" x14ac:dyDescent="0.35">
      <c r="D6" t="s">
        <v>6</v>
      </c>
    </row>
    <row r="7" spans="1:47" x14ac:dyDescent="0.35">
      <c r="A7" s="2" t="s">
        <v>7</v>
      </c>
      <c r="B7" t="s">
        <v>9</v>
      </c>
      <c r="C7" t="s">
        <v>8</v>
      </c>
      <c r="D7" s="2" t="s">
        <v>110</v>
      </c>
      <c r="E7" s="2" t="s">
        <v>109</v>
      </c>
      <c r="F7" s="2" t="s">
        <v>108</v>
      </c>
      <c r="G7" s="2" t="s">
        <v>107</v>
      </c>
      <c r="H7" s="2" t="s">
        <v>106</v>
      </c>
      <c r="I7" s="2" t="s">
        <v>105</v>
      </c>
      <c r="J7" s="2" t="s">
        <v>104</v>
      </c>
      <c r="K7" s="2" t="s">
        <v>103</v>
      </c>
      <c r="L7" s="2" t="s">
        <v>102</v>
      </c>
      <c r="M7" s="2" t="s">
        <v>101</v>
      </c>
      <c r="N7" s="2" t="s">
        <v>100</v>
      </c>
      <c r="O7" s="2" t="s">
        <v>99</v>
      </c>
      <c r="P7" s="2" t="s">
        <v>98</v>
      </c>
      <c r="Q7" s="2" t="s">
        <v>97</v>
      </c>
      <c r="R7" s="2" t="s">
        <v>96</v>
      </c>
      <c r="S7" s="2" t="s">
        <v>95</v>
      </c>
      <c r="T7" s="2" t="s">
        <v>94</v>
      </c>
      <c r="U7" s="2" t="s">
        <v>93</v>
      </c>
      <c r="V7" s="2" t="s">
        <v>92</v>
      </c>
      <c r="W7" s="2" t="s">
        <v>91</v>
      </c>
      <c r="X7" s="2" t="s">
        <v>90</v>
      </c>
      <c r="Y7" s="2" t="s">
        <v>89</v>
      </c>
      <c r="Z7" s="2" t="s">
        <v>88</v>
      </c>
      <c r="AA7" s="2" t="s">
        <v>87</v>
      </c>
      <c r="AB7" s="2" t="s">
        <v>86</v>
      </c>
      <c r="AC7" s="2" t="s">
        <v>85</v>
      </c>
      <c r="AD7" s="2" t="s">
        <v>84</v>
      </c>
      <c r="AE7" s="2" t="s">
        <v>83</v>
      </c>
      <c r="AF7" s="2" t="s">
        <v>82</v>
      </c>
      <c r="AG7" s="2" t="s">
        <v>81</v>
      </c>
      <c r="AH7" s="2" t="s">
        <v>80</v>
      </c>
      <c r="AI7" s="2" t="s">
        <v>79</v>
      </c>
      <c r="AJ7" s="2" t="s">
        <v>78</v>
      </c>
      <c r="AK7" s="2" t="s">
        <v>77</v>
      </c>
      <c r="AL7" s="2" t="s">
        <v>76</v>
      </c>
      <c r="AM7" s="2" t="s">
        <v>75</v>
      </c>
      <c r="AN7" s="2" t="s">
        <v>74</v>
      </c>
      <c r="AO7" s="2" t="s">
        <v>73</v>
      </c>
      <c r="AP7" s="2" t="s">
        <v>72</v>
      </c>
      <c r="AQ7" s="2" t="s">
        <v>71</v>
      </c>
      <c r="AR7" s="2" t="s">
        <v>70</v>
      </c>
      <c r="AS7" s="2" t="s">
        <v>69</v>
      </c>
    </row>
    <row r="8" spans="1:47" x14ac:dyDescent="0.35">
      <c r="A8" s="7" t="s">
        <v>17</v>
      </c>
      <c r="B8" s="7" t="s">
        <v>22</v>
      </c>
      <c r="C8" s="3" t="s">
        <v>21</v>
      </c>
      <c r="D8" s="4">
        <v>6.15</v>
      </c>
      <c r="E8" s="4">
        <v>0.08</v>
      </c>
      <c r="F8" s="4">
        <v>7.0000000000000007E-2</v>
      </c>
      <c r="G8" s="4">
        <v>0.41</v>
      </c>
      <c r="H8" s="4">
        <v>2.97</v>
      </c>
      <c r="I8" s="4">
        <v>0</v>
      </c>
      <c r="J8" s="4">
        <v>2.97</v>
      </c>
      <c r="K8" s="4">
        <v>2.61</v>
      </c>
      <c r="L8" s="4">
        <v>3.76</v>
      </c>
      <c r="M8" s="4">
        <v>0</v>
      </c>
      <c r="N8" s="4">
        <v>0.04</v>
      </c>
      <c r="O8" s="4">
        <v>0.12</v>
      </c>
      <c r="P8" s="4">
        <v>0.1</v>
      </c>
      <c r="Q8" s="4">
        <v>0.77</v>
      </c>
      <c r="R8" s="4">
        <v>0.98</v>
      </c>
      <c r="S8" s="4">
        <v>0.01</v>
      </c>
      <c r="T8" s="4">
        <v>7.0000000000000007E-2</v>
      </c>
      <c r="U8" s="4">
        <v>2.65</v>
      </c>
      <c r="V8" s="4">
        <v>2.39</v>
      </c>
      <c r="W8" s="4">
        <v>0.45</v>
      </c>
      <c r="X8" s="4">
        <v>0.01</v>
      </c>
      <c r="Y8" s="4">
        <v>0</v>
      </c>
      <c r="Z8" s="4">
        <v>0</v>
      </c>
      <c r="AA8" s="4">
        <v>0</v>
      </c>
      <c r="AB8" s="4">
        <v>0.19</v>
      </c>
      <c r="AC8" s="4">
        <v>0.25</v>
      </c>
      <c r="AD8" s="4">
        <v>1.8</v>
      </c>
      <c r="AE8" s="4">
        <v>0</v>
      </c>
      <c r="AF8" s="4">
        <v>0</v>
      </c>
      <c r="AG8" s="4">
        <v>0</v>
      </c>
      <c r="AH8" s="4">
        <v>0</v>
      </c>
      <c r="AI8" s="4">
        <v>0.56000000000000005</v>
      </c>
      <c r="AJ8" s="4">
        <v>0</v>
      </c>
      <c r="AK8" s="4">
        <v>1.23</v>
      </c>
      <c r="AL8" s="4">
        <v>1.04</v>
      </c>
      <c r="AM8" s="4">
        <v>0.43</v>
      </c>
      <c r="AN8" s="4">
        <v>0.43</v>
      </c>
      <c r="AO8" s="4">
        <v>0</v>
      </c>
      <c r="AP8" s="4">
        <v>1.05</v>
      </c>
      <c r="AQ8" s="4">
        <v>0</v>
      </c>
      <c r="AR8" s="4">
        <v>0</v>
      </c>
      <c r="AS8" s="4">
        <v>0.89</v>
      </c>
    </row>
    <row r="9" spans="1:47" x14ac:dyDescent="0.35">
      <c r="A9" s="7"/>
      <c r="B9" s="7"/>
      <c r="C9" s="3" t="s">
        <v>24</v>
      </c>
      <c r="D9" s="4">
        <v>8.57</v>
      </c>
      <c r="E9" s="4">
        <v>0.11</v>
      </c>
      <c r="F9" s="4">
        <v>0.04</v>
      </c>
      <c r="G9" s="4">
        <v>0.84</v>
      </c>
      <c r="H9" s="4">
        <v>3.16</v>
      </c>
      <c r="I9" s="4">
        <v>0</v>
      </c>
      <c r="J9" s="4">
        <v>3.16</v>
      </c>
      <c r="K9" s="4">
        <v>4.41</v>
      </c>
      <c r="L9" s="4">
        <v>6.37</v>
      </c>
      <c r="M9" s="4">
        <v>0</v>
      </c>
      <c r="N9" s="4">
        <v>7.0000000000000007E-2</v>
      </c>
      <c r="O9" s="4">
        <v>0.15</v>
      </c>
      <c r="P9" s="4">
        <v>0.16</v>
      </c>
      <c r="Q9" s="4">
        <v>1.48</v>
      </c>
      <c r="R9" s="4">
        <v>1.78</v>
      </c>
      <c r="S9" s="4">
        <v>7.0000000000000007E-2</v>
      </c>
      <c r="T9" s="4">
        <v>0.04</v>
      </c>
      <c r="U9" s="4">
        <v>4.41</v>
      </c>
      <c r="V9" s="4">
        <v>2.19</v>
      </c>
      <c r="W9" s="4">
        <v>1.02</v>
      </c>
      <c r="X9" s="4">
        <v>0.09</v>
      </c>
      <c r="Y9" s="4">
        <v>0</v>
      </c>
      <c r="Z9" s="4">
        <v>0</v>
      </c>
      <c r="AA9" s="4">
        <v>0.05</v>
      </c>
      <c r="AB9" s="4">
        <v>0.36</v>
      </c>
      <c r="AC9" s="4">
        <v>0.52</v>
      </c>
      <c r="AD9" s="4">
        <v>2.67</v>
      </c>
      <c r="AE9" s="4">
        <v>0.05</v>
      </c>
      <c r="AF9" s="4">
        <v>0.08</v>
      </c>
      <c r="AG9" s="4">
        <v>0</v>
      </c>
      <c r="AH9" s="4">
        <v>0.05</v>
      </c>
      <c r="AI9" s="4">
        <v>1</v>
      </c>
      <c r="AJ9" s="4">
        <v>0.03</v>
      </c>
      <c r="AK9" s="4">
        <v>1.44</v>
      </c>
      <c r="AL9" s="4">
        <v>0.55000000000000004</v>
      </c>
      <c r="AM9" s="4">
        <v>0.21</v>
      </c>
      <c r="AN9" s="4">
        <v>0.19</v>
      </c>
      <c r="AO9" s="4">
        <v>0.02</v>
      </c>
      <c r="AP9" s="4">
        <v>0.56999999999999995</v>
      </c>
      <c r="AQ9" s="4">
        <v>0</v>
      </c>
      <c r="AR9" s="4">
        <v>0</v>
      </c>
      <c r="AS9" s="4">
        <v>0.46</v>
      </c>
    </row>
    <row r="10" spans="1:47" x14ac:dyDescent="0.35">
      <c r="A10" s="7"/>
      <c r="B10" s="7"/>
      <c r="C10" s="3" t="s">
        <v>25</v>
      </c>
      <c r="D10" s="4">
        <v>0.22</v>
      </c>
      <c r="E10" s="4">
        <v>0.04</v>
      </c>
      <c r="F10" s="4">
        <v>0.02</v>
      </c>
      <c r="G10" s="4">
        <v>0.1</v>
      </c>
      <c r="H10" s="4">
        <v>0.05</v>
      </c>
      <c r="I10" s="4">
        <v>0.01</v>
      </c>
      <c r="J10" s="4">
        <v>0.06</v>
      </c>
      <c r="K10" s="4">
        <v>0</v>
      </c>
      <c r="L10" s="4">
        <v>0.11</v>
      </c>
      <c r="M10" s="4">
        <v>0</v>
      </c>
      <c r="N10" s="4">
        <v>0.03</v>
      </c>
      <c r="O10" s="4">
        <v>0.02</v>
      </c>
      <c r="P10" s="4">
        <v>0</v>
      </c>
      <c r="Q10" s="4">
        <v>0</v>
      </c>
      <c r="R10" s="4">
        <v>0.03</v>
      </c>
      <c r="S10" s="4">
        <v>0</v>
      </c>
      <c r="T10" s="4">
        <v>0</v>
      </c>
      <c r="U10" s="4">
        <v>0.05</v>
      </c>
      <c r="V10" s="4">
        <v>0.11</v>
      </c>
      <c r="W10" s="4">
        <v>9.11</v>
      </c>
      <c r="X10" s="4">
        <v>0.13</v>
      </c>
      <c r="Y10" s="4">
        <v>0</v>
      </c>
      <c r="Z10" s="4">
        <v>0.04</v>
      </c>
      <c r="AA10" s="4">
        <v>8.91</v>
      </c>
      <c r="AB10" s="4">
        <v>0</v>
      </c>
      <c r="AC10" s="4">
        <v>0.01</v>
      </c>
      <c r="AD10" s="4">
        <v>9.0500000000000007</v>
      </c>
      <c r="AE10" s="4">
        <v>0.16</v>
      </c>
      <c r="AF10" s="4">
        <v>0</v>
      </c>
      <c r="AG10" s="4">
        <v>0.03</v>
      </c>
      <c r="AH10" s="4">
        <v>8.7799999999999994</v>
      </c>
      <c r="AI10" s="4">
        <v>0.01</v>
      </c>
      <c r="AJ10" s="4">
        <v>0</v>
      </c>
      <c r="AK10" s="4">
        <v>0.06</v>
      </c>
      <c r="AL10" s="4">
        <v>0.17</v>
      </c>
      <c r="AM10" s="4">
        <v>0</v>
      </c>
      <c r="AN10" s="4">
        <v>0</v>
      </c>
      <c r="AO10" s="4">
        <v>0</v>
      </c>
      <c r="AP10" s="4">
        <v>0.17</v>
      </c>
      <c r="AQ10" s="4">
        <v>0</v>
      </c>
      <c r="AR10" s="4">
        <v>0</v>
      </c>
      <c r="AS10" s="4">
        <v>0.12</v>
      </c>
    </row>
    <row r="11" spans="1:47" x14ac:dyDescent="0.35">
      <c r="A11" s="7"/>
      <c r="B11" s="7" t="s">
        <v>23</v>
      </c>
      <c r="C11" s="3" t="s">
        <v>21</v>
      </c>
      <c r="D11" s="4">
        <v>2.6</v>
      </c>
      <c r="E11" s="4">
        <v>0.04</v>
      </c>
      <c r="F11" s="4">
        <v>0.04</v>
      </c>
      <c r="G11" s="4">
        <v>0.35</v>
      </c>
      <c r="H11" s="4">
        <v>1.51</v>
      </c>
      <c r="I11" s="4">
        <v>0.01</v>
      </c>
      <c r="J11" s="4">
        <v>1.52</v>
      </c>
      <c r="K11" s="4">
        <v>0.65</v>
      </c>
      <c r="L11" s="4">
        <v>1.26</v>
      </c>
      <c r="M11" s="4">
        <v>0</v>
      </c>
      <c r="N11" s="4">
        <v>0.02</v>
      </c>
      <c r="O11" s="4">
        <v>0.08</v>
      </c>
      <c r="P11" s="4">
        <v>0.04</v>
      </c>
      <c r="Q11" s="4">
        <v>0.45</v>
      </c>
      <c r="R11" s="4">
        <v>0.56999999999999995</v>
      </c>
      <c r="S11" s="4">
        <v>0.01</v>
      </c>
      <c r="T11" s="4">
        <v>0.02</v>
      </c>
      <c r="U11" s="4">
        <v>0.63</v>
      </c>
      <c r="V11" s="4">
        <v>1.34</v>
      </c>
      <c r="W11" s="4">
        <v>0.32</v>
      </c>
      <c r="X11" s="4">
        <v>0.01</v>
      </c>
      <c r="Y11" s="4">
        <v>0</v>
      </c>
      <c r="Z11" s="4">
        <v>0</v>
      </c>
      <c r="AA11" s="4">
        <v>0.01</v>
      </c>
      <c r="AB11" s="4">
        <v>0.11</v>
      </c>
      <c r="AC11" s="4">
        <v>0.18</v>
      </c>
      <c r="AD11" s="4">
        <v>1.24</v>
      </c>
      <c r="AE11" s="4">
        <v>0.03</v>
      </c>
      <c r="AF11" s="4">
        <v>0</v>
      </c>
      <c r="AG11" s="4">
        <v>0</v>
      </c>
      <c r="AH11" s="4">
        <v>0.01</v>
      </c>
      <c r="AI11" s="4">
        <v>0.47</v>
      </c>
      <c r="AJ11" s="4">
        <v>0</v>
      </c>
      <c r="AK11" s="4">
        <v>0.73</v>
      </c>
      <c r="AL11" s="4">
        <v>0.43</v>
      </c>
      <c r="AM11" s="4">
        <v>0.05</v>
      </c>
      <c r="AN11" s="4">
        <v>0.04</v>
      </c>
      <c r="AO11" s="4">
        <v>0</v>
      </c>
      <c r="AP11" s="4">
        <v>0.43</v>
      </c>
      <c r="AQ11" s="4">
        <v>0</v>
      </c>
      <c r="AR11" s="4">
        <v>0</v>
      </c>
      <c r="AS11" s="4">
        <v>0.34</v>
      </c>
    </row>
    <row r="12" spans="1:47" x14ac:dyDescent="0.35">
      <c r="A12" s="7"/>
      <c r="B12" s="7"/>
      <c r="C12" s="3" t="s">
        <v>24</v>
      </c>
      <c r="D12" s="4">
        <v>7.75</v>
      </c>
      <c r="E12" s="4">
        <v>0.17</v>
      </c>
      <c r="F12" s="4">
        <v>0.03</v>
      </c>
      <c r="G12" s="4">
        <v>0.75</v>
      </c>
      <c r="H12" s="4">
        <v>4.22</v>
      </c>
      <c r="I12" s="4">
        <v>0.01</v>
      </c>
      <c r="J12" s="4">
        <v>4.2300000000000004</v>
      </c>
      <c r="K12" s="4">
        <v>2.56</v>
      </c>
      <c r="L12" s="4">
        <v>4.45</v>
      </c>
      <c r="M12" s="4">
        <v>0</v>
      </c>
      <c r="N12" s="4">
        <v>0.13</v>
      </c>
      <c r="O12" s="4">
        <v>0.19</v>
      </c>
      <c r="P12" s="4">
        <v>0.18</v>
      </c>
      <c r="Q12" s="4">
        <v>1.22</v>
      </c>
      <c r="R12" s="4">
        <v>1.58</v>
      </c>
      <c r="S12" s="4">
        <v>7.0000000000000007E-2</v>
      </c>
      <c r="T12" s="4">
        <v>0.13</v>
      </c>
      <c r="U12" s="4">
        <v>2.5299999999999998</v>
      </c>
      <c r="V12" s="4">
        <v>3.3</v>
      </c>
      <c r="W12" s="4">
        <v>3.34</v>
      </c>
      <c r="X12" s="4">
        <v>0.76</v>
      </c>
      <c r="Y12" s="4">
        <v>0</v>
      </c>
      <c r="Z12" s="4">
        <v>0</v>
      </c>
      <c r="AA12" s="4">
        <v>1.4</v>
      </c>
      <c r="AB12" s="4">
        <v>0.25</v>
      </c>
      <c r="AC12" s="4">
        <v>0.92</v>
      </c>
      <c r="AD12" s="4">
        <v>5.66</v>
      </c>
      <c r="AE12" s="4">
        <v>0.71</v>
      </c>
      <c r="AF12" s="4">
        <v>0.05</v>
      </c>
      <c r="AG12" s="4">
        <v>0</v>
      </c>
      <c r="AH12" s="4">
        <v>1.24</v>
      </c>
      <c r="AI12" s="4">
        <v>1.98</v>
      </c>
      <c r="AJ12" s="4">
        <v>7.0000000000000007E-2</v>
      </c>
      <c r="AK12" s="4">
        <v>1.61</v>
      </c>
      <c r="AL12" s="4">
        <v>0.98</v>
      </c>
      <c r="AM12" s="4">
        <v>0.52</v>
      </c>
      <c r="AN12" s="4">
        <v>0.55000000000000004</v>
      </c>
      <c r="AO12" s="4">
        <v>-0.03</v>
      </c>
      <c r="AP12" s="4">
        <v>0.95</v>
      </c>
      <c r="AQ12" s="4">
        <v>0</v>
      </c>
      <c r="AR12" s="4">
        <v>0</v>
      </c>
      <c r="AS12" s="4">
        <v>0.73</v>
      </c>
    </row>
    <row r="13" spans="1:47" x14ac:dyDescent="0.35">
      <c r="A13" s="7"/>
      <c r="B13" s="7"/>
      <c r="C13" s="3" t="s">
        <v>25</v>
      </c>
      <c r="D13" s="4">
        <v>2.1</v>
      </c>
      <c r="E13" s="4">
        <v>0.14000000000000001</v>
      </c>
      <c r="F13" s="4">
        <v>0.16</v>
      </c>
      <c r="G13" s="4">
        <v>0.65</v>
      </c>
      <c r="H13" s="4">
        <v>1.01</v>
      </c>
      <c r="I13" s="4">
        <v>0.11</v>
      </c>
      <c r="J13" s="4">
        <v>1.1200000000000001</v>
      </c>
      <c r="K13" s="4">
        <v>0.02</v>
      </c>
      <c r="L13" s="4">
        <v>0.61</v>
      </c>
      <c r="M13" s="4">
        <v>0</v>
      </c>
      <c r="N13" s="4">
        <v>0.23</v>
      </c>
      <c r="O13" s="4">
        <v>0.18</v>
      </c>
      <c r="P13" s="4">
        <v>0.02</v>
      </c>
      <c r="Q13" s="4">
        <v>0.15</v>
      </c>
      <c r="R13" s="4">
        <v>0.34</v>
      </c>
      <c r="S13" s="4">
        <v>0.04</v>
      </c>
      <c r="T13" s="4">
        <v>0</v>
      </c>
      <c r="U13" s="4">
        <v>0</v>
      </c>
      <c r="V13" s="4">
        <v>1.48</v>
      </c>
      <c r="W13" s="4">
        <v>26.56</v>
      </c>
      <c r="X13" s="4">
        <v>0.37</v>
      </c>
      <c r="Y13" s="4">
        <v>0.16</v>
      </c>
      <c r="Z13" s="4">
        <v>0</v>
      </c>
      <c r="AA13" s="4">
        <v>25.8</v>
      </c>
      <c r="AB13" s="4">
        <v>0.17</v>
      </c>
      <c r="AC13" s="4">
        <v>0.05</v>
      </c>
      <c r="AD13" s="4">
        <v>27.1</v>
      </c>
      <c r="AE13" s="4">
        <v>0.35</v>
      </c>
      <c r="AF13" s="4">
        <v>0</v>
      </c>
      <c r="AG13" s="4">
        <v>0</v>
      </c>
      <c r="AH13" s="4">
        <v>25.82</v>
      </c>
      <c r="AI13" s="4">
        <v>0.25</v>
      </c>
      <c r="AJ13" s="4">
        <v>0.05</v>
      </c>
      <c r="AK13" s="4">
        <v>0.62</v>
      </c>
      <c r="AL13" s="4">
        <v>0.94</v>
      </c>
      <c r="AM13" s="4">
        <v>0.33</v>
      </c>
      <c r="AN13" s="4">
        <v>0</v>
      </c>
      <c r="AO13" s="4">
        <v>0.33</v>
      </c>
      <c r="AP13" s="4">
        <v>1.27</v>
      </c>
      <c r="AQ13" s="4">
        <v>-0.02</v>
      </c>
      <c r="AR13" s="4">
        <v>-0.02</v>
      </c>
      <c r="AS13" s="4">
        <v>0.95</v>
      </c>
    </row>
    <row r="14" spans="1:47" x14ac:dyDescent="0.35">
      <c r="A14" s="7"/>
      <c r="B14" s="7" t="s">
        <v>19</v>
      </c>
      <c r="C14" s="3" t="s">
        <v>18</v>
      </c>
      <c r="D14" s="4">
        <v>6.5</v>
      </c>
      <c r="E14" s="4">
        <v>0.09</v>
      </c>
      <c r="F14" s="4">
        <v>0</v>
      </c>
      <c r="G14" s="4">
        <v>0.34</v>
      </c>
      <c r="H14" s="4">
        <v>4.3099999999999996</v>
      </c>
      <c r="I14" s="4">
        <v>0.04</v>
      </c>
      <c r="J14" s="4">
        <v>4.3499999999999996</v>
      </c>
      <c r="K14" s="4">
        <v>1.72</v>
      </c>
      <c r="L14" s="4">
        <v>3.56</v>
      </c>
      <c r="M14" s="4">
        <v>0</v>
      </c>
      <c r="N14" s="4">
        <v>0</v>
      </c>
      <c r="O14" s="4">
        <v>0.28999999999999998</v>
      </c>
      <c r="P14" s="4">
        <v>0.08</v>
      </c>
      <c r="Q14" s="4">
        <v>1.25</v>
      </c>
      <c r="R14" s="4">
        <v>1.62</v>
      </c>
      <c r="S14" s="4">
        <v>0.06</v>
      </c>
      <c r="T14" s="4">
        <v>0.16</v>
      </c>
      <c r="U14" s="4">
        <v>1.73</v>
      </c>
      <c r="V14" s="4">
        <v>2.94</v>
      </c>
      <c r="W14" s="4">
        <v>11.27</v>
      </c>
      <c r="X14" s="4">
        <v>0.33</v>
      </c>
      <c r="Y14" s="4">
        <v>0</v>
      </c>
      <c r="Z14" s="4">
        <v>0</v>
      </c>
      <c r="AA14" s="4">
        <v>10.14</v>
      </c>
      <c r="AB14" s="4">
        <v>0.45</v>
      </c>
      <c r="AC14" s="4">
        <v>0.33</v>
      </c>
      <c r="AD14" s="4">
        <v>13.01</v>
      </c>
      <c r="AE14" s="4">
        <v>0.04</v>
      </c>
      <c r="AF14" s="4">
        <v>0</v>
      </c>
      <c r="AG14" s="4">
        <v>0</v>
      </c>
      <c r="AH14" s="4">
        <v>10.11</v>
      </c>
      <c r="AI14" s="4">
        <v>1.06</v>
      </c>
      <c r="AJ14" s="4">
        <v>0.01</v>
      </c>
      <c r="AK14" s="4">
        <v>1.78</v>
      </c>
      <c r="AL14" s="4">
        <v>1.19</v>
      </c>
      <c r="AM14" s="4">
        <v>0</v>
      </c>
      <c r="AN14" s="4">
        <v>0.03</v>
      </c>
      <c r="AO14" s="4">
        <v>-0.02</v>
      </c>
      <c r="AP14" s="4">
        <v>1.17</v>
      </c>
      <c r="AQ14" s="4">
        <v>0</v>
      </c>
      <c r="AR14" s="4">
        <v>0</v>
      </c>
      <c r="AS14" s="4">
        <v>0.92</v>
      </c>
    </row>
    <row r="15" spans="1:47" x14ac:dyDescent="0.35">
      <c r="A15" s="7"/>
      <c r="B15" s="7"/>
      <c r="C15" s="3" t="s">
        <v>21</v>
      </c>
      <c r="D15" s="4">
        <v>2.11</v>
      </c>
      <c r="E15" s="4">
        <v>0.02</v>
      </c>
      <c r="F15" s="4">
        <v>0</v>
      </c>
      <c r="G15" s="4">
        <v>0.11</v>
      </c>
      <c r="H15" s="4">
        <v>0.95</v>
      </c>
      <c r="I15" s="4">
        <v>0.01</v>
      </c>
      <c r="J15" s="4">
        <v>0.96</v>
      </c>
      <c r="K15" s="4">
        <v>1.02</v>
      </c>
      <c r="L15" s="4">
        <v>1.55</v>
      </c>
      <c r="M15" s="4">
        <v>0</v>
      </c>
      <c r="N15" s="4">
        <v>0.02</v>
      </c>
      <c r="O15" s="4">
        <v>0.03</v>
      </c>
      <c r="P15" s="4">
        <v>0.05</v>
      </c>
      <c r="Q15" s="4">
        <v>0.3</v>
      </c>
      <c r="R15" s="4">
        <v>0.38</v>
      </c>
      <c r="S15" s="4">
        <v>0.04</v>
      </c>
      <c r="T15" s="4">
        <v>7.0000000000000007E-2</v>
      </c>
      <c r="U15" s="4">
        <v>1.03</v>
      </c>
      <c r="V15" s="4">
        <v>0.56999999999999995</v>
      </c>
      <c r="W15" s="4">
        <v>0.35</v>
      </c>
      <c r="X15" s="4">
        <v>0.04</v>
      </c>
      <c r="Y15" s="4">
        <v>0</v>
      </c>
      <c r="Z15" s="4">
        <v>0</v>
      </c>
      <c r="AA15" s="4">
        <v>0.14000000000000001</v>
      </c>
      <c r="AB15" s="4">
        <v>0.1</v>
      </c>
      <c r="AC15" s="4">
        <v>7.0000000000000007E-2</v>
      </c>
      <c r="AD15" s="4">
        <v>0.76</v>
      </c>
      <c r="AE15" s="4">
        <v>0.02</v>
      </c>
      <c r="AF15" s="4">
        <v>0</v>
      </c>
      <c r="AG15" s="4">
        <v>0</v>
      </c>
      <c r="AH15" s="4">
        <v>0.13</v>
      </c>
      <c r="AI15" s="4">
        <v>0.19</v>
      </c>
      <c r="AJ15" s="4">
        <v>0</v>
      </c>
      <c r="AK15" s="4">
        <v>0.43</v>
      </c>
      <c r="AL15" s="4">
        <v>0.15</v>
      </c>
      <c r="AM15" s="4">
        <v>0</v>
      </c>
      <c r="AN15" s="4">
        <v>0</v>
      </c>
      <c r="AO15" s="4">
        <v>0</v>
      </c>
      <c r="AP15" s="4">
        <v>0.15</v>
      </c>
      <c r="AQ15" s="4">
        <v>0</v>
      </c>
      <c r="AR15" s="4">
        <v>0</v>
      </c>
      <c r="AS15" s="4">
        <v>0.12</v>
      </c>
    </row>
    <row r="16" spans="1:47" x14ac:dyDescent="0.35">
      <c r="A16" s="7"/>
      <c r="B16" s="7"/>
      <c r="C16" s="3" t="s">
        <v>24</v>
      </c>
      <c r="D16" s="4">
        <v>19.670000000000002</v>
      </c>
      <c r="E16" s="4">
        <v>0.3</v>
      </c>
      <c r="F16" s="4">
        <v>0.08</v>
      </c>
      <c r="G16" s="4">
        <v>2.94</v>
      </c>
      <c r="H16" s="4">
        <v>9.81</v>
      </c>
      <c r="I16" s="4">
        <v>0.11</v>
      </c>
      <c r="J16" s="4">
        <v>9.92</v>
      </c>
      <c r="K16" s="4">
        <v>6.43</v>
      </c>
      <c r="L16" s="4">
        <v>12.17</v>
      </c>
      <c r="M16" s="4">
        <v>0</v>
      </c>
      <c r="N16" s="4">
        <v>0.14000000000000001</v>
      </c>
      <c r="O16" s="4">
        <v>1.21</v>
      </c>
      <c r="P16" s="4">
        <v>0.57999999999999996</v>
      </c>
      <c r="Q16" s="4">
        <v>3.57</v>
      </c>
      <c r="R16" s="4">
        <v>5.36</v>
      </c>
      <c r="S16" s="4">
        <v>0.09</v>
      </c>
      <c r="T16" s="4">
        <v>0.35</v>
      </c>
      <c r="U16" s="4">
        <v>6.23</v>
      </c>
      <c r="V16" s="4">
        <v>7.51</v>
      </c>
      <c r="W16" s="4">
        <v>8.7100000000000009</v>
      </c>
      <c r="X16" s="4">
        <v>1.1299999999999999</v>
      </c>
      <c r="Y16" s="4">
        <v>0</v>
      </c>
      <c r="Z16" s="4">
        <v>0.02</v>
      </c>
      <c r="AA16" s="4">
        <v>4.07</v>
      </c>
      <c r="AB16" s="4">
        <v>1.71</v>
      </c>
      <c r="AC16" s="4">
        <v>1.78</v>
      </c>
      <c r="AD16" s="4">
        <v>12.14</v>
      </c>
      <c r="AE16" s="4">
        <v>0.68</v>
      </c>
      <c r="AF16" s="4">
        <v>0</v>
      </c>
      <c r="AG16" s="4">
        <v>0</v>
      </c>
      <c r="AH16" s="4">
        <v>3.46</v>
      </c>
      <c r="AI16" s="4">
        <v>2.66</v>
      </c>
      <c r="AJ16" s="4">
        <v>0.41</v>
      </c>
      <c r="AK16" s="4">
        <v>4.93</v>
      </c>
      <c r="AL16" s="4">
        <v>4.08</v>
      </c>
      <c r="AM16" s="4">
        <v>7.89</v>
      </c>
      <c r="AN16" s="4">
        <v>7.99</v>
      </c>
      <c r="AO16" s="4">
        <v>-0.1</v>
      </c>
      <c r="AP16" s="4">
        <v>3.98</v>
      </c>
      <c r="AQ16" s="4">
        <v>0</v>
      </c>
      <c r="AR16" s="4">
        <v>0</v>
      </c>
      <c r="AS16" s="4">
        <v>3.15</v>
      </c>
    </row>
    <row r="17" spans="1:45" x14ac:dyDescent="0.35">
      <c r="A17" s="7"/>
      <c r="B17" s="7" t="s">
        <v>20</v>
      </c>
      <c r="C17" s="3" t="s">
        <v>18</v>
      </c>
      <c r="D17" s="4">
        <v>32.299999999999997</v>
      </c>
      <c r="E17" s="4">
        <v>0.33</v>
      </c>
      <c r="F17" s="4">
        <v>0.55000000000000004</v>
      </c>
      <c r="G17" s="4">
        <v>3.07</v>
      </c>
      <c r="H17" s="4">
        <v>25.91</v>
      </c>
      <c r="I17" s="4">
        <v>0.52</v>
      </c>
      <c r="J17" s="4">
        <v>26.43</v>
      </c>
      <c r="K17" s="4">
        <v>1.92</v>
      </c>
      <c r="L17" s="4">
        <v>11.57</v>
      </c>
      <c r="M17" s="4">
        <v>0</v>
      </c>
      <c r="N17" s="4">
        <v>0.17</v>
      </c>
      <c r="O17" s="4">
        <v>2.99</v>
      </c>
      <c r="P17" s="4">
        <v>0.62</v>
      </c>
      <c r="Q17" s="4">
        <v>4.22</v>
      </c>
      <c r="R17" s="4">
        <v>7.83</v>
      </c>
      <c r="S17" s="4">
        <v>0.51</v>
      </c>
      <c r="T17" s="4">
        <v>2.02</v>
      </c>
      <c r="U17" s="4">
        <v>1.04</v>
      </c>
      <c r="V17" s="4">
        <v>20.73</v>
      </c>
      <c r="W17" s="4">
        <v>75.150000000000006</v>
      </c>
      <c r="X17" s="4">
        <v>0.97</v>
      </c>
      <c r="Y17" s="4">
        <v>0</v>
      </c>
      <c r="Z17" s="4">
        <v>0</v>
      </c>
      <c r="AA17" s="4">
        <v>63.23</v>
      </c>
      <c r="AB17" s="4">
        <v>4.47</v>
      </c>
      <c r="AC17" s="4">
        <v>6.48</v>
      </c>
      <c r="AD17" s="4">
        <v>83.83</v>
      </c>
      <c r="AE17" s="4">
        <v>0.1</v>
      </c>
      <c r="AF17" s="4">
        <v>0</v>
      </c>
      <c r="AG17" s="4">
        <v>0</v>
      </c>
      <c r="AH17" s="4">
        <v>62.95</v>
      </c>
      <c r="AI17" s="4">
        <v>10.1</v>
      </c>
      <c r="AJ17" s="4">
        <v>0.25</v>
      </c>
      <c r="AK17" s="4">
        <v>10.42</v>
      </c>
      <c r="AL17" s="4">
        <v>12.05</v>
      </c>
      <c r="AM17" s="4">
        <v>0.36</v>
      </c>
      <c r="AN17" s="4">
        <v>0.03</v>
      </c>
      <c r="AO17" s="4">
        <v>0.34</v>
      </c>
      <c r="AP17" s="4">
        <v>12.39</v>
      </c>
      <c r="AQ17" s="4">
        <v>0</v>
      </c>
      <c r="AR17" s="4">
        <v>0</v>
      </c>
      <c r="AS17" s="4">
        <v>10.050000000000001</v>
      </c>
    </row>
    <row r="18" spans="1:45" x14ac:dyDescent="0.35">
      <c r="A18" s="7"/>
      <c r="B18" s="7"/>
      <c r="C18" s="3" t="s">
        <v>24</v>
      </c>
      <c r="D18" s="4">
        <v>9.26</v>
      </c>
      <c r="E18" s="4">
        <v>0.06</v>
      </c>
      <c r="F18" s="4">
        <v>0.02</v>
      </c>
      <c r="G18" s="4">
        <v>2.04</v>
      </c>
      <c r="H18" s="4">
        <v>5.42</v>
      </c>
      <c r="I18" s="4">
        <v>0.12</v>
      </c>
      <c r="J18" s="4">
        <v>5.54</v>
      </c>
      <c r="K18" s="4">
        <v>1.59</v>
      </c>
      <c r="L18" s="4">
        <v>2.39</v>
      </c>
      <c r="M18" s="4">
        <v>0</v>
      </c>
      <c r="N18" s="4">
        <v>0</v>
      </c>
      <c r="O18" s="4">
        <v>0.4</v>
      </c>
      <c r="P18" s="4">
        <v>0.02</v>
      </c>
      <c r="Q18" s="4">
        <v>0.44</v>
      </c>
      <c r="R18" s="4">
        <v>0.86</v>
      </c>
      <c r="S18" s="4">
        <v>0</v>
      </c>
      <c r="T18" s="4">
        <v>0</v>
      </c>
      <c r="U18" s="4">
        <v>1.52</v>
      </c>
      <c r="V18" s="4">
        <v>6.88</v>
      </c>
      <c r="W18" s="4">
        <v>3.19</v>
      </c>
      <c r="X18" s="4">
        <v>0.33</v>
      </c>
      <c r="Y18" s="4">
        <v>0</v>
      </c>
      <c r="Z18" s="4">
        <v>0</v>
      </c>
      <c r="AA18" s="4">
        <v>0.24</v>
      </c>
      <c r="AB18" s="4">
        <v>1.8</v>
      </c>
      <c r="AC18" s="4">
        <v>0.82</v>
      </c>
      <c r="AD18" s="4">
        <v>3.88</v>
      </c>
      <c r="AE18" s="4">
        <v>0.04</v>
      </c>
      <c r="AF18" s="4">
        <v>0</v>
      </c>
      <c r="AG18" s="4">
        <v>0</v>
      </c>
      <c r="AH18" s="4">
        <v>0.08</v>
      </c>
      <c r="AI18" s="4">
        <v>1.26</v>
      </c>
      <c r="AJ18" s="4">
        <v>0</v>
      </c>
      <c r="AK18" s="4">
        <v>2.5099999999999998</v>
      </c>
      <c r="AL18" s="4">
        <v>6.18</v>
      </c>
      <c r="AM18" s="4">
        <v>0.02</v>
      </c>
      <c r="AN18" s="4">
        <v>0.06</v>
      </c>
      <c r="AO18" s="4">
        <v>-0.04</v>
      </c>
      <c r="AP18" s="4">
        <v>6.14</v>
      </c>
      <c r="AQ18" s="4">
        <v>0</v>
      </c>
      <c r="AR18" s="4">
        <v>0</v>
      </c>
      <c r="AS18" s="4">
        <v>5</v>
      </c>
    </row>
    <row r="19" spans="1:45" x14ac:dyDescent="0.35">
      <c r="A19" s="7" t="s">
        <v>26</v>
      </c>
      <c r="B19" s="7" t="s">
        <v>22</v>
      </c>
      <c r="C19" s="3" t="s">
        <v>21</v>
      </c>
      <c r="D19" s="4">
        <v>11.88</v>
      </c>
      <c r="E19" s="4">
        <v>0.13</v>
      </c>
      <c r="F19" s="4">
        <v>0.13</v>
      </c>
      <c r="G19" s="4">
        <v>0.82</v>
      </c>
      <c r="H19" s="4">
        <v>5.79</v>
      </c>
      <c r="I19" s="4">
        <v>0</v>
      </c>
      <c r="J19" s="4">
        <v>5.8</v>
      </c>
      <c r="K19" s="4">
        <v>5</v>
      </c>
      <c r="L19" s="4">
        <v>7.1</v>
      </c>
      <c r="M19" s="4">
        <v>0</v>
      </c>
      <c r="N19" s="4">
        <v>0.08</v>
      </c>
      <c r="O19" s="4">
        <v>0.23</v>
      </c>
      <c r="P19" s="4">
        <v>0.19</v>
      </c>
      <c r="Q19" s="4">
        <v>1.42</v>
      </c>
      <c r="R19" s="4">
        <v>1.84</v>
      </c>
      <c r="S19" s="4">
        <v>0.02</v>
      </c>
      <c r="T19" s="4">
        <v>0.13</v>
      </c>
      <c r="U19" s="4">
        <v>5.0199999999999996</v>
      </c>
      <c r="V19" s="4">
        <v>4.78</v>
      </c>
      <c r="W19" s="4">
        <v>0.82</v>
      </c>
      <c r="X19" s="4">
        <v>0.02</v>
      </c>
      <c r="Y19" s="4">
        <v>0</v>
      </c>
      <c r="Z19" s="4">
        <v>0</v>
      </c>
      <c r="AA19" s="4">
        <v>0</v>
      </c>
      <c r="AB19" s="4">
        <v>0.38</v>
      </c>
      <c r="AC19" s="4">
        <v>0.41</v>
      </c>
      <c r="AD19" s="4">
        <v>3.74</v>
      </c>
      <c r="AE19" s="4">
        <v>0</v>
      </c>
      <c r="AF19" s="4">
        <v>0</v>
      </c>
      <c r="AG19" s="4">
        <v>0</v>
      </c>
      <c r="AH19" s="4">
        <v>0</v>
      </c>
      <c r="AI19" s="4">
        <v>0.95</v>
      </c>
      <c r="AJ19" s="4">
        <v>0.01</v>
      </c>
      <c r="AK19" s="4">
        <v>2.77</v>
      </c>
      <c r="AL19" s="4">
        <v>1.86</v>
      </c>
      <c r="AM19" s="4">
        <v>0.88</v>
      </c>
      <c r="AN19" s="4">
        <v>0.9</v>
      </c>
      <c r="AO19" s="4">
        <v>-0.02</v>
      </c>
      <c r="AP19" s="4">
        <v>1.84</v>
      </c>
      <c r="AQ19" s="4">
        <v>0</v>
      </c>
      <c r="AR19" s="4">
        <v>0</v>
      </c>
      <c r="AS19" s="4">
        <v>1.51</v>
      </c>
    </row>
    <row r="20" spans="1:45" x14ac:dyDescent="0.35">
      <c r="A20" s="7"/>
      <c r="B20" s="7"/>
      <c r="C20" s="3" t="s">
        <v>24</v>
      </c>
      <c r="D20" s="4">
        <v>16.53</v>
      </c>
      <c r="E20" s="4">
        <v>0.17</v>
      </c>
      <c r="F20" s="4">
        <v>0.09</v>
      </c>
      <c r="G20" s="4">
        <v>1.64</v>
      </c>
      <c r="H20" s="4">
        <v>6.11</v>
      </c>
      <c r="I20" s="4">
        <v>0</v>
      </c>
      <c r="J20" s="4">
        <v>6.12</v>
      </c>
      <c r="K20" s="4">
        <v>8.52</v>
      </c>
      <c r="L20" s="4">
        <v>12.26</v>
      </c>
      <c r="M20" s="4">
        <v>0</v>
      </c>
      <c r="N20" s="4">
        <v>0.14000000000000001</v>
      </c>
      <c r="O20" s="4">
        <v>0.28999999999999998</v>
      </c>
      <c r="P20" s="4">
        <v>0.3</v>
      </c>
      <c r="Q20" s="4">
        <v>2.8</v>
      </c>
      <c r="R20" s="4">
        <v>3.39</v>
      </c>
      <c r="S20" s="4">
        <v>0.15</v>
      </c>
      <c r="T20" s="4">
        <v>7.0000000000000007E-2</v>
      </c>
      <c r="U20" s="4">
        <v>8.52</v>
      </c>
      <c r="V20" s="4">
        <v>4.2699999999999996</v>
      </c>
      <c r="W20" s="4">
        <v>2.0099999999999998</v>
      </c>
      <c r="X20" s="4">
        <v>0.11</v>
      </c>
      <c r="Y20" s="4">
        <v>0</v>
      </c>
      <c r="Z20" s="4">
        <v>0</v>
      </c>
      <c r="AA20" s="4">
        <v>0.08</v>
      </c>
      <c r="AB20" s="4">
        <v>0.68</v>
      </c>
      <c r="AC20" s="4">
        <v>1.1299999999999999</v>
      </c>
      <c r="AD20" s="4">
        <v>4.78</v>
      </c>
      <c r="AE20" s="4">
        <v>0.04</v>
      </c>
      <c r="AF20" s="4">
        <v>0.17</v>
      </c>
      <c r="AG20" s="4">
        <v>0</v>
      </c>
      <c r="AH20" s="4">
        <v>0.05</v>
      </c>
      <c r="AI20" s="4">
        <v>1.54</v>
      </c>
      <c r="AJ20" s="4">
        <v>0.06</v>
      </c>
      <c r="AK20" s="4">
        <v>2.91</v>
      </c>
      <c r="AL20" s="4">
        <v>1.5</v>
      </c>
      <c r="AM20" s="4">
        <v>0.23</v>
      </c>
      <c r="AN20" s="4">
        <v>0.56000000000000005</v>
      </c>
      <c r="AO20" s="4">
        <v>-0.33</v>
      </c>
      <c r="AP20" s="4">
        <v>1.17</v>
      </c>
      <c r="AQ20" s="4">
        <v>0</v>
      </c>
      <c r="AR20" s="4">
        <v>0</v>
      </c>
      <c r="AS20" s="4">
        <v>0.95</v>
      </c>
    </row>
    <row r="21" spans="1:45" x14ac:dyDescent="0.35">
      <c r="A21" s="7"/>
      <c r="B21" s="7"/>
      <c r="C21" s="3" t="s">
        <v>25</v>
      </c>
      <c r="D21" s="4">
        <v>0.4</v>
      </c>
      <c r="E21" s="4">
        <v>0.06</v>
      </c>
      <c r="F21" s="4">
        <v>0.03</v>
      </c>
      <c r="G21" s="4">
        <v>0.19</v>
      </c>
      <c r="H21" s="4">
        <v>0.1</v>
      </c>
      <c r="I21" s="4">
        <v>0.02</v>
      </c>
      <c r="J21" s="4">
        <v>0.12</v>
      </c>
      <c r="K21" s="4">
        <v>0</v>
      </c>
      <c r="L21" s="4">
        <v>0.2</v>
      </c>
      <c r="M21" s="4">
        <v>0</v>
      </c>
      <c r="N21" s="4">
        <v>0.06</v>
      </c>
      <c r="O21" s="4">
        <v>0.05</v>
      </c>
      <c r="P21" s="4">
        <v>0</v>
      </c>
      <c r="Q21" s="4">
        <v>0.02</v>
      </c>
      <c r="R21" s="4">
        <v>0.06</v>
      </c>
      <c r="S21" s="4">
        <v>0</v>
      </c>
      <c r="T21" s="4">
        <v>0</v>
      </c>
      <c r="U21" s="4">
        <v>0.08</v>
      </c>
      <c r="V21" s="4">
        <v>0.2</v>
      </c>
      <c r="W21" s="4">
        <v>9.83</v>
      </c>
      <c r="X21" s="4">
        <v>0.15</v>
      </c>
      <c r="Y21" s="4">
        <v>0</v>
      </c>
      <c r="Z21" s="4">
        <v>0.16</v>
      </c>
      <c r="AA21" s="4">
        <v>9.4700000000000006</v>
      </c>
      <c r="AB21" s="4">
        <v>0.01</v>
      </c>
      <c r="AC21" s="4">
        <v>0.03</v>
      </c>
      <c r="AD21" s="4">
        <v>9.83</v>
      </c>
      <c r="AE21" s="4">
        <v>0.19</v>
      </c>
      <c r="AF21" s="4">
        <v>0</v>
      </c>
      <c r="AG21" s="4">
        <v>0.03</v>
      </c>
      <c r="AH21" s="4">
        <v>9.4499999999999993</v>
      </c>
      <c r="AI21" s="4">
        <v>0.02</v>
      </c>
      <c r="AJ21" s="4">
        <v>0</v>
      </c>
      <c r="AK21" s="4">
        <v>0.14000000000000001</v>
      </c>
      <c r="AL21" s="4">
        <v>0.2</v>
      </c>
      <c r="AM21" s="4">
        <v>0</v>
      </c>
      <c r="AN21" s="4">
        <v>0</v>
      </c>
      <c r="AO21" s="4">
        <v>0</v>
      </c>
      <c r="AP21" s="4">
        <v>0.2</v>
      </c>
      <c r="AQ21" s="4">
        <v>0</v>
      </c>
      <c r="AR21" s="4">
        <v>0</v>
      </c>
      <c r="AS21" s="4">
        <v>0.14000000000000001</v>
      </c>
    </row>
    <row r="22" spans="1:45" x14ac:dyDescent="0.35">
      <c r="A22" s="7"/>
      <c r="B22" s="7" t="s">
        <v>23</v>
      </c>
      <c r="C22" s="3" t="s">
        <v>21</v>
      </c>
      <c r="D22" s="4">
        <v>4.8899999999999997</v>
      </c>
      <c r="E22" s="4">
        <v>0.06</v>
      </c>
      <c r="F22" s="4">
        <v>7.0000000000000007E-2</v>
      </c>
      <c r="G22" s="4">
        <v>0.68</v>
      </c>
      <c r="H22" s="4">
        <v>2.94</v>
      </c>
      <c r="I22" s="4">
        <v>0.02</v>
      </c>
      <c r="J22" s="4">
        <v>2.97</v>
      </c>
      <c r="K22" s="4">
        <v>1.1200000000000001</v>
      </c>
      <c r="L22" s="4">
        <v>2.2999999999999998</v>
      </c>
      <c r="M22" s="4">
        <v>0</v>
      </c>
      <c r="N22" s="4">
        <v>0.04</v>
      </c>
      <c r="O22" s="4">
        <v>0.15</v>
      </c>
      <c r="P22" s="4">
        <v>7.0000000000000007E-2</v>
      </c>
      <c r="Q22" s="4">
        <v>0.83</v>
      </c>
      <c r="R22" s="4">
        <v>1.06</v>
      </c>
      <c r="S22" s="4">
        <v>0.02</v>
      </c>
      <c r="T22" s="4">
        <v>0.08</v>
      </c>
      <c r="U22" s="4">
        <v>1.0900000000000001</v>
      </c>
      <c r="V22" s="4">
        <v>2.6</v>
      </c>
      <c r="W22" s="4">
        <v>0.57999999999999996</v>
      </c>
      <c r="X22" s="4">
        <v>0.04</v>
      </c>
      <c r="Y22" s="4">
        <v>0</v>
      </c>
      <c r="Z22" s="4">
        <v>0</v>
      </c>
      <c r="AA22" s="4">
        <v>0.02</v>
      </c>
      <c r="AB22" s="4">
        <v>0.24</v>
      </c>
      <c r="AC22" s="4">
        <v>0.28000000000000003</v>
      </c>
      <c r="AD22" s="4">
        <v>2.38</v>
      </c>
      <c r="AE22" s="4">
        <v>7.0000000000000007E-2</v>
      </c>
      <c r="AF22" s="4">
        <v>0</v>
      </c>
      <c r="AG22" s="4">
        <v>0</v>
      </c>
      <c r="AH22" s="4">
        <v>0.02</v>
      </c>
      <c r="AI22" s="4">
        <v>0.83</v>
      </c>
      <c r="AJ22" s="4">
        <v>0</v>
      </c>
      <c r="AK22" s="4">
        <v>1.46</v>
      </c>
      <c r="AL22" s="4">
        <v>0.8</v>
      </c>
      <c r="AM22" s="4">
        <v>0.1</v>
      </c>
      <c r="AN22" s="4">
        <v>0.08</v>
      </c>
      <c r="AO22" s="4">
        <v>0.03</v>
      </c>
      <c r="AP22" s="4">
        <v>0.83</v>
      </c>
      <c r="AQ22" s="4">
        <v>0</v>
      </c>
      <c r="AR22" s="4">
        <v>0</v>
      </c>
      <c r="AS22" s="4">
        <v>0.65</v>
      </c>
    </row>
    <row r="23" spans="1:45" x14ac:dyDescent="0.35">
      <c r="A23" s="7"/>
      <c r="B23" s="7"/>
      <c r="C23" s="3" t="s">
        <v>24</v>
      </c>
      <c r="D23" s="4">
        <v>14.9</v>
      </c>
      <c r="E23" s="4">
        <v>0.27</v>
      </c>
      <c r="F23" s="4">
        <v>0.08</v>
      </c>
      <c r="G23" s="4">
        <v>1.44</v>
      </c>
      <c r="H23" s="4">
        <v>8.23</v>
      </c>
      <c r="I23" s="4">
        <v>0.02</v>
      </c>
      <c r="J23" s="4">
        <v>8.25</v>
      </c>
      <c r="K23" s="4">
        <v>4.87</v>
      </c>
      <c r="L23" s="4">
        <v>8.41</v>
      </c>
      <c r="M23" s="4">
        <v>0</v>
      </c>
      <c r="N23" s="4">
        <v>0.25</v>
      </c>
      <c r="O23" s="4">
        <v>0.37</v>
      </c>
      <c r="P23" s="4">
        <v>0.34</v>
      </c>
      <c r="Q23" s="4">
        <v>2.29</v>
      </c>
      <c r="R23" s="4">
        <v>2.99</v>
      </c>
      <c r="S23" s="4">
        <v>0.14000000000000001</v>
      </c>
      <c r="T23" s="4">
        <v>0.25</v>
      </c>
      <c r="U23" s="4">
        <v>4.7699999999999996</v>
      </c>
      <c r="V23" s="4">
        <v>6.49</v>
      </c>
      <c r="W23" s="4">
        <v>5.88</v>
      </c>
      <c r="X23" s="4">
        <v>1.47</v>
      </c>
      <c r="Y23" s="4">
        <v>0</v>
      </c>
      <c r="Z23" s="4">
        <v>0</v>
      </c>
      <c r="AA23" s="4">
        <v>2.16</v>
      </c>
      <c r="AB23" s="4">
        <v>0.48</v>
      </c>
      <c r="AC23" s="4">
        <v>1.78</v>
      </c>
      <c r="AD23" s="4">
        <v>10.25</v>
      </c>
      <c r="AE23" s="4">
        <v>1.4</v>
      </c>
      <c r="AF23" s="4">
        <v>0</v>
      </c>
      <c r="AG23" s="4">
        <v>0</v>
      </c>
      <c r="AH23" s="4">
        <v>1.83</v>
      </c>
      <c r="AI23" s="4">
        <v>3.66</v>
      </c>
      <c r="AJ23" s="4">
        <v>0.09</v>
      </c>
      <c r="AK23" s="4">
        <v>3.27</v>
      </c>
      <c r="AL23" s="4">
        <v>2.12</v>
      </c>
      <c r="AM23" s="4">
        <v>0.75</v>
      </c>
      <c r="AN23" s="4">
        <v>0.98</v>
      </c>
      <c r="AO23" s="4">
        <v>-0.23</v>
      </c>
      <c r="AP23" s="4">
        <v>1.89</v>
      </c>
      <c r="AQ23" s="4">
        <v>0</v>
      </c>
      <c r="AR23" s="4">
        <v>0</v>
      </c>
      <c r="AS23" s="4">
        <v>1.46</v>
      </c>
    </row>
    <row r="24" spans="1:45" x14ac:dyDescent="0.35">
      <c r="A24" s="7"/>
      <c r="B24" s="7"/>
      <c r="C24" s="3" t="s">
        <v>25</v>
      </c>
      <c r="D24" s="4">
        <v>4.03</v>
      </c>
      <c r="E24" s="4">
        <v>0.27</v>
      </c>
      <c r="F24" s="4">
        <v>0.28999999999999998</v>
      </c>
      <c r="G24" s="4">
        <v>1.31</v>
      </c>
      <c r="H24" s="4">
        <v>1.92</v>
      </c>
      <c r="I24" s="4">
        <v>0.2</v>
      </c>
      <c r="J24" s="4">
        <v>2.12</v>
      </c>
      <c r="K24" s="4">
        <v>0.05</v>
      </c>
      <c r="L24" s="4">
        <v>0.91</v>
      </c>
      <c r="M24" s="4">
        <v>0</v>
      </c>
      <c r="N24" s="4">
        <v>0.14000000000000001</v>
      </c>
      <c r="O24" s="4">
        <v>0.35</v>
      </c>
      <c r="P24" s="4">
        <v>0.03</v>
      </c>
      <c r="Q24" s="4">
        <v>0.28000000000000003</v>
      </c>
      <c r="R24" s="4">
        <v>0.66</v>
      </c>
      <c r="S24" s="4">
        <v>0.09</v>
      </c>
      <c r="T24" s="4">
        <v>0</v>
      </c>
      <c r="U24" s="4">
        <v>0.01</v>
      </c>
      <c r="V24" s="4">
        <v>3.12</v>
      </c>
      <c r="W24" s="4">
        <v>42.35</v>
      </c>
      <c r="X24" s="4">
        <v>0.32</v>
      </c>
      <c r="Y24" s="4">
        <v>0</v>
      </c>
      <c r="Z24" s="4">
        <v>0</v>
      </c>
      <c r="AA24" s="4">
        <v>41.56</v>
      </c>
      <c r="AB24" s="4">
        <v>0.37</v>
      </c>
      <c r="AC24" s="4">
        <v>7.0000000000000007E-2</v>
      </c>
      <c r="AD24" s="4">
        <v>43.31</v>
      </c>
      <c r="AE24" s="4">
        <v>0.34</v>
      </c>
      <c r="AF24" s="4">
        <v>0</v>
      </c>
      <c r="AG24" s="4">
        <v>0.02</v>
      </c>
      <c r="AH24" s="4">
        <v>41.15</v>
      </c>
      <c r="AI24" s="4">
        <v>0.37</v>
      </c>
      <c r="AJ24" s="4">
        <v>0.15</v>
      </c>
      <c r="AK24" s="4">
        <v>1.27</v>
      </c>
      <c r="AL24" s="4">
        <v>2.16</v>
      </c>
      <c r="AM24" s="4">
        <v>0.31</v>
      </c>
      <c r="AN24" s="4">
        <v>0</v>
      </c>
      <c r="AO24" s="4">
        <v>0.31</v>
      </c>
      <c r="AP24" s="4">
        <v>2.4700000000000002</v>
      </c>
      <c r="AQ24" s="4">
        <v>-0.04</v>
      </c>
      <c r="AR24" s="4">
        <v>-0.04</v>
      </c>
      <c r="AS24" s="4">
        <v>1.85</v>
      </c>
    </row>
    <row r="25" spans="1:45" x14ac:dyDescent="0.35">
      <c r="A25" s="7"/>
      <c r="B25" s="7" t="s">
        <v>19</v>
      </c>
      <c r="C25" s="3" t="s">
        <v>18</v>
      </c>
      <c r="D25" s="4">
        <v>12.72</v>
      </c>
      <c r="E25" s="4">
        <v>0.16</v>
      </c>
      <c r="F25" s="4">
        <v>0</v>
      </c>
      <c r="G25" s="4">
        <v>0.65</v>
      </c>
      <c r="H25" s="4">
        <v>8.49</v>
      </c>
      <c r="I25" s="4">
        <v>7.0000000000000007E-2</v>
      </c>
      <c r="J25" s="4">
        <v>8.56</v>
      </c>
      <c r="K25" s="4">
        <v>3.34</v>
      </c>
      <c r="L25" s="4">
        <v>6.86</v>
      </c>
      <c r="M25" s="4">
        <v>0</v>
      </c>
      <c r="N25" s="4">
        <v>0</v>
      </c>
      <c r="O25" s="4">
        <v>0.56999999999999995</v>
      </c>
      <c r="P25" s="4">
        <v>0.14000000000000001</v>
      </c>
      <c r="Q25" s="4">
        <v>2.4</v>
      </c>
      <c r="R25" s="4">
        <v>3.11</v>
      </c>
      <c r="S25" s="4">
        <v>0.11</v>
      </c>
      <c r="T25" s="4">
        <v>0.31</v>
      </c>
      <c r="U25" s="4">
        <v>3.32</v>
      </c>
      <c r="V25" s="4">
        <v>5.86</v>
      </c>
      <c r="W25" s="4">
        <v>14.73</v>
      </c>
      <c r="X25" s="4">
        <v>0.54</v>
      </c>
      <c r="Y25" s="4">
        <v>0</v>
      </c>
      <c r="Z25" s="4">
        <v>0</v>
      </c>
      <c r="AA25" s="4">
        <v>12.77</v>
      </c>
      <c r="AB25" s="4">
        <v>0.9</v>
      </c>
      <c r="AC25" s="4">
        <v>0.52</v>
      </c>
      <c r="AD25" s="4">
        <v>18.170000000000002</v>
      </c>
      <c r="AE25" s="4">
        <v>0.05</v>
      </c>
      <c r="AF25" s="4">
        <v>0</v>
      </c>
      <c r="AG25" s="4">
        <v>0</v>
      </c>
      <c r="AH25" s="4">
        <v>12.68</v>
      </c>
      <c r="AI25" s="4">
        <v>1.9</v>
      </c>
      <c r="AJ25" s="4">
        <v>0.02</v>
      </c>
      <c r="AK25" s="4">
        <v>3.53</v>
      </c>
      <c r="AL25" s="4">
        <v>2.42</v>
      </c>
      <c r="AM25" s="4">
        <v>0.01</v>
      </c>
      <c r="AN25" s="4">
        <v>0.06</v>
      </c>
      <c r="AO25" s="4">
        <v>-0.04</v>
      </c>
      <c r="AP25" s="4">
        <v>2.37</v>
      </c>
      <c r="AQ25" s="4">
        <v>0</v>
      </c>
      <c r="AR25" s="4">
        <v>0</v>
      </c>
      <c r="AS25" s="4">
        <v>1.86</v>
      </c>
    </row>
    <row r="26" spans="1:45" x14ac:dyDescent="0.35">
      <c r="A26" s="7"/>
      <c r="B26" s="7"/>
      <c r="C26" s="3" t="s">
        <v>21</v>
      </c>
      <c r="D26" s="4">
        <v>4.03</v>
      </c>
      <c r="E26" s="4">
        <v>0.03</v>
      </c>
      <c r="F26" s="4">
        <v>0</v>
      </c>
      <c r="G26" s="4">
        <v>0.22</v>
      </c>
      <c r="H26" s="4">
        <v>1.86</v>
      </c>
      <c r="I26" s="4">
        <v>0.02</v>
      </c>
      <c r="J26" s="4">
        <v>1.89</v>
      </c>
      <c r="K26" s="4">
        <v>1.89</v>
      </c>
      <c r="L26" s="4">
        <v>2.89</v>
      </c>
      <c r="M26" s="4">
        <v>0</v>
      </c>
      <c r="N26" s="4">
        <v>0.05</v>
      </c>
      <c r="O26" s="4">
        <v>0.05</v>
      </c>
      <c r="P26" s="4">
        <v>0.1</v>
      </c>
      <c r="Q26" s="4">
        <v>0.56000000000000005</v>
      </c>
      <c r="R26" s="4">
        <v>0.71</v>
      </c>
      <c r="S26" s="4">
        <v>0.09</v>
      </c>
      <c r="T26" s="4">
        <v>0.12</v>
      </c>
      <c r="U26" s="4">
        <v>1.93</v>
      </c>
      <c r="V26" s="4">
        <v>1.1399999999999999</v>
      </c>
      <c r="W26" s="4">
        <v>0.61</v>
      </c>
      <c r="X26" s="4">
        <v>7.0000000000000007E-2</v>
      </c>
      <c r="Y26" s="4">
        <v>0</v>
      </c>
      <c r="Z26" s="4">
        <v>0</v>
      </c>
      <c r="AA26" s="4">
        <v>0.17</v>
      </c>
      <c r="AB26" s="4">
        <v>0.23</v>
      </c>
      <c r="AC26" s="4">
        <v>0.14000000000000001</v>
      </c>
      <c r="AD26" s="4">
        <v>1.43</v>
      </c>
      <c r="AE26" s="4">
        <v>0.01</v>
      </c>
      <c r="AF26" s="4">
        <v>0</v>
      </c>
      <c r="AG26" s="4">
        <v>0</v>
      </c>
      <c r="AH26" s="4">
        <v>0.17</v>
      </c>
      <c r="AI26" s="4">
        <v>0.36</v>
      </c>
      <c r="AJ26" s="4">
        <v>0</v>
      </c>
      <c r="AK26" s="4">
        <v>0.88</v>
      </c>
      <c r="AL26" s="4">
        <v>0.32</v>
      </c>
      <c r="AM26" s="4">
        <v>0</v>
      </c>
      <c r="AN26" s="4">
        <v>0</v>
      </c>
      <c r="AO26" s="4">
        <v>0</v>
      </c>
      <c r="AP26" s="4">
        <v>0.32</v>
      </c>
      <c r="AQ26" s="4">
        <v>0</v>
      </c>
      <c r="AR26" s="4">
        <v>0</v>
      </c>
      <c r="AS26" s="4">
        <v>0.26</v>
      </c>
    </row>
    <row r="27" spans="1:45" x14ac:dyDescent="0.35">
      <c r="A27" s="7"/>
      <c r="B27" s="7"/>
      <c r="C27" s="3" t="s">
        <v>24</v>
      </c>
      <c r="D27" s="4">
        <v>37.67</v>
      </c>
      <c r="E27" s="4">
        <v>0.5</v>
      </c>
      <c r="F27" s="4">
        <v>0.17</v>
      </c>
      <c r="G27" s="4">
        <v>5.67</v>
      </c>
      <c r="H27" s="4">
        <v>18.809999999999999</v>
      </c>
      <c r="I27" s="4">
        <v>0.21</v>
      </c>
      <c r="J27" s="4">
        <v>19.010000000000002</v>
      </c>
      <c r="K27" s="4">
        <v>12.31</v>
      </c>
      <c r="L27" s="4">
        <v>23.21</v>
      </c>
      <c r="M27" s="4">
        <v>0</v>
      </c>
      <c r="N27" s="4">
        <v>0.27</v>
      </c>
      <c r="O27" s="4">
        <v>2.27</v>
      </c>
      <c r="P27" s="4">
        <v>1.0900000000000001</v>
      </c>
      <c r="Q27" s="4">
        <v>6.73</v>
      </c>
      <c r="R27" s="4">
        <v>10.1</v>
      </c>
      <c r="S27" s="4">
        <v>0.19</v>
      </c>
      <c r="T27" s="4">
        <v>0.73</v>
      </c>
      <c r="U27" s="4">
        <v>11.93</v>
      </c>
      <c r="V27" s="4">
        <v>14.45</v>
      </c>
      <c r="W27" s="4">
        <v>13.21</v>
      </c>
      <c r="X27" s="4">
        <v>1.68</v>
      </c>
      <c r="Y27" s="4">
        <v>0</v>
      </c>
      <c r="Z27" s="4">
        <v>0.04</v>
      </c>
      <c r="AA27" s="4">
        <v>5.46</v>
      </c>
      <c r="AB27" s="4">
        <v>2.98</v>
      </c>
      <c r="AC27" s="4">
        <v>3.05</v>
      </c>
      <c r="AD27" s="4">
        <v>20.74</v>
      </c>
      <c r="AE27" s="4">
        <v>0.63</v>
      </c>
      <c r="AF27" s="4">
        <v>0</v>
      </c>
      <c r="AG27" s="4">
        <v>0</v>
      </c>
      <c r="AH27" s="4">
        <v>4.91</v>
      </c>
      <c r="AI27" s="4">
        <v>4.8600000000000003</v>
      </c>
      <c r="AJ27" s="4">
        <v>0.56000000000000005</v>
      </c>
      <c r="AK27" s="4">
        <v>9.7799999999999994</v>
      </c>
      <c r="AL27" s="4">
        <v>6.93</v>
      </c>
      <c r="AM27" s="4">
        <v>15</v>
      </c>
      <c r="AN27" s="4">
        <v>14.79</v>
      </c>
      <c r="AO27" s="4">
        <v>0.21</v>
      </c>
      <c r="AP27" s="4">
        <v>7.14</v>
      </c>
      <c r="AQ27" s="4">
        <v>0</v>
      </c>
      <c r="AR27" s="4">
        <v>0</v>
      </c>
      <c r="AS27" s="4">
        <v>5.63</v>
      </c>
    </row>
    <row r="28" spans="1:45" x14ac:dyDescent="0.35">
      <c r="A28" s="7"/>
      <c r="B28" s="7" t="s">
        <v>20</v>
      </c>
      <c r="C28" s="3" t="s">
        <v>18</v>
      </c>
      <c r="D28" s="4">
        <v>60.24</v>
      </c>
      <c r="E28" s="4">
        <v>0.64</v>
      </c>
      <c r="F28" s="4">
        <v>1.0900000000000001</v>
      </c>
      <c r="G28" s="4">
        <v>5.9</v>
      </c>
      <c r="H28" s="4">
        <v>50.2</v>
      </c>
      <c r="I28" s="4">
        <v>0.51</v>
      </c>
      <c r="J28" s="4">
        <v>50.71</v>
      </c>
      <c r="K28" s="4">
        <v>1.89</v>
      </c>
      <c r="L28" s="4">
        <v>20.440000000000001</v>
      </c>
      <c r="M28" s="4">
        <v>0</v>
      </c>
      <c r="N28" s="4">
        <v>0.33</v>
      </c>
      <c r="O28" s="4">
        <v>5.7</v>
      </c>
      <c r="P28" s="4">
        <v>1.1399999999999999</v>
      </c>
      <c r="Q28" s="4">
        <v>8.2799999999999994</v>
      </c>
      <c r="R28" s="4">
        <v>15.12</v>
      </c>
      <c r="S28" s="4">
        <v>1</v>
      </c>
      <c r="T28" s="4">
        <v>1.76</v>
      </c>
      <c r="U28" s="4">
        <v>2.23</v>
      </c>
      <c r="V28" s="4">
        <v>39.799999999999997</v>
      </c>
      <c r="W28" s="4">
        <v>128.29</v>
      </c>
      <c r="X28" s="4">
        <v>1.96</v>
      </c>
      <c r="Y28" s="4">
        <v>0</v>
      </c>
      <c r="Z28" s="4">
        <v>0</v>
      </c>
      <c r="AA28" s="4">
        <v>103.8</v>
      </c>
      <c r="AB28" s="4">
        <v>8.89</v>
      </c>
      <c r="AC28" s="4">
        <v>13.64</v>
      </c>
      <c r="AD28" s="4">
        <v>144.47</v>
      </c>
      <c r="AE28" s="4">
        <v>0.11</v>
      </c>
      <c r="AF28" s="4">
        <v>0</v>
      </c>
      <c r="AG28" s="4">
        <v>0</v>
      </c>
      <c r="AH28" s="4">
        <v>103.83</v>
      </c>
      <c r="AI28" s="4">
        <v>20.59</v>
      </c>
      <c r="AJ28" s="4">
        <v>0.45</v>
      </c>
      <c r="AK28" s="4">
        <v>19.489999999999998</v>
      </c>
      <c r="AL28" s="4">
        <v>23.62</v>
      </c>
      <c r="AM28" s="4">
        <v>1.0900000000000001</v>
      </c>
      <c r="AN28" s="4">
        <v>0.06</v>
      </c>
      <c r="AO28" s="4">
        <v>1.03</v>
      </c>
      <c r="AP28" s="4">
        <v>24.65</v>
      </c>
      <c r="AQ28" s="4">
        <v>0</v>
      </c>
      <c r="AR28" s="4">
        <v>0</v>
      </c>
      <c r="AS28" s="4">
        <v>20.010000000000002</v>
      </c>
    </row>
    <row r="29" spans="1:45" x14ac:dyDescent="0.35">
      <c r="A29" s="7"/>
      <c r="B29" s="7"/>
      <c r="C29" s="3" t="s">
        <v>24</v>
      </c>
      <c r="D29" s="4">
        <v>18.03</v>
      </c>
      <c r="E29" s="4">
        <v>0.11</v>
      </c>
      <c r="F29" s="4">
        <v>0.06</v>
      </c>
      <c r="G29" s="4">
        <v>3.97</v>
      </c>
      <c r="H29" s="4">
        <v>10.49</v>
      </c>
      <c r="I29" s="4">
        <v>0.23</v>
      </c>
      <c r="J29" s="4">
        <v>10.72</v>
      </c>
      <c r="K29" s="4">
        <v>3.17</v>
      </c>
      <c r="L29" s="4">
        <v>4.7300000000000004</v>
      </c>
      <c r="M29" s="4">
        <v>0</v>
      </c>
      <c r="N29" s="4">
        <v>0</v>
      </c>
      <c r="O29" s="4">
        <v>0.78</v>
      </c>
      <c r="P29" s="4">
        <v>0.06</v>
      </c>
      <c r="Q29" s="4">
        <v>0.83</v>
      </c>
      <c r="R29" s="4">
        <v>1.66</v>
      </c>
      <c r="S29" s="4">
        <v>0</v>
      </c>
      <c r="T29" s="4">
        <v>0</v>
      </c>
      <c r="U29" s="4">
        <v>3.06</v>
      </c>
      <c r="V29" s="4">
        <v>13.3</v>
      </c>
      <c r="W29" s="4">
        <v>5.7</v>
      </c>
      <c r="X29" s="4">
        <v>0.55000000000000004</v>
      </c>
      <c r="Y29" s="4">
        <v>0</v>
      </c>
      <c r="Z29" s="4">
        <v>0</v>
      </c>
      <c r="AA29" s="4">
        <v>0.35</v>
      </c>
      <c r="AB29" s="4">
        <v>3.42</v>
      </c>
      <c r="AC29" s="4">
        <v>1.38</v>
      </c>
      <c r="AD29" s="4">
        <v>7.54</v>
      </c>
      <c r="AE29" s="4">
        <v>0.03</v>
      </c>
      <c r="AF29" s="4">
        <v>0</v>
      </c>
      <c r="AG29" s="4">
        <v>0</v>
      </c>
      <c r="AH29" s="4">
        <v>0.06</v>
      </c>
      <c r="AI29" s="4">
        <v>2.0699999999999998</v>
      </c>
      <c r="AJ29" s="4">
        <v>0</v>
      </c>
      <c r="AK29" s="4">
        <v>5.37</v>
      </c>
      <c r="AL29" s="4">
        <v>11.46</v>
      </c>
      <c r="AM29" s="4">
        <v>0.03</v>
      </c>
      <c r="AN29" s="4">
        <v>0.14000000000000001</v>
      </c>
      <c r="AO29" s="4">
        <v>-0.11</v>
      </c>
      <c r="AP29" s="4">
        <v>11.35</v>
      </c>
      <c r="AQ29" s="4">
        <v>0</v>
      </c>
      <c r="AR29" s="4">
        <v>0</v>
      </c>
      <c r="AS29" s="4">
        <v>9.23</v>
      </c>
    </row>
    <row r="30" spans="1:45" x14ac:dyDescent="0.35">
      <c r="A30" s="7" t="s">
        <v>27</v>
      </c>
      <c r="B30" s="7" t="s">
        <v>22</v>
      </c>
      <c r="C30" s="3" t="s">
        <v>21</v>
      </c>
      <c r="D30" s="4">
        <v>18.3</v>
      </c>
      <c r="E30" s="4">
        <v>0.16</v>
      </c>
      <c r="F30" s="4">
        <v>0.2</v>
      </c>
      <c r="G30" s="4">
        <v>1.27</v>
      </c>
      <c r="H30" s="4">
        <v>8.94</v>
      </c>
      <c r="I30" s="4">
        <v>0.01</v>
      </c>
      <c r="J30" s="4">
        <v>8.9499999999999993</v>
      </c>
      <c r="K30" s="4">
        <v>7.72</v>
      </c>
      <c r="L30" s="4">
        <v>10.86</v>
      </c>
      <c r="M30" s="4">
        <v>0</v>
      </c>
      <c r="N30" s="4">
        <v>0.13</v>
      </c>
      <c r="O30" s="4">
        <v>0.35</v>
      </c>
      <c r="P30" s="4">
        <v>0.28000000000000003</v>
      </c>
      <c r="Q30" s="4">
        <v>2.13</v>
      </c>
      <c r="R30" s="4">
        <v>2.75</v>
      </c>
      <c r="S30" s="4">
        <v>0.04</v>
      </c>
      <c r="T30" s="4">
        <v>0.2</v>
      </c>
      <c r="U30" s="4">
        <v>7.73</v>
      </c>
      <c r="V30" s="4">
        <v>7.44</v>
      </c>
      <c r="W30" s="4">
        <v>1.36</v>
      </c>
      <c r="X30" s="4">
        <v>0.02</v>
      </c>
      <c r="Y30" s="4">
        <v>0</v>
      </c>
      <c r="Z30" s="4">
        <v>0</v>
      </c>
      <c r="AA30" s="4">
        <v>0</v>
      </c>
      <c r="AB30" s="4">
        <v>0.6</v>
      </c>
      <c r="AC30" s="4">
        <v>0.72</v>
      </c>
      <c r="AD30" s="4">
        <v>5.76</v>
      </c>
      <c r="AE30" s="4">
        <v>0.02</v>
      </c>
      <c r="AF30" s="4">
        <v>0</v>
      </c>
      <c r="AG30" s="4">
        <v>0</v>
      </c>
      <c r="AH30" s="4">
        <v>0</v>
      </c>
      <c r="AI30" s="4">
        <v>1.06</v>
      </c>
      <c r="AJ30" s="4">
        <v>0.02</v>
      </c>
      <c r="AK30" s="4">
        <v>4.6399999999999997</v>
      </c>
      <c r="AL30" s="4">
        <v>3.04</v>
      </c>
      <c r="AM30" s="4">
        <v>1.32</v>
      </c>
      <c r="AN30" s="4">
        <v>1.35</v>
      </c>
      <c r="AO30" s="4">
        <v>-0.02</v>
      </c>
      <c r="AP30" s="4">
        <v>3.02</v>
      </c>
      <c r="AQ30" s="4">
        <v>0</v>
      </c>
      <c r="AR30" s="4">
        <v>0</v>
      </c>
      <c r="AS30" s="4">
        <v>2.52</v>
      </c>
    </row>
    <row r="31" spans="1:45" x14ac:dyDescent="0.35">
      <c r="A31" s="7"/>
      <c r="B31" s="7"/>
      <c r="C31" s="3" t="s">
        <v>24</v>
      </c>
      <c r="D31" s="4">
        <v>25.21</v>
      </c>
      <c r="E31" s="4">
        <v>0.23</v>
      </c>
      <c r="F31" s="4">
        <v>0.14000000000000001</v>
      </c>
      <c r="G31" s="4">
        <v>2.5099999999999998</v>
      </c>
      <c r="H31" s="4">
        <v>9.31</v>
      </c>
      <c r="I31" s="4">
        <v>0.01</v>
      </c>
      <c r="J31" s="4">
        <v>9.32</v>
      </c>
      <c r="K31" s="4">
        <v>13.01</v>
      </c>
      <c r="L31" s="4">
        <v>18.71</v>
      </c>
      <c r="M31" s="4">
        <v>0</v>
      </c>
      <c r="N31" s="4">
        <v>0.22</v>
      </c>
      <c r="O31" s="4">
        <v>0.43</v>
      </c>
      <c r="P31" s="4">
        <v>0.45</v>
      </c>
      <c r="Q31" s="4">
        <v>4.21</v>
      </c>
      <c r="R31" s="4">
        <v>5.0999999999999996</v>
      </c>
      <c r="S31" s="4">
        <v>0.25</v>
      </c>
      <c r="T31" s="4">
        <v>0.11</v>
      </c>
      <c r="U31" s="4">
        <v>13.03</v>
      </c>
      <c r="V31" s="4">
        <v>6.5</v>
      </c>
      <c r="W31" s="4">
        <v>2.89</v>
      </c>
      <c r="X31" s="4">
        <v>0.13</v>
      </c>
      <c r="Y31" s="4">
        <v>0</v>
      </c>
      <c r="Z31" s="4">
        <v>0</v>
      </c>
      <c r="AA31" s="4">
        <v>0.13</v>
      </c>
      <c r="AB31" s="4">
        <v>0.96</v>
      </c>
      <c r="AC31" s="4">
        <v>1.65</v>
      </c>
      <c r="AD31" s="4">
        <v>7.25</v>
      </c>
      <c r="AE31" s="4">
        <v>0.1</v>
      </c>
      <c r="AF31" s="4">
        <v>0.26</v>
      </c>
      <c r="AG31" s="4">
        <v>0</v>
      </c>
      <c r="AH31" s="4">
        <v>0.11</v>
      </c>
      <c r="AI31" s="4">
        <v>2.2799999999999998</v>
      </c>
      <c r="AJ31" s="4">
        <v>0.09</v>
      </c>
      <c r="AK31" s="4">
        <v>4.41</v>
      </c>
      <c r="AL31" s="4">
        <v>2.14</v>
      </c>
      <c r="AM31" s="4">
        <v>0.57999999999999996</v>
      </c>
      <c r="AN31" s="4">
        <v>0.89</v>
      </c>
      <c r="AO31" s="4">
        <v>-0.31</v>
      </c>
      <c r="AP31" s="4">
        <v>1.82</v>
      </c>
      <c r="AQ31" s="4">
        <v>0</v>
      </c>
      <c r="AR31" s="4">
        <v>0</v>
      </c>
      <c r="AS31" s="4">
        <v>1.48</v>
      </c>
    </row>
    <row r="32" spans="1:45" x14ac:dyDescent="0.35">
      <c r="A32" s="7"/>
      <c r="B32" s="7"/>
      <c r="C32" s="3" t="s">
        <v>25</v>
      </c>
      <c r="D32" s="4">
        <v>0.63</v>
      </c>
      <c r="E32" s="4">
        <v>0.08</v>
      </c>
      <c r="F32" s="4">
        <v>0.05</v>
      </c>
      <c r="G32" s="4">
        <v>0.31</v>
      </c>
      <c r="H32" s="4">
        <v>0.15</v>
      </c>
      <c r="I32" s="4">
        <v>0.04</v>
      </c>
      <c r="J32" s="4">
        <v>0.18</v>
      </c>
      <c r="K32" s="4">
        <v>0</v>
      </c>
      <c r="L32" s="4">
        <v>0.32</v>
      </c>
      <c r="M32" s="4">
        <v>0</v>
      </c>
      <c r="N32" s="4">
        <v>0.1</v>
      </c>
      <c r="O32" s="4">
        <v>7.0000000000000007E-2</v>
      </c>
      <c r="P32" s="4">
        <v>0</v>
      </c>
      <c r="Q32" s="4">
        <v>0.03</v>
      </c>
      <c r="R32" s="4">
        <v>0.09</v>
      </c>
      <c r="S32" s="4">
        <v>0</v>
      </c>
      <c r="T32" s="4">
        <v>0</v>
      </c>
      <c r="U32" s="4">
        <v>0.13</v>
      </c>
      <c r="V32" s="4">
        <v>0.3</v>
      </c>
      <c r="W32" s="4">
        <v>12.34</v>
      </c>
      <c r="X32" s="4">
        <v>0.1</v>
      </c>
      <c r="Y32" s="4">
        <v>0</v>
      </c>
      <c r="Z32" s="4">
        <v>0.31</v>
      </c>
      <c r="AA32" s="4">
        <v>11.86</v>
      </c>
      <c r="AB32" s="4">
        <v>0.02</v>
      </c>
      <c r="AC32" s="4">
        <v>0.04</v>
      </c>
      <c r="AD32" s="4">
        <v>12.54</v>
      </c>
      <c r="AE32" s="4">
        <v>0.33</v>
      </c>
      <c r="AF32" s="4">
        <v>0</v>
      </c>
      <c r="AG32" s="4">
        <v>0.03</v>
      </c>
      <c r="AH32" s="4">
        <v>11.93</v>
      </c>
      <c r="AI32" s="4">
        <v>0.04</v>
      </c>
      <c r="AJ32" s="4">
        <v>0</v>
      </c>
      <c r="AK32" s="4">
        <v>0.21</v>
      </c>
      <c r="AL32" s="4">
        <v>0.1</v>
      </c>
      <c r="AM32" s="4">
        <v>0</v>
      </c>
      <c r="AN32" s="4">
        <v>0</v>
      </c>
      <c r="AO32" s="4">
        <v>0</v>
      </c>
      <c r="AP32" s="4">
        <v>0.1</v>
      </c>
      <c r="AQ32" s="4">
        <v>0</v>
      </c>
      <c r="AR32" s="4">
        <v>0</v>
      </c>
      <c r="AS32" s="4">
        <v>0.05</v>
      </c>
    </row>
    <row r="33" spans="1:45" x14ac:dyDescent="0.35">
      <c r="A33" s="7"/>
      <c r="B33" s="7" t="s">
        <v>23</v>
      </c>
      <c r="C33" s="3" t="s">
        <v>21</v>
      </c>
      <c r="D33" s="4">
        <v>7.37</v>
      </c>
      <c r="E33" s="4">
        <v>7.0000000000000007E-2</v>
      </c>
      <c r="F33" s="4">
        <v>0.11</v>
      </c>
      <c r="G33" s="4">
        <v>1.04</v>
      </c>
      <c r="H33" s="4">
        <v>4.53</v>
      </c>
      <c r="I33" s="4">
        <v>0.03</v>
      </c>
      <c r="J33" s="4">
        <v>4.5599999999999996</v>
      </c>
      <c r="K33" s="4">
        <v>1.59</v>
      </c>
      <c r="L33" s="4">
        <v>3.36</v>
      </c>
      <c r="M33" s="4">
        <v>0</v>
      </c>
      <c r="N33" s="4">
        <v>0.09</v>
      </c>
      <c r="O33" s="4">
        <v>0.21</v>
      </c>
      <c r="P33" s="4">
        <v>0.11</v>
      </c>
      <c r="Q33" s="4">
        <v>1.24</v>
      </c>
      <c r="R33" s="4">
        <v>1.57</v>
      </c>
      <c r="S33" s="4">
        <v>0.04</v>
      </c>
      <c r="T33" s="4">
        <v>0.12</v>
      </c>
      <c r="U33" s="4">
        <v>1.55</v>
      </c>
      <c r="V33" s="4">
        <v>4</v>
      </c>
      <c r="W33" s="4">
        <v>0.93</v>
      </c>
      <c r="X33" s="4">
        <v>7.0000000000000007E-2</v>
      </c>
      <c r="Y33" s="4">
        <v>0</v>
      </c>
      <c r="Z33" s="4">
        <v>0</v>
      </c>
      <c r="AA33" s="4">
        <v>0.03</v>
      </c>
      <c r="AB33" s="4">
        <v>0.38</v>
      </c>
      <c r="AC33" s="4">
        <v>0.44</v>
      </c>
      <c r="AD33" s="4">
        <v>3.82</v>
      </c>
      <c r="AE33" s="4">
        <v>0.14000000000000001</v>
      </c>
      <c r="AF33" s="4">
        <v>0</v>
      </c>
      <c r="AG33" s="4">
        <v>0</v>
      </c>
      <c r="AH33" s="4">
        <v>0.03</v>
      </c>
      <c r="AI33" s="4">
        <v>1.21</v>
      </c>
      <c r="AJ33" s="4">
        <v>0</v>
      </c>
      <c r="AK33" s="4">
        <v>2.4300000000000002</v>
      </c>
      <c r="AL33" s="4">
        <v>1.1200000000000001</v>
      </c>
      <c r="AM33" s="4">
        <v>0.25</v>
      </c>
      <c r="AN33" s="4">
        <v>0.12</v>
      </c>
      <c r="AO33" s="4">
        <v>0.13</v>
      </c>
      <c r="AP33" s="4">
        <v>1.25</v>
      </c>
      <c r="AQ33" s="4">
        <v>0</v>
      </c>
      <c r="AR33" s="4">
        <v>0</v>
      </c>
      <c r="AS33" s="4">
        <v>0.98</v>
      </c>
    </row>
    <row r="34" spans="1:45" x14ac:dyDescent="0.35">
      <c r="A34" s="7"/>
      <c r="B34" s="7"/>
      <c r="C34" s="3" t="s">
        <v>24</v>
      </c>
      <c r="D34" s="4">
        <v>22.99</v>
      </c>
      <c r="E34" s="4">
        <v>0.36</v>
      </c>
      <c r="F34" s="4">
        <v>0.14000000000000001</v>
      </c>
      <c r="G34" s="4">
        <v>2.1800000000000002</v>
      </c>
      <c r="H34" s="4">
        <v>12.65</v>
      </c>
      <c r="I34" s="4">
        <v>0.03</v>
      </c>
      <c r="J34" s="4">
        <v>12.68</v>
      </c>
      <c r="K34" s="4">
        <v>7.63</v>
      </c>
      <c r="L34" s="4">
        <v>13.02</v>
      </c>
      <c r="M34" s="4">
        <v>0</v>
      </c>
      <c r="N34" s="4">
        <v>0.37</v>
      </c>
      <c r="O34" s="4">
        <v>0.55000000000000004</v>
      </c>
      <c r="P34" s="4">
        <v>0.52</v>
      </c>
      <c r="Q34" s="4">
        <v>3.42</v>
      </c>
      <c r="R34" s="4">
        <v>4.5</v>
      </c>
      <c r="S34" s="4">
        <v>0.22</v>
      </c>
      <c r="T34" s="4">
        <v>0.4</v>
      </c>
      <c r="U34" s="4">
        <v>7.53</v>
      </c>
      <c r="V34" s="4">
        <v>9.9700000000000006</v>
      </c>
      <c r="W34" s="4">
        <v>9.27</v>
      </c>
      <c r="X34" s="4">
        <v>2.37</v>
      </c>
      <c r="Y34" s="4">
        <v>0</v>
      </c>
      <c r="Z34" s="4">
        <v>0</v>
      </c>
      <c r="AA34" s="4">
        <v>3.68</v>
      </c>
      <c r="AB34" s="4">
        <v>0.81</v>
      </c>
      <c r="AC34" s="4">
        <v>2.4</v>
      </c>
      <c r="AD34" s="4">
        <v>15.97</v>
      </c>
      <c r="AE34" s="4">
        <v>2.38</v>
      </c>
      <c r="AF34" s="4">
        <v>0</v>
      </c>
      <c r="AG34" s="4">
        <v>0</v>
      </c>
      <c r="AH34" s="4">
        <v>3.13</v>
      </c>
      <c r="AI34" s="4">
        <v>5.04</v>
      </c>
      <c r="AJ34" s="4">
        <v>0.13</v>
      </c>
      <c r="AK34" s="4">
        <v>5.28</v>
      </c>
      <c r="AL34" s="4">
        <v>3.27</v>
      </c>
      <c r="AM34" s="4">
        <v>1.1499999999999999</v>
      </c>
      <c r="AN34" s="4">
        <v>1.5</v>
      </c>
      <c r="AO34" s="4">
        <v>-0.35</v>
      </c>
      <c r="AP34" s="4">
        <v>2.92</v>
      </c>
      <c r="AQ34" s="4">
        <v>0</v>
      </c>
      <c r="AR34" s="4">
        <v>0</v>
      </c>
      <c r="AS34" s="4">
        <v>2.2599999999999998</v>
      </c>
    </row>
    <row r="35" spans="1:45" x14ac:dyDescent="0.35">
      <c r="A35" s="7"/>
      <c r="B35" s="7"/>
      <c r="C35" s="3" t="s">
        <v>25</v>
      </c>
      <c r="D35" s="4">
        <v>6.21</v>
      </c>
      <c r="E35" s="4">
        <v>0.38</v>
      </c>
      <c r="F35" s="4">
        <v>0.47</v>
      </c>
      <c r="G35" s="4">
        <v>2.04</v>
      </c>
      <c r="H35" s="4">
        <v>2.91</v>
      </c>
      <c r="I35" s="4">
        <v>0.33</v>
      </c>
      <c r="J35" s="4">
        <v>3.24</v>
      </c>
      <c r="K35" s="4">
        <v>0.08</v>
      </c>
      <c r="L35" s="4">
        <v>1.44</v>
      </c>
      <c r="M35" s="4">
        <v>0</v>
      </c>
      <c r="N35" s="4">
        <v>0.25</v>
      </c>
      <c r="O35" s="4">
        <v>0.56000000000000005</v>
      </c>
      <c r="P35" s="4">
        <v>0.05</v>
      </c>
      <c r="Q35" s="4">
        <v>0.43</v>
      </c>
      <c r="R35" s="4">
        <v>1.04</v>
      </c>
      <c r="S35" s="4">
        <v>0.13</v>
      </c>
      <c r="T35" s="4">
        <v>0</v>
      </c>
      <c r="U35" s="4">
        <v>0.02</v>
      </c>
      <c r="V35" s="4">
        <v>4.7699999999999996</v>
      </c>
      <c r="W35" s="4">
        <v>66.03</v>
      </c>
      <c r="X35" s="4">
        <v>0.44</v>
      </c>
      <c r="Y35" s="4">
        <v>0.09</v>
      </c>
      <c r="Z35" s="4">
        <v>0.01</v>
      </c>
      <c r="AA35" s="4">
        <v>64.849999999999994</v>
      </c>
      <c r="AB35" s="4">
        <v>0.55000000000000004</v>
      </c>
      <c r="AC35" s="4">
        <v>0.09</v>
      </c>
      <c r="AD35" s="4">
        <v>67.45</v>
      </c>
      <c r="AE35" s="4">
        <v>0.52</v>
      </c>
      <c r="AF35" s="4">
        <v>0</v>
      </c>
      <c r="AG35" s="4">
        <v>0.03</v>
      </c>
      <c r="AH35" s="4">
        <v>64.08</v>
      </c>
      <c r="AI35" s="4">
        <v>0.47</v>
      </c>
      <c r="AJ35" s="4">
        <v>0.25</v>
      </c>
      <c r="AK35" s="4">
        <v>2.1</v>
      </c>
      <c r="AL35" s="4">
        <v>3.35</v>
      </c>
      <c r="AM35" s="4">
        <v>0.61</v>
      </c>
      <c r="AN35" s="4">
        <v>0.01</v>
      </c>
      <c r="AO35" s="4">
        <v>0.59</v>
      </c>
      <c r="AP35" s="4">
        <v>3.94</v>
      </c>
      <c r="AQ35" s="4">
        <v>-7.0000000000000007E-2</v>
      </c>
      <c r="AR35" s="4">
        <v>-7.0000000000000007E-2</v>
      </c>
      <c r="AS35" s="4">
        <v>2.96</v>
      </c>
    </row>
    <row r="36" spans="1:45" x14ac:dyDescent="0.35">
      <c r="A36" s="7"/>
      <c r="B36" s="7" t="s">
        <v>19</v>
      </c>
      <c r="C36" s="3" t="s">
        <v>18</v>
      </c>
      <c r="D36" s="4">
        <v>19.46</v>
      </c>
      <c r="E36" s="4">
        <v>0.2</v>
      </c>
      <c r="F36" s="4">
        <v>0</v>
      </c>
      <c r="G36" s="4">
        <v>0.97</v>
      </c>
      <c r="H36" s="4">
        <v>13.15</v>
      </c>
      <c r="I36" s="4">
        <v>0.1</v>
      </c>
      <c r="J36" s="4">
        <v>13.25</v>
      </c>
      <c r="K36" s="4">
        <v>5.04</v>
      </c>
      <c r="L36" s="4">
        <v>10.38</v>
      </c>
      <c r="M36" s="4">
        <v>0</v>
      </c>
      <c r="N36" s="4">
        <v>0</v>
      </c>
      <c r="O36" s="4">
        <v>0.85</v>
      </c>
      <c r="P36" s="4">
        <v>0.21</v>
      </c>
      <c r="Q36" s="4">
        <v>3.65</v>
      </c>
      <c r="R36" s="4">
        <v>4.72</v>
      </c>
      <c r="S36" s="4">
        <v>0.16</v>
      </c>
      <c r="T36" s="4">
        <v>0.48</v>
      </c>
      <c r="U36" s="4">
        <v>5.01</v>
      </c>
      <c r="V36" s="4">
        <v>9.08</v>
      </c>
      <c r="W36" s="4">
        <v>18.22</v>
      </c>
      <c r="X36" s="4">
        <v>0.65</v>
      </c>
      <c r="Y36" s="4">
        <v>0</v>
      </c>
      <c r="Z36" s="4">
        <v>0</v>
      </c>
      <c r="AA36" s="4">
        <v>15.29</v>
      </c>
      <c r="AB36" s="4">
        <v>1.31</v>
      </c>
      <c r="AC36" s="4">
        <v>0.97</v>
      </c>
      <c r="AD36" s="4">
        <v>23.28</v>
      </c>
      <c r="AE36" s="4">
        <v>0.11</v>
      </c>
      <c r="AF36" s="4">
        <v>0</v>
      </c>
      <c r="AG36" s="4">
        <v>0.04</v>
      </c>
      <c r="AH36" s="4">
        <v>15.23</v>
      </c>
      <c r="AI36" s="4">
        <v>2.62</v>
      </c>
      <c r="AJ36" s="4">
        <v>0.04</v>
      </c>
      <c r="AK36" s="4">
        <v>5.25</v>
      </c>
      <c r="AL36" s="4">
        <v>4.01</v>
      </c>
      <c r="AM36" s="4">
        <v>0.03</v>
      </c>
      <c r="AN36" s="4">
        <v>0.11</v>
      </c>
      <c r="AO36" s="4">
        <v>-0.09</v>
      </c>
      <c r="AP36" s="4">
        <v>3.93</v>
      </c>
      <c r="AQ36" s="4">
        <v>0</v>
      </c>
      <c r="AR36" s="4">
        <v>0</v>
      </c>
      <c r="AS36" s="4">
        <v>3.08</v>
      </c>
    </row>
    <row r="37" spans="1:45" x14ac:dyDescent="0.35">
      <c r="A37" s="7"/>
      <c r="B37" s="7"/>
      <c r="C37" s="3" t="s">
        <v>21</v>
      </c>
      <c r="D37" s="4">
        <v>6.05</v>
      </c>
      <c r="E37" s="4">
        <v>0.04</v>
      </c>
      <c r="F37" s="4">
        <v>0</v>
      </c>
      <c r="G37" s="4">
        <v>0.33</v>
      </c>
      <c r="H37" s="4">
        <v>2.8</v>
      </c>
      <c r="I37" s="4">
        <v>0.04</v>
      </c>
      <c r="J37" s="4">
        <v>2.84</v>
      </c>
      <c r="K37" s="4">
        <v>2.84</v>
      </c>
      <c r="L37" s="4">
        <v>4.38</v>
      </c>
      <c r="M37" s="4">
        <v>0</v>
      </c>
      <c r="N37" s="4">
        <v>7.0000000000000007E-2</v>
      </c>
      <c r="O37" s="4">
        <v>0.09</v>
      </c>
      <c r="P37" s="4">
        <v>0.15</v>
      </c>
      <c r="Q37" s="4">
        <v>0.83</v>
      </c>
      <c r="R37" s="4">
        <v>1.08</v>
      </c>
      <c r="S37" s="4">
        <v>0.13</v>
      </c>
      <c r="T37" s="4">
        <v>0.18</v>
      </c>
      <c r="U37" s="4">
        <v>2.92</v>
      </c>
      <c r="V37" s="4">
        <v>1.67</v>
      </c>
      <c r="W37" s="4">
        <v>1.77</v>
      </c>
      <c r="X37" s="4">
        <v>0.12</v>
      </c>
      <c r="Y37" s="4">
        <v>0</v>
      </c>
      <c r="Z37" s="4">
        <v>0</v>
      </c>
      <c r="AA37" s="4">
        <v>1.02</v>
      </c>
      <c r="AB37" s="4">
        <v>0.39</v>
      </c>
      <c r="AC37" s="4">
        <v>0.25</v>
      </c>
      <c r="AD37" s="4">
        <v>2.96</v>
      </c>
      <c r="AE37" s="4">
        <v>0.06</v>
      </c>
      <c r="AF37" s="4">
        <v>0</v>
      </c>
      <c r="AG37" s="4">
        <v>0</v>
      </c>
      <c r="AH37" s="4">
        <v>1.02</v>
      </c>
      <c r="AI37" s="4">
        <v>0.56000000000000005</v>
      </c>
      <c r="AJ37" s="4">
        <v>0</v>
      </c>
      <c r="AK37" s="4">
        <v>1.31</v>
      </c>
      <c r="AL37" s="4">
        <v>0.48</v>
      </c>
      <c r="AM37" s="4">
        <v>0</v>
      </c>
      <c r="AN37" s="4">
        <v>0.01</v>
      </c>
      <c r="AO37" s="4">
        <v>-0.01</v>
      </c>
      <c r="AP37" s="4">
        <v>0.47</v>
      </c>
      <c r="AQ37" s="4">
        <v>0</v>
      </c>
      <c r="AR37" s="4">
        <v>0</v>
      </c>
      <c r="AS37" s="4">
        <v>0.38</v>
      </c>
    </row>
    <row r="38" spans="1:45" x14ac:dyDescent="0.35">
      <c r="A38" s="7"/>
      <c r="B38" s="7"/>
      <c r="C38" s="3" t="s">
        <v>24</v>
      </c>
      <c r="D38" s="4">
        <v>57.36</v>
      </c>
      <c r="E38" s="4">
        <v>0.67</v>
      </c>
      <c r="F38" s="4">
        <v>0.26</v>
      </c>
      <c r="G38" s="4">
        <v>8.6999999999999993</v>
      </c>
      <c r="H38" s="4">
        <v>28.72</v>
      </c>
      <c r="I38" s="4">
        <v>0.32</v>
      </c>
      <c r="J38" s="4">
        <v>29.04</v>
      </c>
      <c r="K38" s="4">
        <v>18.690000000000001</v>
      </c>
      <c r="L38" s="4">
        <v>35.130000000000003</v>
      </c>
      <c r="M38" s="4">
        <v>0</v>
      </c>
      <c r="N38" s="4">
        <v>0.43</v>
      </c>
      <c r="O38" s="4">
        <v>3.4</v>
      </c>
      <c r="P38" s="4">
        <v>1.65</v>
      </c>
      <c r="Q38" s="4">
        <v>10.17</v>
      </c>
      <c r="R38" s="4">
        <v>15.22</v>
      </c>
      <c r="S38" s="4">
        <v>0.33</v>
      </c>
      <c r="T38" s="4">
        <v>1.07</v>
      </c>
      <c r="U38" s="4">
        <v>18.079999999999998</v>
      </c>
      <c r="V38" s="4">
        <v>22.23</v>
      </c>
      <c r="W38" s="4">
        <v>19.73</v>
      </c>
      <c r="X38" s="4">
        <v>1.44</v>
      </c>
      <c r="Y38" s="4">
        <v>0</v>
      </c>
      <c r="Z38" s="4">
        <v>0.05</v>
      </c>
      <c r="AA38" s="4">
        <v>8.68</v>
      </c>
      <c r="AB38" s="4">
        <v>4.57</v>
      </c>
      <c r="AC38" s="4">
        <v>4.99</v>
      </c>
      <c r="AD38" s="4">
        <v>32.07</v>
      </c>
      <c r="AE38" s="4">
        <v>1.31</v>
      </c>
      <c r="AF38" s="4">
        <v>0</v>
      </c>
      <c r="AG38" s="4">
        <v>0</v>
      </c>
      <c r="AH38" s="4">
        <v>7.95</v>
      </c>
      <c r="AI38" s="4">
        <v>7.25</v>
      </c>
      <c r="AJ38" s="4">
        <v>0.84</v>
      </c>
      <c r="AK38" s="4">
        <v>14.71</v>
      </c>
      <c r="AL38" s="4">
        <v>9.89</v>
      </c>
      <c r="AM38" s="4">
        <v>21.87</v>
      </c>
      <c r="AN38" s="4">
        <v>21.45</v>
      </c>
      <c r="AO38" s="4">
        <v>0.42</v>
      </c>
      <c r="AP38" s="4">
        <v>10.3</v>
      </c>
      <c r="AQ38" s="4">
        <v>0</v>
      </c>
      <c r="AR38" s="4">
        <v>0</v>
      </c>
      <c r="AS38" s="4">
        <v>8.1300000000000008</v>
      </c>
    </row>
    <row r="39" spans="1:45" x14ac:dyDescent="0.35">
      <c r="A39" s="7"/>
      <c r="B39" s="7" t="s">
        <v>20</v>
      </c>
      <c r="C39" s="3" t="s">
        <v>18</v>
      </c>
      <c r="D39" s="4">
        <v>90.76</v>
      </c>
      <c r="E39" s="4">
        <v>0.95</v>
      </c>
      <c r="F39" s="4">
        <v>1.58</v>
      </c>
      <c r="G39" s="4">
        <v>9.0299999999999994</v>
      </c>
      <c r="H39" s="4">
        <v>76.38</v>
      </c>
      <c r="I39" s="4">
        <v>0.86</v>
      </c>
      <c r="J39" s="4">
        <v>77.239999999999995</v>
      </c>
      <c r="K39" s="4">
        <v>1.95</v>
      </c>
      <c r="L39" s="4">
        <v>30.09</v>
      </c>
      <c r="M39" s="4">
        <v>0</v>
      </c>
      <c r="N39" s="4">
        <v>0.5</v>
      </c>
      <c r="O39" s="4">
        <v>8.32</v>
      </c>
      <c r="P39" s="4">
        <v>1.73</v>
      </c>
      <c r="Q39" s="4">
        <v>12.98</v>
      </c>
      <c r="R39" s="4">
        <v>23.02</v>
      </c>
      <c r="S39" s="4">
        <v>1.59</v>
      </c>
      <c r="T39" s="4">
        <v>2.36</v>
      </c>
      <c r="U39" s="4">
        <v>2.61</v>
      </c>
      <c r="V39" s="4">
        <v>60.67</v>
      </c>
      <c r="W39" s="4">
        <v>216.01</v>
      </c>
      <c r="X39" s="4">
        <v>2.54</v>
      </c>
      <c r="Y39" s="4">
        <v>0</v>
      </c>
      <c r="Z39" s="4">
        <v>0</v>
      </c>
      <c r="AA39" s="4">
        <v>177.24</v>
      </c>
      <c r="AB39" s="4">
        <v>13.93</v>
      </c>
      <c r="AC39" s="4">
        <v>22.3</v>
      </c>
      <c r="AD39" s="4">
        <v>238.8</v>
      </c>
      <c r="AE39" s="4">
        <v>0.51</v>
      </c>
      <c r="AF39" s="4">
        <v>0</v>
      </c>
      <c r="AG39" s="4">
        <v>0</v>
      </c>
      <c r="AH39" s="4">
        <v>175.65</v>
      </c>
      <c r="AI39" s="4">
        <v>31.74</v>
      </c>
      <c r="AJ39" s="4">
        <v>0.69</v>
      </c>
      <c r="AK39" s="4">
        <v>30.2</v>
      </c>
      <c r="AL39" s="4">
        <v>37.880000000000003</v>
      </c>
      <c r="AM39" s="4">
        <v>0.28000000000000003</v>
      </c>
      <c r="AN39" s="4">
        <v>0.15</v>
      </c>
      <c r="AO39" s="4">
        <v>0.13</v>
      </c>
      <c r="AP39" s="4">
        <v>38.01</v>
      </c>
      <c r="AQ39" s="4">
        <v>0</v>
      </c>
      <c r="AR39" s="4">
        <v>0</v>
      </c>
      <c r="AS39" s="4">
        <v>30.77</v>
      </c>
    </row>
    <row r="40" spans="1:45" x14ac:dyDescent="0.35">
      <c r="A40" s="7"/>
      <c r="B40" s="7"/>
      <c r="C40" s="3" t="s">
        <v>24</v>
      </c>
      <c r="D40" s="4">
        <v>27.58</v>
      </c>
      <c r="E40" s="4">
        <v>0.14000000000000001</v>
      </c>
      <c r="F40" s="4">
        <v>0.12</v>
      </c>
      <c r="G40" s="4">
        <v>6.09</v>
      </c>
      <c r="H40" s="4">
        <v>15.99</v>
      </c>
      <c r="I40" s="4">
        <v>0.36</v>
      </c>
      <c r="J40" s="4">
        <v>16.350000000000001</v>
      </c>
      <c r="K40" s="4">
        <v>4.8899999999999997</v>
      </c>
      <c r="L40" s="4">
        <v>7.25</v>
      </c>
      <c r="M40" s="4">
        <v>0</v>
      </c>
      <c r="N40" s="4">
        <v>0.01</v>
      </c>
      <c r="O40" s="4">
        <v>1.1599999999999999</v>
      </c>
      <c r="P40" s="4">
        <v>0.1</v>
      </c>
      <c r="Q40" s="4">
        <v>1.26</v>
      </c>
      <c r="R40" s="4">
        <v>2.52</v>
      </c>
      <c r="S40" s="4">
        <v>0</v>
      </c>
      <c r="T40" s="4">
        <v>0</v>
      </c>
      <c r="U40" s="4">
        <v>4.71</v>
      </c>
      <c r="V40" s="4">
        <v>20.329999999999998</v>
      </c>
      <c r="W40" s="4">
        <v>10.1</v>
      </c>
      <c r="X40" s="4">
        <v>0.74</v>
      </c>
      <c r="Y40" s="4">
        <v>0</v>
      </c>
      <c r="Z40" s="4">
        <v>0</v>
      </c>
      <c r="AA40" s="4">
        <v>0.38</v>
      </c>
      <c r="AB40" s="4">
        <v>7.11</v>
      </c>
      <c r="AC40" s="4">
        <v>1.88</v>
      </c>
      <c r="AD40" s="4">
        <v>11.25</v>
      </c>
      <c r="AE40" s="4">
        <v>0.05</v>
      </c>
      <c r="AF40" s="4">
        <v>0</v>
      </c>
      <c r="AG40" s="4">
        <v>0</v>
      </c>
      <c r="AH40" s="4">
        <v>0.17</v>
      </c>
      <c r="AI40" s="4">
        <v>3.23</v>
      </c>
      <c r="AJ40" s="4">
        <v>0</v>
      </c>
      <c r="AK40" s="4">
        <v>7.8</v>
      </c>
      <c r="AL40" s="4">
        <v>19.18</v>
      </c>
      <c r="AM40" s="4">
        <v>0.21</v>
      </c>
      <c r="AN40" s="4">
        <v>0.12</v>
      </c>
      <c r="AO40" s="4">
        <v>0.09</v>
      </c>
      <c r="AP40" s="4">
        <v>19.260000000000002</v>
      </c>
      <c r="AQ40" s="4">
        <v>0</v>
      </c>
      <c r="AR40" s="4">
        <v>0</v>
      </c>
      <c r="AS40" s="4">
        <v>16.02</v>
      </c>
    </row>
    <row r="41" spans="1:45" x14ac:dyDescent="0.35">
      <c r="A41" s="7" t="s">
        <v>28</v>
      </c>
      <c r="B41" s="7" t="s">
        <v>22</v>
      </c>
      <c r="C41" s="3" t="s">
        <v>21</v>
      </c>
      <c r="D41" s="4">
        <v>24.36</v>
      </c>
      <c r="E41" s="4">
        <v>0.17</v>
      </c>
      <c r="F41" s="4">
        <v>0.27</v>
      </c>
      <c r="G41" s="4">
        <v>1.73</v>
      </c>
      <c r="H41" s="4">
        <v>11.83</v>
      </c>
      <c r="I41" s="4">
        <v>0.02</v>
      </c>
      <c r="J41" s="4">
        <v>11.85</v>
      </c>
      <c r="K41" s="4">
        <v>10.35</v>
      </c>
      <c r="L41" s="4">
        <v>14.54</v>
      </c>
      <c r="M41" s="4">
        <v>0</v>
      </c>
      <c r="N41" s="4">
        <v>0.18</v>
      </c>
      <c r="O41" s="4">
        <v>0.46</v>
      </c>
      <c r="P41" s="4">
        <v>0.37</v>
      </c>
      <c r="Q41" s="4">
        <v>2.81</v>
      </c>
      <c r="R41" s="4">
        <v>3.64</v>
      </c>
      <c r="S41" s="4">
        <v>0.05</v>
      </c>
      <c r="T41" s="4">
        <v>0.28000000000000003</v>
      </c>
      <c r="U41" s="4">
        <v>10.38</v>
      </c>
      <c r="V41" s="4">
        <v>9.83</v>
      </c>
      <c r="W41" s="4">
        <v>1.74</v>
      </c>
      <c r="X41" s="4">
        <v>0.03</v>
      </c>
      <c r="Y41" s="4">
        <v>0</v>
      </c>
      <c r="Z41" s="4">
        <v>0.01</v>
      </c>
      <c r="AA41" s="4">
        <v>0.01</v>
      </c>
      <c r="AB41" s="4">
        <v>0.8</v>
      </c>
      <c r="AC41" s="4">
        <v>0.88</v>
      </c>
      <c r="AD41" s="4">
        <v>7.72</v>
      </c>
      <c r="AE41" s="4">
        <v>0.02</v>
      </c>
      <c r="AF41" s="4">
        <v>0</v>
      </c>
      <c r="AG41" s="4">
        <v>0</v>
      </c>
      <c r="AH41" s="4">
        <v>0.01</v>
      </c>
      <c r="AI41" s="4">
        <v>1.25</v>
      </c>
      <c r="AJ41" s="4">
        <v>0.03</v>
      </c>
      <c r="AK41" s="4">
        <v>6.4</v>
      </c>
      <c r="AL41" s="4">
        <v>3.85</v>
      </c>
      <c r="AM41" s="4">
        <v>1.86</v>
      </c>
      <c r="AN41" s="4">
        <v>1.87</v>
      </c>
      <c r="AO41" s="4">
        <v>0</v>
      </c>
      <c r="AP41" s="4">
        <v>3.84</v>
      </c>
      <c r="AQ41" s="4">
        <v>0</v>
      </c>
      <c r="AR41" s="4">
        <v>0</v>
      </c>
      <c r="AS41" s="4">
        <v>3.19</v>
      </c>
    </row>
    <row r="42" spans="1:45" x14ac:dyDescent="0.35">
      <c r="A42" s="7"/>
      <c r="B42" s="7"/>
      <c r="C42" s="3" t="s">
        <v>24</v>
      </c>
      <c r="D42" s="4">
        <v>33.619999999999997</v>
      </c>
      <c r="E42" s="4">
        <v>0.28000000000000003</v>
      </c>
      <c r="F42" s="4">
        <v>0.19</v>
      </c>
      <c r="G42" s="4">
        <v>3.37</v>
      </c>
      <c r="H42" s="4">
        <v>12.4</v>
      </c>
      <c r="I42" s="4">
        <v>0.02</v>
      </c>
      <c r="J42" s="4">
        <v>12.42</v>
      </c>
      <c r="K42" s="4">
        <v>17.350000000000001</v>
      </c>
      <c r="L42" s="4">
        <v>24.91</v>
      </c>
      <c r="M42" s="4">
        <v>0</v>
      </c>
      <c r="N42" s="4">
        <v>0.3</v>
      </c>
      <c r="O42" s="4">
        <v>0.57999999999999996</v>
      </c>
      <c r="P42" s="4">
        <v>0.61</v>
      </c>
      <c r="Q42" s="4">
        <v>5.56</v>
      </c>
      <c r="R42" s="4">
        <v>6.75</v>
      </c>
      <c r="S42" s="4">
        <v>0.33</v>
      </c>
      <c r="T42" s="4">
        <v>0.15</v>
      </c>
      <c r="U42" s="4">
        <v>17.39</v>
      </c>
      <c r="V42" s="4">
        <v>8.7100000000000009</v>
      </c>
      <c r="W42" s="4">
        <v>4.0999999999999996</v>
      </c>
      <c r="X42" s="4">
        <v>0.16</v>
      </c>
      <c r="Y42" s="4">
        <v>0</v>
      </c>
      <c r="Z42" s="4">
        <v>0.02</v>
      </c>
      <c r="AA42" s="4">
        <v>0.21</v>
      </c>
      <c r="AB42" s="4">
        <v>1.32</v>
      </c>
      <c r="AC42" s="4">
        <v>2.39</v>
      </c>
      <c r="AD42" s="4">
        <v>10.42</v>
      </c>
      <c r="AE42" s="4">
        <v>7.0000000000000007E-2</v>
      </c>
      <c r="AF42" s="4">
        <v>0.35</v>
      </c>
      <c r="AG42" s="4">
        <v>0</v>
      </c>
      <c r="AH42" s="4">
        <v>0.18</v>
      </c>
      <c r="AI42" s="4">
        <v>3.31</v>
      </c>
      <c r="AJ42" s="4">
        <v>0.13</v>
      </c>
      <c r="AK42" s="4">
        <v>6.37</v>
      </c>
      <c r="AL42" s="4">
        <v>2.38</v>
      </c>
      <c r="AM42" s="4">
        <v>1.04</v>
      </c>
      <c r="AN42" s="4">
        <v>1</v>
      </c>
      <c r="AO42" s="4">
        <v>0.04</v>
      </c>
      <c r="AP42" s="4">
        <v>2.42</v>
      </c>
      <c r="AQ42" s="4">
        <v>0</v>
      </c>
      <c r="AR42" s="4">
        <v>0</v>
      </c>
      <c r="AS42" s="4">
        <v>1.96</v>
      </c>
    </row>
    <row r="43" spans="1:45" x14ac:dyDescent="0.35">
      <c r="A43" s="7"/>
      <c r="B43" s="7"/>
      <c r="C43" s="3" t="s">
        <v>25</v>
      </c>
      <c r="D43" s="4">
        <v>0.95</v>
      </c>
      <c r="E43" s="4">
        <v>0.11</v>
      </c>
      <c r="F43" s="4">
        <v>7.0000000000000007E-2</v>
      </c>
      <c r="G43" s="4">
        <v>0.48</v>
      </c>
      <c r="H43" s="4">
        <v>0.2</v>
      </c>
      <c r="I43" s="4">
        <v>0.05</v>
      </c>
      <c r="J43" s="4">
        <v>0.24</v>
      </c>
      <c r="K43" s="4">
        <v>0.05</v>
      </c>
      <c r="L43" s="4">
        <v>0.46</v>
      </c>
      <c r="M43" s="4">
        <v>0</v>
      </c>
      <c r="N43" s="4">
        <v>0.14000000000000001</v>
      </c>
      <c r="O43" s="4">
        <v>0.09</v>
      </c>
      <c r="P43" s="4">
        <v>0</v>
      </c>
      <c r="Q43" s="4">
        <v>0.04</v>
      </c>
      <c r="R43" s="4">
        <v>0.13</v>
      </c>
      <c r="S43" s="4">
        <v>0</v>
      </c>
      <c r="T43" s="4">
        <v>0</v>
      </c>
      <c r="U43" s="4">
        <v>0.17</v>
      </c>
      <c r="V43" s="4">
        <v>0.49</v>
      </c>
      <c r="W43" s="4">
        <v>13.94</v>
      </c>
      <c r="X43" s="4">
        <v>0.13</v>
      </c>
      <c r="Y43" s="4">
        <v>0</v>
      </c>
      <c r="Z43" s="4">
        <v>0.01</v>
      </c>
      <c r="AA43" s="4">
        <v>13.68</v>
      </c>
      <c r="AB43" s="4">
        <v>7.0000000000000007E-2</v>
      </c>
      <c r="AC43" s="4">
        <v>0.05</v>
      </c>
      <c r="AD43" s="4">
        <v>14.45</v>
      </c>
      <c r="AE43" s="4">
        <v>0.36</v>
      </c>
      <c r="AF43" s="4">
        <v>0</v>
      </c>
      <c r="AG43" s="4">
        <v>0.04</v>
      </c>
      <c r="AH43" s="4">
        <v>13.72</v>
      </c>
      <c r="AI43" s="4">
        <v>0.04</v>
      </c>
      <c r="AJ43" s="4">
        <v>0.02</v>
      </c>
      <c r="AK43" s="4">
        <v>0.28000000000000003</v>
      </c>
      <c r="AL43" s="4">
        <v>-0.01</v>
      </c>
      <c r="AM43" s="4">
        <v>0.03</v>
      </c>
      <c r="AN43" s="4">
        <v>0</v>
      </c>
      <c r="AO43" s="4">
        <v>0.03</v>
      </c>
      <c r="AP43" s="4">
        <v>0.02</v>
      </c>
      <c r="AQ43" s="4">
        <v>0</v>
      </c>
      <c r="AR43" s="4">
        <v>0</v>
      </c>
      <c r="AS43" s="4">
        <v>-0.02</v>
      </c>
    </row>
    <row r="44" spans="1:45" x14ac:dyDescent="0.35">
      <c r="A44" s="7"/>
      <c r="B44" s="7" t="s">
        <v>23</v>
      </c>
      <c r="C44" s="3" t="s">
        <v>21</v>
      </c>
      <c r="D44" s="4">
        <v>17.77</v>
      </c>
      <c r="E44" s="4">
        <v>0.13</v>
      </c>
      <c r="F44" s="4">
        <v>0.16</v>
      </c>
      <c r="G44" s="4">
        <v>1.82</v>
      </c>
      <c r="H44" s="4">
        <v>9.74</v>
      </c>
      <c r="I44" s="4">
        <v>0.09</v>
      </c>
      <c r="J44" s="4">
        <v>9.83</v>
      </c>
      <c r="K44" s="4">
        <v>5.83</v>
      </c>
      <c r="L44" s="4">
        <v>10.27</v>
      </c>
      <c r="M44" s="4">
        <v>0</v>
      </c>
      <c r="N44" s="4">
        <v>0.21</v>
      </c>
      <c r="O44" s="4">
        <v>0.39</v>
      </c>
      <c r="P44" s="4">
        <v>0.35</v>
      </c>
      <c r="Q44" s="4">
        <v>2.82</v>
      </c>
      <c r="R44" s="4">
        <v>3.56</v>
      </c>
      <c r="S44" s="4">
        <v>0.22</v>
      </c>
      <c r="T44" s="4">
        <v>0.39</v>
      </c>
      <c r="U44" s="4">
        <v>5.88</v>
      </c>
      <c r="V44" s="4">
        <v>7.5</v>
      </c>
      <c r="W44" s="4">
        <v>3.56</v>
      </c>
      <c r="X44" s="4">
        <v>0.3</v>
      </c>
      <c r="Y44" s="4">
        <v>0</v>
      </c>
      <c r="Z44" s="4">
        <v>0</v>
      </c>
      <c r="AA44" s="4">
        <v>1.33</v>
      </c>
      <c r="AB44" s="4">
        <v>1.03</v>
      </c>
      <c r="AC44" s="4">
        <v>0.9</v>
      </c>
      <c r="AD44" s="4">
        <v>8.92</v>
      </c>
      <c r="AE44" s="4">
        <v>0.28999999999999998</v>
      </c>
      <c r="AF44" s="4">
        <v>0</v>
      </c>
      <c r="AG44" s="4">
        <v>0</v>
      </c>
      <c r="AH44" s="4">
        <v>1.32</v>
      </c>
      <c r="AI44" s="4">
        <v>2.27</v>
      </c>
      <c r="AJ44" s="4">
        <v>0</v>
      </c>
      <c r="AK44" s="4">
        <v>5.04</v>
      </c>
      <c r="AL44" s="4">
        <v>2.14</v>
      </c>
      <c r="AM44" s="4">
        <v>0.31</v>
      </c>
      <c r="AN44" s="4">
        <v>0.2</v>
      </c>
      <c r="AO44" s="4">
        <v>0.11</v>
      </c>
      <c r="AP44" s="4">
        <v>2.25</v>
      </c>
      <c r="AQ44" s="4">
        <v>0</v>
      </c>
      <c r="AR44" s="4">
        <v>0</v>
      </c>
      <c r="AS44" s="4">
        <v>1.78</v>
      </c>
    </row>
    <row r="45" spans="1:45" x14ac:dyDescent="0.35">
      <c r="A45" s="7"/>
      <c r="B45" s="7"/>
      <c r="C45" s="3" t="s">
        <v>24</v>
      </c>
      <c r="D45" s="4">
        <v>30.36</v>
      </c>
      <c r="E45" s="4">
        <v>0.44</v>
      </c>
      <c r="F45" s="4">
        <v>0.2</v>
      </c>
      <c r="G45" s="4">
        <v>2.94</v>
      </c>
      <c r="H45" s="4">
        <v>16.88</v>
      </c>
      <c r="I45" s="4">
        <v>0.04</v>
      </c>
      <c r="J45" s="4">
        <v>16.93</v>
      </c>
      <c r="K45" s="4">
        <v>9.85</v>
      </c>
      <c r="L45" s="4">
        <v>17.02</v>
      </c>
      <c r="M45" s="4">
        <v>0</v>
      </c>
      <c r="N45" s="4">
        <v>0.48</v>
      </c>
      <c r="O45" s="4">
        <v>0.74</v>
      </c>
      <c r="P45" s="4">
        <v>0.7</v>
      </c>
      <c r="Q45" s="4">
        <v>4.5199999999999996</v>
      </c>
      <c r="R45" s="4">
        <v>5.96</v>
      </c>
      <c r="S45" s="4">
        <v>0.3</v>
      </c>
      <c r="T45" s="4">
        <v>0.55000000000000004</v>
      </c>
      <c r="U45" s="4">
        <v>9.7200000000000006</v>
      </c>
      <c r="V45" s="4">
        <v>13.34</v>
      </c>
      <c r="W45" s="4">
        <v>13.23</v>
      </c>
      <c r="X45" s="4">
        <v>3.13</v>
      </c>
      <c r="Y45" s="4">
        <v>0</v>
      </c>
      <c r="Z45" s="4">
        <v>0</v>
      </c>
      <c r="AA45" s="4">
        <v>6.86</v>
      </c>
      <c r="AB45" s="4">
        <v>1.01</v>
      </c>
      <c r="AC45" s="4">
        <v>2.23</v>
      </c>
      <c r="AD45" s="4">
        <v>21.56</v>
      </c>
      <c r="AE45" s="4">
        <v>3.08</v>
      </c>
      <c r="AF45" s="4">
        <v>0</v>
      </c>
      <c r="AG45" s="4">
        <v>0</v>
      </c>
      <c r="AH45" s="4">
        <v>5.52</v>
      </c>
      <c r="AI45" s="4">
        <v>5.78</v>
      </c>
      <c r="AJ45" s="4">
        <v>0.17</v>
      </c>
      <c r="AK45" s="4">
        <v>7.01</v>
      </c>
      <c r="AL45" s="4">
        <v>5</v>
      </c>
      <c r="AM45" s="4">
        <v>1.55</v>
      </c>
      <c r="AN45" s="4">
        <v>2.57</v>
      </c>
      <c r="AO45" s="4">
        <v>-1.02</v>
      </c>
      <c r="AP45" s="4">
        <v>3.98</v>
      </c>
      <c r="AQ45" s="4">
        <v>0</v>
      </c>
      <c r="AR45" s="4">
        <v>0</v>
      </c>
      <c r="AS45" s="4">
        <v>3.08</v>
      </c>
    </row>
    <row r="46" spans="1:45" x14ac:dyDescent="0.35">
      <c r="A46" s="7"/>
      <c r="B46" s="7"/>
      <c r="C46" s="3" t="s">
        <v>25</v>
      </c>
      <c r="D46" s="4">
        <v>8.32</v>
      </c>
      <c r="E46" s="4">
        <v>0.49</v>
      </c>
      <c r="F46" s="4">
        <v>0.65</v>
      </c>
      <c r="G46" s="4">
        <v>2.77</v>
      </c>
      <c r="H46" s="4">
        <v>3.89</v>
      </c>
      <c r="I46" s="4">
        <v>0.45</v>
      </c>
      <c r="J46" s="4">
        <v>4.34</v>
      </c>
      <c r="K46" s="4">
        <v>7.0000000000000007E-2</v>
      </c>
      <c r="L46" s="4">
        <v>1.92</v>
      </c>
      <c r="M46" s="4">
        <v>0</v>
      </c>
      <c r="N46" s="4">
        <v>0.34</v>
      </c>
      <c r="O46" s="4">
        <v>0.77</v>
      </c>
      <c r="P46" s="4">
        <v>0.06</v>
      </c>
      <c r="Q46" s="4">
        <v>0.56999999999999995</v>
      </c>
      <c r="R46" s="4">
        <v>1.4</v>
      </c>
      <c r="S46" s="4">
        <v>0.15</v>
      </c>
      <c r="T46" s="4">
        <v>0</v>
      </c>
      <c r="U46" s="4">
        <v>0.03</v>
      </c>
      <c r="V46" s="4">
        <v>6.4</v>
      </c>
      <c r="W46" s="4">
        <v>93.26</v>
      </c>
      <c r="X46" s="4">
        <v>0.65</v>
      </c>
      <c r="Y46" s="4">
        <v>0</v>
      </c>
      <c r="Z46" s="4">
        <v>0.03</v>
      </c>
      <c r="AA46" s="4">
        <v>91.77</v>
      </c>
      <c r="AB46" s="4">
        <v>0.7</v>
      </c>
      <c r="AC46" s="4">
        <v>0.1</v>
      </c>
      <c r="AD46" s="4">
        <v>95.72</v>
      </c>
      <c r="AE46" s="4">
        <v>0.62</v>
      </c>
      <c r="AF46" s="4">
        <v>0.12</v>
      </c>
      <c r="AG46" s="4">
        <v>0.04</v>
      </c>
      <c r="AH46" s="4">
        <v>91.14</v>
      </c>
      <c r="AI46" s="4">
        <v>0.68</v>
      </c>
      <c r="AJ46" s="4">
        <v>0.32</v>
      </c>
      <c r="AK46" s="4">
        <v>2.8</v>
      </c>
      <c r="AL46" s="4">
        <v>3.94</v>
      </c>
      <c r="AM46" s="4">
        <v>1.24</v>
      </c>
      <c r="AN46" s="4">
        <v>0.13</v>
      </c>
      <c r="AO46" s="4">
        <v>1.1100000000000001</v>
      </c>
      <c r="AP46" s="4">
        <v>5.05</v>
      </c>
      <c r="AQ46" s="4">
        <v>-0.09</v>
      </c>
      <c r="AR46" s="4">
        <v>-0.09</v>
      </c>
      <c r="AS46" s="4">
        <v>3.78</v>
      </c>
    </row>
    <row r="47" spans="1:45" x14ac:dyDescent="0.35">
      <c r="A47" s="7"/>
      <c r="B47" s="7" t="s">
        <v>19</v>
      </c>
      <c r="C47" s="3" t="s">
        <v>18</v>
      </c>
      <c r="D47" s="4">
        <v>25.61</v>
      </c>
      <c r="E47" s="4">
        <v>0.25</v>
      </c>
      <c r="F47" s="4">
        <v>0</v>
      </c>
      <c r="G47" s="4">
        <v>1.28</v>
      </c>
      <c r="H47" s="4">
        <v>17.3</v>
      </c>
      <c r="I47" s="4">
        <v>0.13</v>
      </c>
      <c r="J47" s="4">
        <v>17.43</v>
      </c>
      <c r="K47" s="4">
        <v>6.64</v>
      </c>
      <c r="L47" s="4">
        <v>13.81</v>
      </c>
      <c r="M47" s="4">
        <v>0.01</v>
      </c>
      <c r="N47" s="4">
        <v>0.01</v>
      </c>
      <c r="O47" s="4">
        <v>1.19</v>
      </c>
      <c r="P47" s="4">
        <v>0.28000000000000003</v>
      </c>
      <c r="Q47" s="4">
        <v>4.8499999999999996</v>
      </c>
      <c r="R47" s="4">
        <v>6.32</v>
      </c>
      <c r="S47" s="4">
        <v>0.22</v>
      </c>
      <c r="T47" s="4">
        <v>0.63</v>
      </c>
      <c r="U47" s="4">
        <v>6.62</v>
      </c>
      <c r="V47" s="4">
        <v>11.8</v>
      </c>
      <c r="W47" s="4">
        <v>21.01</v>
      </c>
      <c r="X47" s="4">
        <v>0.81</v>
      </c>
      <c r="Y47" s="4">
        <v>0</v>
      </c>
      <c r="Z47" s="4">
        <v>0</v>
      </c>
      <c r="AA47" s="4">
        <v>17.100000000000001</v>
      </c>
      <c r="AB47" s="4">
        <v>1.69</v>
      </c>
      <c r="AC47" s="4">
        <v>1.4</v>
      </c>
      <c r="AD47" s="4">
        <v>27.66</v>
      </c>
      <c r="AE47" s="4">
        <v>0.1</v>
      </c>
      <c r="AF47" s="4">
        <v>0</v>
      </c>
      <c r="AG47" s="4">
        <v>0</v>
      </c>
      <c r="AH47" s="4">
        <v>17.02</v>
      </c>
      <c r="AI47" s="4">
        <v>3.43</v>
      </c>
      <c r="AJ47" s="4">
        <v>0.05</v>
      </c>
      <c r="AK47" s="4">
        <v>7.07</v>
      </c>
      <c r="AL47" s="4">
        <v>5.15</v>
      </c>
      <c r="AM47" s="4">
        <v>0.05</v>
      </c>
      <c r="AN47" s="4">
        <v>0.15</v>
      </c>
      <c r="AO47" s="4">
        <v>-0.1</v>
      </c>
      <c r="AP47" s="4">
        <v>5.05</v>
      </c>
      <c r="AQ47" s="4">
        <v>0</v>
      </c>
      <c r="AR47" s="4">
        <v>0</v>
      </c>
      <c r="AS47" s="4">
        <v>3.96</v>
      </c>
    </row>
    <row r="48" spans="1:45" x14ac:dyDescent="0.35">
      <c r="A48" s="7"/>
      <c r="B48" s="7"/>
      <c r="C48" s="3" t="s">
        <v>24</v>
      </c>
      <c r="D48" s="4">
        <v>76.69</v>
      </c>
      <c r="E48" s="4">
        <v>0.85</v>
      </c>
      <c r="F48" s="4">
        <v>0.36</v>
      </c>
      <c r="G48" s="4">
        <v>11.63</v>
      </c>
      <c r="H48" s="4">
        <v>38.17</v>
      </c>
      <c r="I48" s="4">
        <v>0.43</v>
      </c>
      <c r="J48" s="4">
        <v>38.61</v>
      </c>
      <c r="K48" s="4">
        <v>25.24</v>
      </c>
      <c r="L48" s="4">
        <v>46.93</v>
      </c>
      <c r="M48" s="4">
        <v>0</v>
      </c>
      <c r="N48" s="4">
        <v>0.56999999999999995</v>
      </c>
      <c r="O48" s="4">
        <v>4.58</v>
      </c>
      <c r="P48" s="4">
        <v>2.2000000000000002</v>
      </c>
      <c r="Q48" s="4">
        <v>13.44</v>
      </c>
      <c r="R48" s="4">
        <v>20.22</v>
      </c>
      <c r="S48" s="4">
        <v>0.47</v>
      </c>
      <c r="T48" s="4">
        <v>1.4</v>
      </c>
      <c r="U48" s="4">
        <v>24.27</v>
      </c>
      <c r="V48" s="4">
        <v>29.76</v>
      </c>
      <c r="W48" s="4">
        <v>47.21</v>
      </c>
      <c r="X48" s="4">
        <v>1.86</v>
      </c>
      <c r="Y48" s="4">
        <v>0</v>
      </c>
      <c r="Z48" s="4">
        <v>7.0000000000000007E-2</v>
      </c>
      <c r="AA48" s="4">
        <v>32.72</v>
      </c>
      <c r="AB48" s="4">
        <v>7.06</v>
      </c>
      <c r="AC48" s="4">
        <v>5.5</v>
      </c>
      <c r="AD48" s="4">
        <v>62.39</v>
      </c>
      <c r="AE48" s="4">
        <v>1.37</v>
      </c>
      <c r="AF48" s="4">
        <v>0</v>
      </c>
      <c r="AG48" s="4">
        <v>0</v>
      </c>
      <c r="AH48" s="4">
        <v>30.89</v>
      </c>
      <c r="AI48" s="4">
        <v>9.2799999999999994</v>
      </c>
      <c r="AJ48" s="4">
        <v>1.0900000000000001</v>
      </c>
      <c r="AK48" s="4">
        <v>19.75</v>
      </c>
      <c r="AL48" s="4">
        <v>14.58</v>
      </c>
      <c r="AM48" s="4">
        <v>29.47</v>
      </c>
      <c r="AN48" s="4">
        <v>29.62</v>
      </c>
      <c r="AO48" s="4">
        <v>-0.16</v>
      </c>
      <c r="AP48" s="4">
        <v>14.42</v>
      </c>
      <c r="AQ48" s="4">
        <v>0</v>
      </c>
      <c r="AR48" s="4">
        <v>0</v>
      </c>
      <c r="AS48" s="4">
        <v>11.56</v>
      </c>
    </row>
    <row r="49" spans="1:45" x14ac:dyDescent="0.35">
      <c r="A49" s="7"/>
      <c r="B49" s="7" t="s">
        <v>20</v>
      </c>
      <c r="C49" s="3" t="s">
        <v>18</v>
      </c>
      <c r="D49" s="4">
        <v>121.95</v>
      </c>
      <c r="E49" s="4">
        <v>1.19</v>
      </c>
      <c r="F49" s="4">
        <v>2.21</v>
      </c>
      <c r="G49" s="4">
        <v>12.05</v>
      </c>
      <c r="H49" s="4">
        <v>102.99</v>
      </c>
      <c r="I49" s="4">
        <v>1.02</v>
      </c>
      <c r="J49" s="4">
        <v>104.02</v>
      </c>
      <c r="K49" s="4">
        <v>2.4900000000000002</v>
      </c>
      <c r="L49" s="4">
        <v>40.229999999999997</v>
      </c>
      <c r="M49" s="4">
        <v>0</v>
      </c>
      <c r="N49" s="4">
        <v>0.74</v>
      </c>
      <c r="O49" s="4">
        <v>11.17</v>
      </c>
      <c r="P49" s="4">
        <v>2.27</v>
      </c>
      <c r="Q49" s="4">
        <v>17.27</v>
      </c>
      <c r="R49" s="4">
        <v>30.71</v>
      </c>
      <c r="S49" s="4">
        <v>2.2799999999999998</v>
      </c>
      <c r="T49" s="4">
        <v>3.08</v>
      </c>
      <c r="U49" s="4">
        <v>3.42</v>
      </c>
      <c r="V49" s="4">
        <v>81.73</v>
      </c>
      <c r="W49" s="4">
        <v>291.8</v>
      </c>
      <c r="X49" s="4">
        <v>3.37</v>
      </c>
      <c r="Y49" s="4">
        <v>0</v>
      </c>
      <c r="Z49" s="4">
        <v>0</v>
      </c>
      <c r="AA49" s="4">
        <v>239.64</v>
      </c>
      <c r="AB49" s="4">
        <v>18.989999999999998</v>
      </c>
      <c r="AC49" s="4">
        <v>29.8</v>
      </c>
      <c r="AD49" s="4">
        <v>322.87</v>
      </c>
      <c r="AE49" s="4">
        <v>0.53</v>
      </c>
      <c r="AF49" s="4">
        <v>0</v>
      </c>
      <c r="AG49" s="4">
        <v>0</v>
      </c>
      <c r="AH49" s="4">
        <v>237.8</v>
      </c>
      <c r="AI49" s="4">
        <v>42.32</v>
      </c>
      <c r="AJ49" s="4">
        <v>0.8</v>
      </c>
      <c r="AK49" s="4">
        <v>41.41</v>
      </c>
      <c r="AL49" s="4">
        <v>50.66</v>
      </c>
      <c r="AM49" s="4">
        <v>0.51</v>
      </c>
      <c r="AN49" s="4">
        <v>0.22</v>
      </c>
      <c r="AO49" s="4">
        <v>0.28999999999999998</v>
      </c>
      <c r="AP49" s="4">
        <v>50.95</v>
      </c>
      <c r="AQ49" s="4">
        <v>0</v>
      </c>
      <c r="AR49" s="4">
        <v>0</v>
      </c>
      <c r="AS49" s="4">
        <v>41.24</v>
      </c>
    </row>
    <row r="50" spans="1:45" x14ac:dyDescent="0.35">
      <c r="A50" s="7"/>
      <c r="B50" s="7"/>
      <c r="C50" s="3" t="s">
        <v>24</v>
      </c>
      <c r="D50" s="4">
        <v>36.9</v>
      </c>
      <c r="E50" s="4">
        <v>0.18</v>
      </c>
      <c r="F50" s="4">
        <v>0.18</v>
      </c>
      <c r="G50" s="4">
        <v>8.16</v>
      </c>
      <c r="H50" s="4">
        <v>21.3</v>
      </c>
      <c r="I50" s="4">
        <v>0.48</v>
      </c>
      <c r="J50" s="4">
        <v>21.78</v>
      </c>
      <c r="K50" s="4">
        <v>6.61</v>
      </c>
      <c r="L50" s="4">
        <v>9.85</v>
      </c>
      <c r="M50" s="4">
        <v>0</v>
      </c>
      <c r="N50" s="4">
        <v>0.03</v>
      </c>
      <c r="O50" s="4">
        <v>1.58</v>
      </c>
      <c r="P50" s="4">
        <v>0.14000000000000001</v>
      </c>
      <c r="Q50" s="4">
        <v>1.68</v>
      </c>
      <c r="R50" s="4">
        <v>3.4</v>
      </c>
      <c r="S50" s="4">
        <v>0</v>
      </c>
      <c r="T50" s="4">
        <v>0</v>
      </c>
      <c r="U50" s="4">
        <v>6.42</v>
      </c>
      <c r="V50" s="4">
        <v>27.05</v>
      </c>
      <c r="W50" s="4">
        <v>12.97</v>
      </c>
      <c r="X50" s="4">
        <v>1.01</v>
      </c>
      <c r="Y50" s="4">
        <v>0</v>
      </c>
      <c r="Z50" s="4">
        <v>0</v>
      </c>
      <c r="AA50" s="4">
        <v>0.74</v>
      </c>
      <c r="AB50" s="4">
        <v>8.91</v>
      </c>
      <c r="AC50" s="4">
        <v>2.31</v>
      </c>
      <c r="AD50" s="4">
        <v>14.75</v>
      </c>
      <c r="AE50" s="4">
        <v>0.09</v>
      </c>
      <c r="AF50" s="4">
        <v>0</v>
      </c>
      <c r="AG50" s="4">
        <v>0</v>
      </c>
      <c r="AH50" s="4">
        <v>0.28000000000000003</v>
      </c>
      <c r="AI50" s="4">
        <v>3.81</v>
      </c>
      <c r="AJ50" s="4">
        <v>0</v>
      </c>
      <c r="AK50" s="4">
        <v>10.57</v>
      </c>
      <c r="AL50" s="4">
        <v>25.28</v>
      </c>
      <c r="AM50" s="4">
        <v>0.11</v>
      </c>
      <c r="AN50" s="4">
        <v>0.21</v>
      </c>
      <c r="AO50" s="4">
        <v>-0.09</v>
      </c>
      <c r="AP50" s="4">
        <v>25.19</v>
      </c>
      <c r="AQ50" s="4">
        <v>0</v>
      </c>
      <c r="AR50" s="4">
        <v>0</v>
      </c>
      <c r="AS50" s="4">
        <v>20.82</v>
      </c>
    </row>
    <row r="51" spans="1:45" x14ac:dyDescent="0.35">
      <c r="A51" s="7" t="s">
        <v>29</v>
      </c>
      <c r="B51" s="7" t="s">
        <v>22</v>
      </c>
      <c r="C51" s="3" t="s">
        <v>21</v>
      </c>
      <c r="D51" s="4">
        <v>30.28</v>
      </c>
      <c r="E51" s="4">
        <v>0.2</v>
      </c>
      <c r="F51" s="4">
        <v>0.35</v>
      </c>
      <c r="G51" s="4">
        <v>2.19</v>
      </c>
      <c r="H51" s="4">
        <v>14.82</v>
      </c>
      <c r="I51" s="4">
        <v>0.02</v>
      </c>
      <c r="J51" s="4">
        <v>14.84</v>
      </c>
      <c r="K51" s="4">
        <v>12.69</v>
      </c>
      <c r="L51" s="4">
        <v>17.940000000000001</v>
      </c>
      <c r="M51" s="4">
        <v>0</v>
      </c>
      <c r="N51" s="4">
        <v>0.23</v>
      </c>
      <c r="O51" s="4">
        <v>0.59</v>
      </c>
      <c r="P51" s="4">
        <v>0.46</v>
      </c>
      <c r="Q51" s="4">
        <v>3.51</v>
      </c>
      <c r="R51" s="4">
        <v>4.5599999999999996</v>
      </c>
      <c r="S51" s="4">
        <v>0.06</v>
      </c>
      <c r="T51" s="4">
        <v>0.35</v>
      </c>
      <c r="U51" s="4">
        <v>12.73</v>
      </c>
      <c r="V51" s="4">
        <v>12.34</v>
      </c>
      <c r="W51" s="4">
        <v>2.12</v>
      </c>
      <c r="X51" s="4">
        <v>0.03</v>
      </c>
      <c r="Y51" s="4">
        <v>0</v>
      </c>
      <c r="Z51" s="4">
        <v>0.01</v>
      </c>
      <c r="AA51" s="4">
        <v>0.02</v>
      </c>
      <c r="AB51" s="4">
        <v>1.04</v>
      </c>
      <c r="AC51" s="4">
        <v>1.02</v>
      </c>
      <c r="AD51" s="4">
        <v>9.67</v>
      </c>
      <c r="AE51" s="4">
        <v>0.01</v>
      </c>
      <c r="AF51" s="4">
        <v>0</v>
      </c>
      <c r="AG51" s="4">
        <v>0</v>
      </c>
      <c r="AH51" s="4">
        <v>0.02</v>
      </c>
      <c r="AI51" s="4">
        <v>1.59</v>
      </c>
      <c r="AJ51" s="4">
        <v>0.04</v>
      </c>
      <c r="AK51" s="4">
        <v>8</v>
      </c>
      <c r="AL51" s="4">
        <v>4.78</v>
      </c>
      <c r="AM51" s="4">
        <v>2.44</v>
      </c>
      <c r="AN51" s="4">
        <v>2.4500000000000002</v>
      </c>
      <c r="AO51" s="4">
        <v>-0.02</v>
      </c>
      <c r="AP51" s="4">
        <v>4.7699999999999996</v>
      </c>
      <c r="AQ51" s="4">
        <v>0</v>
      </c>
      <c r="AR51" s="4">
        <v>0</v>
      </c>
      <c r="AS51" s="4">
        <v>3.95</v>
      </c>
    </row>
    <row r="52" spans="1:45" x14ac:dyDescent="0.35">
      <c r="A52" s="7"/>
      <c r="B52" s="7"/>
      <c r="C52" s="3" t="s">
        <v>24</v>
      </c>
      <c r="D52" s="4">
        <v>42.25</v>
      </c>
      <c r="E52" s="4">
        <v>0.34</v>
      </c>
      <c r="F52" s="4">
        <v>0.25</v>
      </c>
      <c r="G52" s="4">
        <v>4.26</v>
      </c>
      <c r="H52" s="4">
        <v>15.63</v>
      </c>
      <c r="I52" s="4">
        <v>0.02</v>
      </c>
      <c r="J52" s="4">
        <v>15.65</v>
      </c>
      <c r="K52" s="4">
        <v>21.75</v>
      </c>
      <c r="L52" s="4">
        <v>31.27</v>
      </c>
      <c r="M52" s="4">
        <v>0</v>
      </c>
      <c r="N52" s="4">
        <v>0.39</v>
      </c>
      <c r="O52" s="4">
        <v>0.74</v>
      </c>
      <c r="P52" s="4">
        <v>0.78</v>
      </c>
      <c r="Q52" s="4">
        <v>6.93</v>
      </c>
      <c r="R52" s="4">
        <v>8.44</v>
      </c>
      <c r="S52" s="4">
        <v>0.43</v>
      </c>
      <c r="T52" s="4">
        <v>0.19</v>
      </c>
      <c r="U52" s="4">
        <v>21.82</v>
      </c>
      <c r="V52" s="4">
        <v>10.98</v>
      </c>
      <c r="W52" s="4">
        <v>4.75</v>
      </c>
      <c r="X52" s="4">
        <v>0.18</v>
      </c>
      <c r="Y52" s="4">
        <v>0</v>
      </c>
      <c r="Z52" s="4">
        <v>0.02</v>
      </c>
      <c r="AA52" s="4">
        <v>0.33</v>
      </c>
      <c r="AB52" s="4">
        <v>1.65</v>
      </c>
      <c r="AC52" s="4">
        <v>2.56</v>
      </c>
      <c r="AD52" s="4">
        <v>12.8</v>
      </c>
      <c r="AE52" s="4">
        <v>7.0000000000000007E-2</v>
      </c>
      <c r="AF52" s="4">
        <v>0.44</v>
      </c>
      <c r="AG52" s="4">
        <v>0</v>
      </c>
      <c r="AH52" s="4">
        <v>0.28999999999999998</v>
      </c>
      <c r="AI52" s="4">
        <v>4</v>
      </c>
      <c r="AJ52" s="4">
        <v>0.16</v>
      </c>
      <c r="AK52" s="4">
        <v>7.83</v>
      </c>
      <c r="AL52" s="4">
        <v>2.92</v>
      </c>
      <c r="AM52" s="4">
        <v>1.85</v>
      </c>
      <c r="AN52" s="4">
        <v>1.81</v>
      </c>
      <c r="AO52" s="4">
        <v>0.04</v>
      </c>
      <c r="AP52" s="4">
        <v>2.96</v>
      </c>
      <c r="AQ52" s="4">
        <v>0</v>
      </c>
      <c r="AR52" s="4">
        <v>0</v>
      </c>
      <c r="AS52" s="4">
        <v>2.42</v>
      </c>
    </row>
    <row r="53" spans="1:45" x14ac:dyDescent="0.35">
      <c r="A53" s="7"/>
      <c r="B53" s="7"/>
      <c r="C53" s="3" t="s">
        <v>25</v>
      </c>
      <c r="D53" s="4">
        <v>1.19</v>
      </c>
      <c r="E53" s="4">
        <v>0.14000000000000001</v>
      </c>
      <c r="F53" s="4">
        <v>0.09</v>
      </c>
      <c r="G53" s="4">
        <v>0.59</v>
      </c>
      <c r="H53" s="4">
        <v>0.26</v>
      </c>
      <c r="I53" s="4">
        <v>0.06</v>
      </c>
      <c r="J53" s="4">
        <v>0.32</v>
      </c>
      <c r="K53" s="4">
        <v>0.06</v>
      </c>
      <c r="L53" s="4">
        <v>0.59</v>
      </c>
      <c r="M53" s="4">
        <v>0.01</v>
      </c>
      <c r="N53" s="4">
        <v>0.18</v>
      </c>
      <c r="O53" s="4">
        <v>0.12</v>
      </c>
      <c r="P53" s="4">
        <v>0</v>
      </c>
      <c r="Q53" s="4">
        <v>0.05</v>
      </c>
      <c r="R53" s="4">
        <v>0.17</v>
      </c>
      <c r="S53" s="4">
        <v>0</v>
      </c>
      <c r="T53" s="4">
        <v>0</v>
      </c>
      <c r="U53" s="4">
        <v>0.22</v>
      </c>
      <c r="V53" s="4">
        <v>0.6</v>
      </c>
      <c r="W53" s="4">
        <v>17.64</v>
      </c>
      <c r="X53" s="4">
        <v>0.17</v>
      </c>
      <c r="Y53" s="4">
        <v>0</v>
      </c>
      <c r="Z53" s="4">
        <v>0.02</v>
      </c>
      <c r="AA53" s="4">
        <v>17.309999999999999</v>
      </c>
      <c r="AB53" s="4">
        <v>7.0000000000000007E-2</v>
      </c>
      <c r="AC53" s="4">
        <v>7.0000000000000007E-2</v>
      </c>
      <c r="AD53" s="4">
        <v>18.149999999999999</v>
      </c>
      <c r="AE53" s="4">
        <v>0.37</v>
      </c>
      <c r="AF53" s="4">
        <v>0</v>
      </c>
      <c r="AG53" s="4">
        <v>0.04</v>
      </c>
      <c r="AH53" s="4">
        <v>17.32</v>
      </c>
      <c r="AI53" s="4">
        <v>0.05</v>
      </c>
      <c r="AJ53" s="4">
        <v>0.02</v>
      </c>
      <c r="AK53" s="4">
        <v>0.36</v>
      </c>
      <c r="AL53" s="4">
        <v>0.09</v>
      </c>
      <c r="AM53" s="4">
        <v>0.03</v>
      </c>
      <c r="AN53" s="4">
        <v>0</v>
      </c>
      <c r="AO53" s="4">
        <v>0.03</v>
      </c>
      <c r="AP53" s="4">
        <v>0.13</v>
      </c>
      <c r="AQ53" s="4">
        <v>0</v>
      </c>
      <c r="AR53" s="4">
        <v>0</v>
      </c>
      <c r="AS53" s="4">
        <v>0.09</v>
      </c>
    </row>
    <row r="54" spans="1:45" x14ac:dyDescent="0.35">
      <c r="A54" s="7"/>
      <c r="B54" s="7" t="s">
        <v>23</v>
      </c>
      <c r="C54" s="3" t="s">
        <v>21</v>
      </c>
      <c r="D54" s="4">
        <v>22.22</v>
      </c>
      <c r="E54" s="4">
        <v>0.17</v>
      </c>
      <c r="F54" s="4">
        <v>0.2</v>
      </c>
      <c r="G54" s="4">
        <v>2.2999999999999998</v>
      </c>
      <c r="H54" s="4">
        <v>12.18</v>
      </c>
      <c r="I54" s="4">
        <v>0.12</v>
      </c>
      <c r="J54" s="4">
        <v>12.31</v>
      </c>
      <c r="K54" s="4">
        <v>7.25</v>
      </c>
      <c r="L54" s="4">
        <v>12.86</v>
      </c>
      <c r="M54" s="4">
        <v>0</v>
      </c>
      <c r="N54" s="4">
        <v>0.25</v>
      </c>
      <c r="O54" s="4">
        <v>0.5</v>
      </c>
      <c r="P54" s="4">
        <v>0.44</v>
      </c>
      <c r="Q54" s="4">
        <v>3.58</v>
      </c>
      <c r="R54" s="4">
        <v>4.5199999999999996</v>
      </c>
      <c r="S54" s="4">
        <v>0.28000000000000003</v>
      </c>
      <c r="T54" s="4">
        <v>0.49</v>
      </c>
      <c r="U54" s="4">
        <v>7.32</v>
      </c>
      <c r="V54" s="4">
        <v>9.36</v>
      </c>
      <c r="W54" s="4">
        <v>4.71</v>
      </c>
      <c r="X54" s="4">
        <v>0.39</v>
      </c>
      <c r="Y54" s="4">
        <v>0</v>
      </c>
      <c r="Z54" s="4">
        <v>0</v>
      </c>
      <c r="AA54" s="4">
        <v>1.99</v>
      </c>
      <c r="AB54" s="4">
        <v>1.3</v>
      </c>
      <c r="AC54" s="4">
        <v>1.03</v>
      </c>
      <c r="AD54" s="4">
        <v>11.44</v>
      </c>
      <c r="AE54" s="4">
        <v>0.38</v>
      </c>
      <c r="AF54" s="4">
        <v>0</v>
      </c>
      <c r="AG54" s="4">
        <v>0</v>
      </c>
      <c r="AH54" s="4">
        <v>1.99</v>
      </c>
      <c r="AI54" s="4">
        <v>2.75</v>
      </c>
      <c r="AJ54" s="4">
        <v>0</v>
      </c>
      <c r="AK54" s="4">
        <v>6.33</v>
      </c>
      <c r="AL54" s="4">
        <v>2.63</v>
      </c>
      <c r="AM54" s="4">
        <v>0.39</v>
      </c>
      <c r="AN54" s="4">
        <v>0.27</v>
      </c>
      <c r="AO54" s="4">
        <v>0.11</v>
      </c>
      <c r="AP54" s="4">
        <v>2.74</v>
      </c>
      <c r="AQ54" s="4">
        <v>0</v>
      </c>
      <c r="AR54" s="4">
        <v>0</v>
      </c>
      <c r="AS54" s="4">
        <v>2.1800000000000002</v>
      </c>
    </row>
    <row r="55" spans="1:45" x14ac:dyDescent="0.35">
      <c r="A55" s="7"/>
      <c r="B55" s="7"/>
      <c r="C55" s="3" t="s">
        <v>24</v>
      </c>
      <c r="D55" s="4">
        <v>38.119999999999997</v>
      </c>
      <c r="E55" s="4">
        <v>0.52</v>
      </c>
      <c r="F55" s="4">
        <v>0.26</v>
      </c>
      <c r="G55" s="4">
        <v>3.8</v>
      </c>
      <c r="H55" s="4">
        <v>21.23</v>
      </c>
      <c r="I55" s="4">
        <v>0.06</v>
      </c>
      <c r="J55" s="4">
        <v>21.29</v>
      </c>
      <c r="K55" s="4">
        <v>12.26</v>
      </c>
      <c r="L55" s="4">
        <v>21.27</v>
      </c>
      <c r="M55" s="4">
        <v>0</v>
      </c>
      <c r="N55" s="4">
        <v>0.59</v>
      </c>
      <c r="O55" s="4">
        <v>0.94</v>
      </c>
      <c r="P55" s="4">
        <v>0.87</v>
      </c>
      <c r="Q55" s="4">
        <v>5.62</v>
      </c>
      <c r="R55" s="4">
        <v>7.44</v>
      </c>
      <c r="S55" s="4">
        <v>0.39</v>
      </c>
      <c r="T55" s="4">
        <v>0.72</v>
      </c>
      <c r="U55" s="4">
        <v>12.12</v>
      </c>
      <c r="V55" s="4">
        <v>16.850000000000001</v>
      </c>
      <c r="W55" s="4">
        <v>18.41</v>
      </c>
      <c r="X55" s="4">
        <v>4.05</v>
      </c>
      <c r="Y55" s="4">
        <v>0</v>
      </c>
      <c r="Z55" s="4">
        <v>0</v>
      </c>
      <c r="AA55" s="4">
        <v>10.93</v>
      </c>
      <c r="AB55" s="4">
        <v>1.28</v>
      </c>
      <c r="AC55" s="4">
        <v>2.16</v>
      </c>
      <c r="AD55" s="4">
        <v>28.31</v>
      </c>
      <c r="AE55" s="4">
        <v>4.01</v>
      </c>
      <c r="AF55" s="4">
        <v>0</v>
      </c>
      <c r="AG55" s="4">
        <v>0</v>
      </c>
      <c r="AH55" s="4">
        <v>8.5500000000000007</v>
      </c>
      <c r="AI55" s="4">
        <v>6.8</v>
      </c>
      <c r="AJ55" s="4">
        <v>0.2</v>
      </c>
      <c r="AK55" s="4">
        <v>8.74</v>
      </c>
      <c r="AL55" s="4">
        <v>6.96</v>
      </c>
      <c r="AM55" s="4">
        <v>1.97</v>
      </c>
      <c r="AN55" s="4">
        <v>4.0199999999999996</v>
      </c>
      <c r="AO55" s="4">
        <v>-2.06</v>
      </c>
      <c r="AP55" s="4">
        <v>4.9000000000000004</v>
      </c>
      <c r="AQ55" s="4">
        <v>0</v>
      </c>
      <c r="AR55" s="4">
        <v>0</v>
      </c>
      <c r="AS55" s="4">
        <v>3.83</v>
      </c>
    </row>
    <row r="56" spans="1:45" x14ac:dyDescent="0.35">
      <c r="A56" s="7"/>
      <c r="B56" s="7"/>
      <c r="C56" s="3" t="s">
        <v>25</v>
      </c>
      <c r="D56" s="4">
        <v>12.27</v>
      </c>
      <c r="E56" s="4">
        <v>0.61</v>
      </c>
      <c r="F56" s="4">
        <v>0.79</v>
      </c>
      <c r="G56" s="4">
        <v>3.51</v>
      </c>
      <c r="H56" s="4">
        <v>4.9000000000000004</v>
      </c>
      <c r="I56" s="4">
        <v>0.59</v>
      </c>
      <c r="J56" s="4">
        <v>5.49</v>
      </c>
      <c r="K56" s="4">
        <v>1.87</v>
      </c>
      <c r="L56" s="4">
        <v>4.1500000000000004</v>
      </c>
      <c r="M56" s="4">
        <v>0</v>
      </c>
      <c r="N56" s="4">
        <v>0.35</v>
      </c>
      <c r="O56" s="4">
        <v>1</v>
      </c>
      <c r="P56" s="4">
        <v>0.08</v>
      </c>
      <c r="Q56" s="4">
        <v>0.72</v>
      </c>
      <c r="R56" s="4">
        <v>1.79</v>
      </c>
      <c r="S56" s="4">
        <v>0.19</v>
      </c>
      <c r="T56" s="4">
        <v>0</v>
      </c>
      <c r="U56" s="4">
        <v>1.82</v>
      </c>
      <c r="V56" s="4">
        <v>8.1300000000000008</v>
      </c>
      <c r="W56" s="4">
        <v>122.29</v>
      </c>
      <c r="X56" s="4">
        <v>0.68</v>
      </c>
      <c r="Y56" s="4">
        <v>0.02</v>
      </c>
      <c r="Z56" s="4">
        <v>0.03</v>
      </c>
      <c r="AA56" s="4">
        <v>120.54</v>
      </c>
      <c r="AB56" s="4">
        <v>0.88</v>
      </c>
      <c r="AC56" s="4">
        <v>0.16</v>
      </c>
      <c r="AD56" s="4">
        <v>126.12</v>
      </c>
      <c r="AE56" s="4">
        <v>0.63</v>
      </c>
      <c r="AF56" s="4">
        <v>0.27</v>
      </c>
      <c r="AG56" s="4">
        <v>0.04</v>
      </c>
      <c r="AH56" s="4">
        <v>120.19</v>
      </c>
      <c r="AI56" s="4">
        <v>0.84</v>
      </c>
      <c r="AJ56" s="4">
        <v>0.43</v>
      </c>
      <c r="AK56" s="4">
        <v>3.73</v>
      </c>
      <c r="AL56" s="4">
        <v>4.29</v>
      </c>
      <c r="AM56" s="4">
        <v>2.29</v>
      </c>
      <c r="AN56" s="4">
        <v>0.44</v>
      </c>
      <c r="AO56" s="4">
        <v>1.85</v>
      </c>
      <c r="AP56" s="4">
        <v>6.14</v>
      </c>
      <c r="AQ56" s="4">
        <v>-0.09</v>
      </c>
      <c r="AR56" s="4">
        <v>-0.09</v>
      </c>
      <c r="AS56" s="4">
        <v>4.62</v>
      </c>
    </row>
    <row r="57" spans="1:45" x14ac:dyDescent="0.35">
      <c r="A57" s="7"/>
      <c r="B57" s="7" t="s">
        <v>19</v>
      </c>
      <c r="C57" s="3" t="s">
        <v>18</v>
      </c>
      <c r="D57" s="4">
        <v>32.19</v>
      </c>
      <c r="E57" s="4">
        <v>0.3</v>
      </c>
      <c r="F57" s="4">
        <v>0.01</v>
      </c>
      <c r="G57" s="4">
        <v>1.6</v>
      </c>
      <c r="H57" s="4">
        <v>21.77</v>
      </c>
      <c r="I57" s="4">
        <v>0.16</v>
      </c>
      <c r="J57" s="4">
        <v>21.94</v>
      </c>
      <c r="K57" s="4">
        <v>8.34</v>
      </c>
      <c r="L57" s="4">
        <v>17.39</v>
      </c>
      <c r="M57" s="4">
        <v>0.03</v>
      </c>
      <c r="N57" s="4">
        <v>0.02</v>
      </c>
      <c r="O57" s="4">
        <v>1.52</v>
      </c>
      <c r="P57" s="4">
        <v>0.36</v>
      </c>
      <c r="Q57" s="4">
        <v>6.09</v>
      </c>
      <c r="R57" s="4">
        <v>7.96</v>
      </c>
      <c r="S57" s="4">
        <v>0.27</v>
      </c>
      <c r="T57" s="4">
        <v>0.8</v>
      </c>
      <c r="U57" s="4">
        <v>8.31</v>
      </c>
      <c r="V57" s="4">
        <v>14.81</v>
      </c>
      <c r="W57" s="4">
        <v>34.54</v>
      </c>
      <c r="X57" s="4">
        <v>1</v>
      </c>
      <c r="Y57" s="4">
        <v>0</v>
      </c>
      <c r="Z57" s="4">
        <v>0</v>
      </c>
      <c r="AA57" s="4">
        <v>29.57</v>
      </c>
      <c r="AB57" s="4">
        <v>2.04</v>
      </c>
      <c r="AC57" s="4">
        <v>1.94</v>
      </c>
      <c r="AD57" s="4">
        <v>43.02</v>
      </c>
      <c r="AE57" s="4">
        <v>0.1</v>
      </c>
      <c r="AF57" s="4">
        <v>0</v>
      </c>
      <c r="AG57" s="4">
        <v>0</v>
      </c>
      <c r="AH57" s="4">
        <v>29.45</v>
      </c>
      <c r="AI57" s="4">
        <v>4.5199999999999996</v>
      </c>
      <c r="AJ57" s="4">
        <v>0.06</v>
      </c>
      <c r="AK57" s="4">
        <v>8.89</v>
      </c>
      <c r="AL57" s="4">
        <v>6.32</v>
      </c>
      <c r="AM57" s="4">
        <v>7.0000000000000007E-2</v>
      </c>
      <c r="AN57" s="4">
        <v>0.18</v>
      </c>
      <c r="AO57" s="4">
        <v>-0.11</v>
      </c>
      <c r="AP57" s="4">
        <v>6.21</v>
      </c>
      <c r="AQ57" s="4">
        <v>0</v>
      </c>
      <c r="AR57" s="4">
        <v>0</v>
      </c>
      <c r="AS57" s="4">
        <v>4.88</v>
      </c>
    </row>
    <row r="58" spans="1:45" x14ac:dyDescent="0.35">
      <c r="A58" s="7"/>
      <c r="B58" s="7"/>
      <c r="C58" s="3" t="s">
        <v>24</v>
      </c>
      <c r="D58" s="4">
        <v>96.06</v>
      </c>
      <c r="E58" s="4">
        <v>1.06</v>
      </c>
      <c r="F58" s="4">
        <v>0.46</v>
      </c>
      <c r="G58" s="4">
        <v>14.58</v>
      </c>
      <c r="H58" s="4">
        <v>48.02</v>
      </c>
      <c r="I58" s="4">
        <v>0.54</v>
      </c>
      <c r="J58" s="4">
        <v>48.56</v>
      </c>
      <c r="K58" s="4">
        <v>31.4</v>
      </c>
      <c r="L58" s="4">
        <v>58.82</v>
      </c>
      <c r="M58" s="4">
        <v>0.01</v>
      </c>
      <c r="N58" s="4">
        <v>0.72</v>
      </c>
      <c r="O58" s="4">
        <v>5.75</v>
      </c>
      <c r="P58" s="4">
        <v>2.75</v>
      </c>
      <c r="Q58" s="4">
        <v>16.84</v>
      </c>
      <c r="R58" s="4">
        <v>25.34</v>
      </c>
      <c r="S58" s="4">
        <v>0.65</v>
      </c>
      <c r="T58" s="4">
        <v>1.72</v>
      </c>
      <c r="U58" s="4">
        <v>30.37</v>
      </c>
      <c r="V58" s="4">
        <v>37.24</v>
      </c>
      <c r="W58" s="4">
        <v>58.34</v>
      </c>
      <c r="X58" s="4">
        <v>2.16</v>
      </c>
      <c r="Y58" s="4">
        <v>0</v>
      </c>
      <c r="Z58" s="4">
        <v>0.08</v>
      </c>
      <c r="AA58" s="4">
        <v>41.34</v>
      </c>
      <c r="AB58" s="4">
        <v>8.5</v>
      </c>
      <c r="AC58" s="4">
        <v>6.26</v>
      </c>
      <c r="AD58" s="4">
        <v>76.69</v>
      </c>
      <c r="AE58" s="4">
        <v>1.45</v>
      </c>
      <c r="AF58" s="4">
        <v>0</v>
      </c>
      <c r="AG58" s="4">
        <v>0.02</v>
      </c>
      <c r="AH58" s="4">
        <v>37.89</v>
      </c>
      <c r="AI58" s="4">
        <v>11.42</v>
      </c>
      <c r="AJ58" s="4">
        <v>1.35</v>
      </c>
      <c r="AK58" s="4">
        <v>24.54</v>
      </c>
      <c r="AL58" s="4">
        <v>18.89</v>
      </c>
      <c r="AM58" s="4">
        <v>40.49</v>
      </c>
      <c r="AN58" s="4">
        <v>41.78</v>
      </c>
      <c r="AO58" s="4">
        <v>-1.29</v>
      </c>
      <c r="AP58" s="4">
        <v>17.59</v>
      </c>
      <c r="AQ58" s="4">
        <v>0</v>
      </c>
      <c r="AR58" s="4">
        <v>0</v>
      </c>
      <c r="AS58" s="4">
        <v>14.02</v>
      </c>
    </row>
    <row r="59" spans="1:45" x14ac:dyDescent="0.35">
      <c r="A59" s="7"/>
      <c r="B59" s="7" t="s">
        <v>20</v>
      </c>
      <c r="C59" s="3" t="s">
        <v>18</v>
      </c>
      <c r="D59" s="4">
        <v>152.86000000000001</v>
      </c>
      <c r="E59" s="4">
        <v>1.45</v>
      </c>
      <c r="F59" s="4">
        <v>2.83</v>
      </c>
      <c r="G59" s="4">
        <v>15.03</v>
      </c>
      <c r="H59" s="4">
        <v>129.1</v>
      </c>
      <c r="I59" s="4">
        <v>1.1499999999999999</v>
      </c>
      <c r="J59" s="4">
        <v>130.26</v>
      </c>
      <c r="K59" s="4">
        <v>3.29</v>
      </c>
      <c r="L59" s="4">
        <v>51.37</v>
      </c>
      <c r="M59" s="4">
        <v>0</v>
      </c>
      <c r="N59" s="4">
        <v>0.98</v>
      </c>
      <c r="O59" s="4">
        <v>14.26</v>
      </c>
      <c r="P59" s="4">
        <v>2.86</v>
      </c>
      <c r="Q59" s="4">
        <v>21.69</v>
      </c>
      <c r="R59" s="4">
        <v>38.81</v>
      </c>
      <c r="S59" s="4">
        <v>3.29</v>
      </c>
      <c r="T59" s="4">
        <v>3.92</v>
      </c>
      <c r="U59" s="4">
        <v>4.37</v>
      </c>
      <c r="V59" s="4">
        <v>101.49</v>
      </c>
      <c r="W59" s="4">
        <v>374.35</v>
      </c>
      <c r="X59" s="4">
        <v>4.1900000000000004</v>
      </c>
      <c r="Y59" s="4">
        <v>0</v>
      </c>
      <c r="Z59" s="4">
        <v>0</v>
      </c>
      <c r="AA59" s="4">
        <v>304.11</v>
      </c>
      <c r="AB59" s="4">
        <v>28.69</v>
      </c>
      <c r="AC59" s="4">
        <v>37.36</v>
      </c>
      <c r="AD59" s="4">
        <v>411.06</v>
      </c>
      <c r="AE59" s="4">
        <v>0.74</v>
      </c>
      <c r="AF59" s="4">
        <v>0</v>
      </c>
      <c r="AG59" s="4">
        <v>0</v>
      </c>
      <c r="AH59" s="4">
        <v>301.74</v>
      </c>
      <c r="AI59" s="4">
        <v>53.58</v>
      </c>
      <c r="AJ59" s="4">
        <v>1.1399999999999999</v>
      </c>
      <c r="AK59" s="4">
        <v>53.85</v>
      </c>
      <c r="AL59" s="4">
        <v>64.78</v>
      </c>
      <c r="AM59" s="4">
        <v>0.48</v>
      </c>
      <c r="AN59" s="4">
        <v>0.28000000000000003</v>
      </c>
      <c r="AO59" s="4">
        <v>0.2</v>
      </c>
      <c r="AP59" s="4">
        <v>64.98</v>
      </c>
      <c r="AQ59" s="4">
        <v>0</v>
      </c>
      <c r="AR59" s="4">
        <v>0</v>
      </c>
      <c r="AS59" s="4">
        <v>52.79</v>
      </c>
    </row>
    <row r="60" spans="1:45" x14ac:dyDescent="0.35">
      <c r="A60" s="7"/>
      <c r="B60" s="7"/>
      <c r="C60" s="3" t="s">
        <v>24</v>
      </c>
      <c r="D60" s="4">
        <v>46.34</v>
      </c>
      <c r="E60" s="4">
        <v>0.21</v>
      </c>
      <c r="F60" s="4">
        <v>0.24</v>
      </c>
      <c r="G60" s="4">
        <v>10.26</v>
      </c>
      <c r="H60" s="4">
        <v>26.83</v>
      </c>
      <c r="I60" s="4">
        <v>0.59</v>
      </c>
      <c r="J60" s="4">
        <v>27.42</v>
      </c>
      <c r="K60" s="4">
        <v>8.2200000000000006</v>
      </c>
      <c r="L60" s="4">
        <v>12.33</v>
      </c>
      <c r="M60" s="4">
        <v>0</v>
      </c>
      <c r="N60" s="4">
        <v>0.04</v>
      </c>
      <c r="O60" s="4">
        <v>1.98</v>
      </c>
      <c r="P60" s="4">
        <v>0.18</v>
      </c>
      <c r="Q60" s="4">
        <v>2.12</v>
      </c>
      <c r="R60" s="4">
        <v>4.2699999999999996</v>
      </c>
      <c r="S60" s="4">
        <v>0</v>
      </c>
      <c r="T60" s="4">
        <v>0</v>
      </c>
      <c r="U60" s="4">
        <v>8.01</v>
      </c>
      <c r="V60" s="4">
        <v>34.020000000000003</v>
      </c>
      <c r="W60" s="4">
        <v>16.13</v>
      </c>
      <c r="X60" s="4">
        <v>1.22</v>
      </c>
      <c r="Y60" s="4">
        <v>0</v>
      </c>
      <c r="Z60" s="4">
        <v>0</v>
      </c>
      <c r="AA60" s="4">
        <v>1.55</v>
      </c>
      <c r="AB60" s="4">
        <v>10.73</v>
      </c>
      <c r="AC60" s="4">
        <v>2.63</v>
      </c>
      <c r="AD60" s="4">
        <v>18.5</v>
      </c>
      <c r="AE60" s="4">
        <v>0.09</v>
      </c>
      <c r="AF60" s="4">
        <v>0</v>
      </c>
      <c r="AG60" s="4">
        <v>0</v>
      </c>
      <c r="AH60" s="4">
        <v>0.68</v>
      </c>
      <c r="AI60" s="4">
        <v>4.43</v>
      </c>
      <c r="AJ60" s="4">
        <v>0</v>
      </c>
      <c r="AK60" s="4">
        <v>13.3</v>
      </c>
      <c r="AL60" s="4">
        <v>31.64</v>
      </c>
      <c r="AM60" s="4">
        <v>0.12</v>
      </c>
      <c r="AN60" s="4">
        <v>0.57999999999999996</v>
      </c>
      <c r="AO60" s="4">
        <v>-0.45</v>
      </c>
      <c r="AP60" s="4">
        <v>31.19</v>
      </c>
      <c r="AQ60" s="4">
        <v>0</v>
      </c>
      <c r="AR60" s="4">
        <v>0</v>
      </c>
      <c r="AS60" s="4">
        <v>25.68</v>
      </c>
    </row>
    <row r="61" spans="1:45" x14ac:dyDescent="0.35">
      <c r="A61" s="7" t="s">
        <v>30</v>
      </c>
      <c r="B61" s="7" t="s">
        <v>22</v>
      </c>
      <c r="C61" s="3" t="s">
        <v>21</v>
      </c>
      <c r="D61" s="4">
        <v>26.6</v>
      </c>
      <c r="E61" s="4">
        <v>0.23</v>
      </c>
      <c r="F61" s="4">
        <v>0.38</v>
      </c>
      <c r="G61" s="4">
        <v>2.34</v>
      </c>
      <c r="H61" s="4">
        <v>16.54</v>
      </c>
      <c r="I61" s="4">
        <v>0.03</v>
      </c>
      <c r="J61" s="4">
        <v>16.559999999999999</v>
      </c>
      <c r="K61" s="4">
        <v>7.09</v>
      </c>
      <c r="L61" s="4">
        <v>12.87</v>
      </c>
      <c r="M61" s="4">
        <v>0.01</v>
      </c>
      <c r="N61" s="4">
        <v>0.28000000000000003</v>
      </c>
      <c r="O61" s="4">
        <v>0.65</v>
      </c>
      <c r="P61" s="4">
        <v>0.4</v>
      </c>
      <c r="Q61" s="4">
        <v>3.96</v>
      </c>
      <c r="R61" s="4">
        <v>5.01</v>
      </c>
      <c r="S61" s="4">
        <v>7.0000000000000007E-2</v>
      </c>
      <c r="T61" s="4">
        <v>0.4</v>
      </c>
      <c r="U61" s="4">
        <v>7.09</v>
      </c>
      <c r="V61" s="4">
        <v>13.72</v>
      </c>
      <c r="W61" s="4">
        <v>2.1800000000000002</v>
      </c>
      <c r="X61" s="4">
        <v>0.06</v>
      </c>
      <c r="Y61" s="4">
        <v>0</v>
      </c>
      <c r="Z61" s="4">
        <v>0</v>
      </c>
      <c r="AA61" s="4">
        <v>0.03</v>
      </c>
      <c r="AB61" s="4">
        <v>1.1499999999999999</v>
      </c>
      <c r="AC61" s="4">
        <v>0.94</v>
      </c>
      <c r="AD61" s="4">
        <v>10.85</v>
      </c>
      <c r="AE61" s="4">
        <v>0.02</v>
      </c>
      <c r="AF61" s="4">
        <v>0</v>
      </c>
      <c r="AG61" s="4">
        <v>0</v>
      </c>
      <c r="AH61" s="4">
        <v>0.03</v>
      </c>
      <c r="AI61" s="4">
        <v>1.79</v>
      </c>
      <c r="AJ61" s="4">
        <v>0.05</v>
      </c>
      <c r="AK61" s="4">
        <v>8.9600000000000009</v>
      </c>
      <c r="AL61" s="4">
        <v>5.05</v>
      </c>
      <c r="AM61" s="4">
        <v>2.99</v>
      </c>
      <c r="AN61" s="4">
        <v>3.06</v>
      </c>
      <c r="AO61" s="4">
        <v>-7.0000000000000007E-2</v>
      </c>
      <c r="AP61" s="4">
        <v>4.9800000000000004</v>
      </c>
      <c r="AQ61" s="4">
        <v>0</v>
      </c>
      <c r="AR61" s="4">
        <v>0</v>
      </c>
      <c r="AS61" s="4">
        <v>4.07</v>
      </c>
    </row>
    <row r="62" spans="1:45" x14ac:dyDescent="0.35">
      <c r="A62" s="7"/>
      <c r="B62" s="7"/>
      <c r="C62" s="3" t="s">
        <v>24</v>
      </c>
      <c r="D62" s="4">
        <v>50.8</v>
      </c>
      <c r="E62" s="4">
        <v>0.4</v>
      </c>
      <c r="F62" s="4">
        <v>0.31</v>
      </c>
      <c r="G62" s="4">
        <v>5.13</v>
      </c>
      <c r="H62" s="4">
        <v>18.84</v>
      </c>
      <c r="I62" s="4">
        <v>0.03</v>
      </c>
      <c r="J62" s="4">
        <v>18.87</v>
      </c>
      <c r="K62" s="4">
        <v>26.1</v>
      </c>
      <c r="L62" s="4">
        <v>37.53</v>
      </c>
      <c r="M62" s="4">
        <v>0.02</v>
      </c>
      <c r="N62" s="4">
        <v>0.47</v>
      </c>
      <c r="O62" s="4">
        <v>0.9</v>
      </c>
      <c r="P62" s="4">
        <v>0.93</v>
      </c>
      <c r="Q62" s="4">
        <v>8.25</v>
      </c>
      <c r="R62" s="4">
        <v>10.07</v>
      </c>
      <c r="S62" s="4">
        <v>0.51</v>
      </c>
      <c r="T62" s="4">
        <v>0.23</v>
      </c>
      <c r="U62" s="4">
        <v>26.22</v>
      </c>
      <c r="V62" s="4">
        <v>13.27</v>
      </c>
      <c r="W62" s="4">
        <v>5.55</v>
      </c>
      <c r="X62" s="4">
        <v>0.19</v>
      </c>
      <c r="Y62" s="4">
        <v>0</v>
      </c>
      <c r="Z62" s="4">
        <v>0.04</v>
      </c>
      <c r="AA62" s="4">
        <v>0.44</v>
      </c>
      <c r="AB62" s="4">
        <v>2.0099999999999998</v>
      </c>
      <c r="AC62" s="4">
        <v>2.87</v>
      </c>
      <c r="AD62" s="4">
        <v>15.28</v>
      </c>
      <c r="AE62" s="4">
        <v>0.1</v>
      </c>
      <c r="AF62" s="4">
        <v>0.53</v>
      </c>
      <c r="AG62" s="4">
        <v>0</v>
      </c>
      <c r="AH62" s="4">
        <v>0.37</v>
      </c>
      <c r="AI62" s="4">
        <v>4.78</v>
      </c>
      <c r="AJ62" s="4">
        <v>0.2</v>
      </c>
      <c r="AK62" s="4">
        <v>9.3000000000000007</v>
      </c>
      <c r="AL62" s="4">
        <v>3.54</v>
      </c>
      <c r="AM62" s="4">
        <v>1.94</v>
      </c>
      <c r="AN62" s="4">
        <v>1.92</v>
      </c>
      <c r="AO62" s="4">
        <v>0.03</v>
      </c>
      <c r="AP62" s="4">
        <v>3.56</v>
      </c>
      <c r="AQ62" s="4">
        <v>0</v>
      </c>
      <c r="AR62" s="4">
        <v>0</v>
      </c>
      <c r="AS62" s="4">
        <v>2.89</v>
      </c>
    </row>
    <row r="63" spans="1:45" x14ac:dyDescent="0.35">
      <c r="A63" s="7"/>
      <c r="B63" s="7"/>
      <c r="C63" s="3" t="s">
        <v>25</v>
      </c>
      <c r="D63" s="4">
        <v>1.41</v>
      </c>
      <c r="E63" s="4">
        <v>0.17</v>
      </c>
      <c r="F63" s="4">
        <v>0.11</v>
      </c>
      <c r="G63" s="4">
        <v>0.67</v>
      </c>
      <c r="H63" s="4">
        <v>0.32</v>
      </c>
      <c r="I63" s="4">
        <v>7.0000000000000007E-2</v>
      </c>
      <c r="J63" s="4">
        <v>0.4</v>
      </c>
      <c r="K63" s="4">
        <v>0.06</v>
      </c>
      <c r="L63" s="4">
        <v>0.73</v>
      </c>
      <c r="M63" s="4">
        <v>0.01</v>
      </c>
      <c r="N63" s="4">
        <v>0.22</v>
      </c>
      <c r="O63" s="4">
        <v>0.15</v>
      </c>
      <c r="P63" s="4">
        <v>0</v>
      </c>
      <c r="Q63" s="4">
        <v>7.0000000000000007E-2</v>
      </c>
      <c r="R63" s="4">
        <v>0.22</v>
      </c>
      <c r="S63" s="4">
        <v>0</v>
      </c>
      <c r="T63" s="4">
        <v>0</v>
      </c>
      <c r="U63" s="4">
        <v>0.27</v>
      </c>
      <c r="V63" s="4">
        <v>0.68</v>
      </c>
      <c r="W63" s="4">
        <v>19.95</v>
      </c>
      <c r="X63" s="4">
        <v>0.21</v>
      </c>
      <c r="Y63" s="4">
        <v>0</v>
      </c>
      <c r="Z63" s="4">
        <v>0.02</v>
      </c>
      <c r="AA63" s="4">
        <v>19.579999999999998</v>
      </c>
      <c r="AB63" s="4">
        <v>7.0000000000000007E-2</v>
      </c>
      <c r="AC63" s="4">
        <v>0.08</v>
      </c>
      <c r="AD63" s="4">
        <v>20.57</v>
      </c>
      <c r="AE63" s="4">
        <v>0.46</v>
      </c>
      <c r="AF63" s="4">
        <v>0</v>
      </c>
      <c r="AG63" s="4">
        <v>0.04</v>
      </c>
      <c r="AH63" s="4">
        <v>19.54</v>
      </c>
      <c r="AI63" s="4">
        <v>0.08</v>
      </c>
      <c r="AJ63" s="4">
        <v>0.02</v>
      </c>
      <c r="AK63" s="4">
        <v>0.44</v>
      </c>
      <c r="AL63" s="4">
        <v>0.06</v>
      </c>
      <c r="AM63" s="4">
        <v>0.03</v>
      </c>
      <c r="AN63" s="4">
        <v>0</v>
      </c>
      <c r="AO63" s="4">
        <v>0.03</v>
      </c>
      <c r="AP63" s="4">
        <v>0.09</v>
      </c>
      <c r="AQ63" s="4">
        <v>0</v>
      </c>
      <c r="AR63" s="4">
        <v>0</v>
      </c>
      <c r="AS63" s="4">
        <v>0.06</v>
      </c>
    </row>
    <row r="64" spans="1:45" x14ac:dyDescent="0.35">
      <c r="A64" s="7"/>
      <c r="B64" s="7" t="s">
        <v>23</v>
      </c>
      <c r="C64" s="3" t="s">
        <v>21</v>
      </c>
      <c r="D64" s="4">
        <v>36.630000000000003</v>
      </c>
      <c r="E64" s="4">
        <v>0.21</v>
      </c>
      <c r="F64" s="4">
        <v>0.28000000000000003</v>
      </c>
      <c r="G64" s="4">
        <v>3.08</v>
      </c>
      <c r="H64" s="4">
        <v>15.94</v>
      </c>
      <c r="I64" s="4">
        <v>0.16</v>
      </c>
      <c r="J64" s="4">
        <v>16.100000000000001</v>
      </c>
      <c r="K64" s="4">
        <v>16.97</v>
      </c>
      <c r="L64" s="4">
        <v>24.3</v>
      </c>
      <c r="M64" s="4">
        <v>0.01</v>
      </c>
      <c r="N64" s="4">
        <v>0.3</v>
      </c>
      <c r="O64" s="4">
        <v>0.66</v>
      </c>
      <c r="P64" s="4">
        <v>0.67</v>
      </c>
      <c r="Q64" s="4">
        <v>4.55</v>
      </c>
      <c r="R64" s="4">
        <v>5.88</v>
      </c>
      <c r="S64" s="4">
        <v>0.35</v>
      </c>
      <c r="T64" s="4">
        <v>0.54</v>
      </c>
      <c r="U64" s="4">
        <v>17.22</v>
      </c>
      <c r="V64" s="4">
        <v>12.33</v>
      </c>
      <c r="W64" s="4">
        <v>6.6</v>
      </c>
      <c r="X64" s="4">
        <v>0.55000000000000004</v>
      </c>
      <c r="Y64" s="4">
        <v>0</v>
      </c>
      <c r="Z64" s="4">
        <v>0</v>
      </c>
      <c r="AA64" s="4">
        <v>2.93</v>
      </c>
      <c r="AB64" s="4">
        <v>1.61</v>
      </c>
      <c r="AC64" s="4">
        <v>1.52</v>
      </c>
      <c r="AD64" s="4">
        <v>14.84</v>
      </c>
      <c r="AE64" s="4">
        <v>0.53</v>
      </c>
      <c r="AF64" s="4">
        <v>0</v>
      </c>
      <c r="AG64" s="4">
        <v>0</v>
      </c>
      <c r="AH64" s="4">
        <v>2.93</v>
      </c>
      <c r="AI64" s="4">
        <v>3.17</v>
      </c>
      <c r="AJ64" s="4">
        <v>0</v>
      </c>
      <c r="AK64" s="4">
        <v>8.2100000000000009</v>
      </c>
      <c r="AL64" s="4">
        <v>4.0999999999999996</v>
      </c>
      <c r="AM64" s="4">
        <v>0.5</v>
      </c>
      <c r="AN64" s="4">
        <v>0.38</v>
      </c>
      <c r="AO64" s="4">
        <v>0.11</v>
      </c>
      <c r="AP64" s="4">
        <v>4.21</v>
      </c>
      <c r="AQ64" s="4">
        <v>0</v>
      </c>
      <c r="AR64" s="4">
        <v>0</v>
      </c>
      <c r="AS64" s="4">
        <v>3.37</v>
      </c>
    </row>
    <row r="65" spans="1:45" x14ac:dyDescent="0.35">
      <c r="A65" s="7"/>
      <c r="B65" s="7"/>
      <c r="C65" s="3" t="s">
        <v>24</v>
      </c>
      <c r="D65" s="4">
        <v>46.38</v>
      </c>
      <c r="E65" s="4">
        <v>0.59</v>
      </c>
      <c r="F65" s="4">
        <v>0.33</v>
      </c>
      <c r="G65" s="4">
        <v>4.6100000000000003</v>
      </c>
      <c r="H65" s="4">
        <v>25.66</v>
      </c>
      <c r="I65" s="4">
        <v>7.0000000000000007E-2</v>
      </c>
      <c r="J65" s="4">
        <v>25.72</v>
      </c>
      <c r="K65" s="4">
        <v>15.13</v>
      </c>
      <c r="L65" s="4">
        <v>25.97</v>
      </c>
      <c r="M65" s="4">
        <v>0.01</v>
      </c>
      <c r="N65" s="4">
        <v>0.71</v>
      </c>
      <c r="O65" s="4">
        <v>1.1399999999999999</v>
      </c>
      <c r="P65" s="4">
        <v>1.05</v>
      </c>
      <c r="Q65" s="4">
        <v>6.67</v>
      </c>
      <c r="R65" s="4">
        <v>8.86</v>
      </c>
      <c r="S65" s="4">
        <v>0.49</v>
      </c>
      <c r="T65" s="4">
        <v>0.89</v>
      </c>
      <c r="U65" s="4">
        <v>15.02</v>
      </c>
      <c r="V65" s="4">
        <v>20.41</v>
      </c>
      <c r="W65" s="4">
        <v>20.309999999999999</v>
      </c>
      <c r="X65" s="4">
        <v>4.49</v>
      </c>
      <c r="Y65" s="4">
        <v>0</v>
      </c>
      <c r="Z65" s="4">
        <v>0</v>
      </c>
      <c r="AA65" s="4">
        <v>11.59</v>
      </c>
      <c r="AB65" s="4">
        <v>1.56</v>
      </c>
      <c r="AC65" s="4">
        <v>2.67</v>
      </c>
      <c r="AD65" s="4">
        <v>34.44</v>
      </c>
      <c r="AE65" s="4">
        <v>4.5</v>
      </c>
      <c r="AF65" s="4">
        <v>0</v>
      </c>
      <c r="AG65" s="4">
        <v>0</v>
      </c>
      <c r="AH65" s="4">
        <v>10.89</v>
      </c>
      <c r="AI65" s="4">
        <v>8.2899999999999991</v>
      </c>
      <c r="AJ65" s="4">
        <v>0.23</v>
      </c>
      <c r="AK65" s="4">
        <v>10.53</v>
      </c>
      <c r="AL65" s="4">
        <v>6.28</v>
      </c>
      <c r="AM65" s="4">
        <v>3.3</v>
      </c>
      <c r="AN65" s="4">
        <v>3.58</v>
      </c>
      <c r="AO65" s="4">
        <v>-0.28000000000000003</v>
      </c>
      <c r="AP65" s="4">
        <v>6</v>
      </c>
      <c r="AQ65" s="4">
        <v>0</v>
      </c>
      <c r="AR65" s="4">
        <v>0</v>
      </c>
      <c r="AS65" s="4">
        <v>5.04</v>
      </c>
    </row>
    <row r="66" spans="1:45" x14ac:dyDescent="0.35">
      <c r="A66" s="7"/>
      <c r="B66" s="7"/>
      <c r="C66" s="3" t="s">
        <v>25</v>
      </c>
      <c r="D66" s="4">
        <v>12.76</v>
      </c>
      <c r="E66" s="4">
        <v>0.72</v>
      </c>
      <c r="F66" s="4">
        <v>1.06</v>
      </c>
      <c r="G66" s="4">
        <v>4.0999999999999996</v>
      </c>
      <c r="H66" s="4">
        <v>6.02</v>
      </c>
      <c r="I66" s="4">
        <v>0.71</v>
      </c>
      <c r="J66" s="4">
        <v>6.74</v>
      </c>
      <c r="K66" s="4">
        <v>0.15</v>
      </c>
      <c r="L66" s="4">
        <v>2.84</v>
      </c>
      <c r="M66" s="4">
        <v>0</v>
      </c>
      <c r="N66" s="4">
        <v>0.31</v>
      </c>
      <c r="O66" s="4">
        <v>1.2</v>
      </c>
      <c r="P66" s="4">
        <v>0.09</v>
      </c>
      <c r="Q66" s="4">
        <v>0.93</v>
      </c>
      <c r="R66" s="4">
        <v>2.2200000000000002</v>
      </c>
      <c r="S66" s="4">
        <v>0.23</v>
      </c>
      <c r="T66" s="4">
        <v>0</v>
      </c>
      <c r="U66" s="4">
        <v>0.08</v>
      </c>
      <c r="V66" s="4">
        <v>9.92</v>
      </c>
      <c r="W66" s="4">
        <v>147.78</v>
      </c>
      <c r="X66" s="4">
        <v>0.86</v>
      </c>
      <c r="Y66" s="4">
        <v>0.03</v>
      </c>
      <c r="Z66" s="4">
        <v>0.03</v>
      </c>
      <c r="AA66" s="4">
        <v>145.53</v>
      </c>
      <c r="AB66" s="4">
        <v>1.1399999999999999</v>
      </c>
      <c r="AC66" s="4">
        <v>0.2</v>
      </c>
      <c r="AD66" s="4">
        <v>152.5</v>
      </c>
      <c r="AE66" s="4">
        <v>1.03</v>
      </c>
      <c r="AF66" s="4">
        <v>0.28999999999999998</v>
      </c>
      <c r="AG66" s="4">
        <v>0.06</v>
      </c>
      <c r="AH66" s="4">
        <v>145.03</v>
      </c>
      <c r="AI66" s="4">
        <v>1.05</v>
      </c>
      <c r="AJ66" s="4">
        <v>0.52</v>
      </c>
      <c r="AK66" s="4">
        <v>4.5199999999999996</v>
      </c>
      <c r="AL66" s="4">
        <v>5.2</v>
      </c>
      <c r="AM66" s="4">
        <v>2.29</v>
      </c>
      <c r="AN66" s="4">
        <v>0.23</v>
      </c>
      <c r="AO66" s="4">
        <v>2.06</v>
      </c>
      <c r="AP66" s="4">
        <v>7.26</v>
      </c>
      <c r="AQ66" s="4">
        <v>-0.08</v>
      </c>
      <c r="AR66" s="4">
        <v>-0.08</v>
      </c>
      <c r="AS66" s="4">
        <v>5.48</v>
      </c>
    </row>
    <row r="67" spans="1:45" x14ac:dyDescent="0.35">
      <c r="A67" s="7"/>
      <c r="B67" s="7" t="s">
        <v>19</v>
      </c>
      <c r="C67" s="3" t="s">
        <v>18</v>
      </c>
      <c r="D67" s="4">
        <v>39.01</v>
      </c>
      <c r="E67" s="4">
        <v>0.33</v>
      </c>
      <c r="F67" s="4">
        <v>0.02</v>
      </c>
      <c r="G67" s="4">
        <v>1.93</v>
      </c>
      <c r="H67" s="4">
        <v>26.47</v>
      </c>
      <c r="I67" s="4">
        <v>0.19</v>
      </c>
      <c r="J67" s="4">
        <v>26.66</v>
      </c>
      <c r="K67" s="4">
        <v>10.06</v>
      </c>
      <c r="L67" s="4">
        <v>21.08</v>
      </c>
      <c r="M67" s="4">
        <v>0.03</v>
      </c>
      <c r="N67" s="4">
        <v>0.02</v>
      </c>
      <c r="O67" s="4">
        <v>1.87</v>
      </c>
      <c r="P67" s="4">
        <v>0.44</v>
      </c>
      <c r="Q67" s="4">
        <v>7.39</v>
      </c>
      <c r="R67" s="4">
        <v>9.6999999999999993</v>
      </c>
      <c r="S67" s="4">
        <v>0.32</v>
      </c>
      <c r="T67" s="4">
        <v>0.98</v>
      </c>
      <c r="U67" s="4">
        <v>10.029999999999999</v>
      </c>
      <c r="V67" s="4">
        <v>17.920000000000002</v>
      </c>
      <c r="W67" s="4">
        <v>38.130000000000003</v>
      </c>
      <c r="X67" s="4">
        <v>1.1399999999999999</v>
      </c>
      <c r="Y67" s="4">
        <v>0</v>
      </c>
      <c r="Z67" s="4">
        <v>0</v>
      </c>
      <c r="AA67" s="4">
        <v>32.369999999999997</v>
      </c>
      <c r="AB67" s="4">
        <v>2.4</v>
      </c>
      <c r="AC67" s="4">
        <v>2.2200000000000002</v>
      </c>
      <c r="AD67" s="4">
        <v>48.14</v>
      </c>
      <c r="AE67" s="4">
        <v>0.2</v>
      </c>
      <c r="AF67" s="4">
        <v>0</v>
      </c>
      <c r="AG67" s="4">
        <v>0</v>
      </c>
      <c r="AH67" s="4">
        <v>32.25</v>
      </c>
      <c r="AI67" s="4">
        <v>4.9800000000000004</v>
      </c>
      <c r="AJ67" s="4">
        <v>0.08</v>
      </c>
      <c r="AK67" s="4">
        <v>10.64</v>
      </c>
      <c r="AL67" s="4">
        <v>7.91</v>
      </c>
      <c r="AM67" s="4">
        <v>7.0000000000000007E-2</v>
      </c>
      <c r="AN67" s="4">
        <v>0.22</v>
      </c>
      <c r="AO67" s="4">
        <v>-0.14000000000000001</v>
      </c>
      <c r="AP67" s="4">
        <v>7.76</v>
      </c>
      <c r="AQ67" s="4">
        <v>0</v>
      </c>
      <c r="AR67" s="4">
        <v>0</v>
      </c>
      <c r="AS67" s="4">
        <v>6.11</v>
      </c>
    </row>
    <row r="68" spans="1:45" x14ac:dyDescent="0.35">
      <c r="A68" s="7"/>
      <c r="B68" s="7"/>
      <c r="C68" s="3" t="s">
        <v>24</v>
      </c>
      <c r="D68" s="4">
        <v>122.86</v>
      </c>
      <c r="E68" s="4">
        <v>1.28</v>
      </c>
      <c r="F68" s="4">
        <v>0.56000000000000005</v>
      </c>
      <c r="G68" s="4">
        <v>17.64</v>
      </c>
      <c r="H68" s="4">
        <v>58.03</v>
      </c>
      <c r="I68" s="4">
        <v>0.65</v>
      </c>
      <c r="J68" s="4">
        <v>58.67</v>
      </c>
      <c r="K68" s="4">
        <v>44.71</v>
      </c>
      <c r="L68" s="4">
        <v>77.98</v>
      </c>
      <c r="M68" s="4">
        <v>0.06</v>
      </c>
      <c r="N68" s="4">
        <v>0.88</v>
      </c>
      <c r="O68" s="4">
        <v>6.92</v>
      </c>
      <c r="P68" s="4">
        <v>3.25</v>
      </c>
      <c r="Q68" s="4">
        <v>20.239999999999998</v>
      </c>
      <c r="R68" s="4">
        <v>30.41</v>
      </c>
      <c r="S68" s="4">
        <v>0.87</v>
      </c>
      <c r="T68" s="4">
        <v>2.0499999999999998</v>
      </c>
      <c r="U68" s="4">
        <v>43.71</v>
      </c>
      <c r="V68" s="4">
        <v>44.87</v>
      </c>
      <c r="W68" s="4">
        <v>69.38</v>
      </c>
      <c r="X68" s="4">
        <v>2.4900000000000002</v>
      </c>
      <c r="Y68" s="4">
        <v>0</v>
      </c>
      <c r="Z68" s="4">
        <v>0.09</v>
      </c>
      <c r="AA68" s="4">
        <v>48.34</v>
      </c>
      <c r="AB68" s="4">
        <v>10.47</v>
      </c>
      <c r="AC68" s="4">
        <v>7.98</v>
      </c>
      <c r="AD68" s="4">
        <v>92.7</v>
      </c>
      <c r="AE68" s="4">
        <v>2.38</v>
      </c>
      <c r="AF68" s="4">
        <v>0</v>
      </c>
      <c r="AG68" s="4">
        <v>0.04</v>
      </c>
      <c r="AH68" s="4">
        <v>45.21</v>
      </c>
      <c r="AI68" s="4">
        <v>13.54</v>
      </c>
      <c r="AJ68" s="4">
        <v>1.64</v>
      </c>
      <c r="AK68" s="4">
        <v>29.9</v>
      </c>
      <c r="AL68" s="4">
        <v>21.56</v>
      </c>
      <c r="AM68" s="4">
        <v>46.07</v>
      </c>
      <c r="AN68" s="4">
        <v>46.01</v>
      </c>
      <c r="AO68" s="4">
        <v>0.06</v>
      </c>
      <c r="AP68" s="4">
        <v>21.62</v>
      </c>
      <c r="AQ68" s="4">
        <v>0</v>
      </c>
      <c r="AR68" s="4">
        <v>0</v>
      </c>
      <c r="AS68" s="4">
        <v>17.22</v>
      </c>
    </row>
    <row r="69" spans="1:45" x14ac:dyDescent="0.35">
      <c r="A69" s="7"/>
      <c r="B69" s="7" t="s">
        <v>20</v>
      </c>
      <c r="C69" s="3" t="s">
        <v>18</v>
      </c>
      <c r="D69" s="4">
        <v>183.88</v>
      </c>
      <c r="E69" s="4">
        <v>1.66</v>
      </c>
      <c r="F69" s="4">
        <v>3.48</v>
      </c>
      <c r="G69" s="4">
        <v>18.05</v>
      </c>
      <c r="H69" s="4">
        <v>155.69</v>
      </c>
      <c r="I69" s="4">
        <v>1.23</v>
      </c>
      <c r="J69" s="4">
        <v>156.91999999999999</v>
      </c>
      <c r="K69" s="4">
        <v>3.77</v>
      </c>
      <c r="L69" s="4">
        <v>62.62</v>
      </c>
      <c r="M69" s="4">
        <v>0</v>
      </c>
      <c r="N69" s="4">
        <v>1.21</v>
      </c>
      <c r="O69" s="4">
        <v>17.28</v>
      </c>
      <c r="P69" s="4">
        <v>3.45</v>
      </c>
      <c r="Q69" s="4">
        <v>26.28</v>
      </c>
      <c r="R69" s="4">
        <v>47.01</v>
      </c>
      <c r="S69" s="4">
        <v>4.3</v>
      </c>
      <c r="T69" s="4">
        <v>4.79</v>
      </c>
      <c r="U69" s="4">
        <v>5.3</v>
      </c>
      <c r="V69" s="4">
        <v>121.26</v>
      </c>
      <c r="W69" s="4">
        <v>459.81</v>
      </c>
      <c r="X69" s="4">
        <v>4.67</v>
      </c>
      <c r="Y69" s="4">
        <v>0</v>
      </c>
      <c r="Z69" s="4">
        <v>0</v>
      </c>
      <c r="AA69" s="4">
        <v>372.93</v>
      </c>
      <c r="AB69" s="4">
        <v>34.82</v>
      </c>
      <c r="AC69" s="4">
        <v>47.39</v>
      </c>
      <c r="AD69" s="4">
        <v>500.91</v>
      </c>
      <c r="AE69" s="4">
        <v>0.7</v>
      </c>
      <c r="AF69" s="4">
        <v>0</v>
      </c>
      <c r="AG69" s="4">
        <v>0</v>
      </c>
      <c r="AH69" s="4">
        <v>370.02</v>
      </c>
      <c r="AI69" s="4">
        <v>64.89</v>
      </c>
      <c r="AJ69" s="4">
        <v>1.51</v>
      </c>
      <c r="AK69" s="4">
        <v>63.79</v>
      </c>
      <c r="AL69" s="4">
        <v>80.17</v>
      </c>
      <c r="AM69" s="4">
        <v>0.35</v>
      </c>
      <c r="AN69" s="4">
        <v>0.41</v>
      </c>
      <c r="AO69" s="4">
        <v>-0.06</v>
      </c>
      <c r="AP69" s="4">
        <v>80.099999999999994</v>
      </c>
      <c r="AQ69" s="4">
        <v>0</v>
      </c>
      <c r="AR69" s="4">
        <v>0</v>
      </c>
      <c r="AS69" s="4">
        <v>65.19</v>
      </c>
    </row>
    <row r="70" spans="1:45" x14ac:dyDescent="0.35">
      <c r="A70" s="7"/>
      <c r="B70" s="7"/>
      <c r="C70" s="3" t="s">
        <v>24</v>
      </c>
      <c r="D70" s="4">
        <v>55.85</v>
      </c>
      <c r="E70" s="4">
        <v>0.24</v>
      </c>
      <c r="F70" s="4">
        <v>0.3</v>
      </c>
      <c r="G70" s="4">
        <v>12.39</v>
      </c>
      <c r="H70" s="4">
        <v>32.4</v>
      </c>
      <c r="I70" s="4">
        <v>0.67</v>
      </c>
      <c r="J70" s="4">
        <v>33.07</v>
      </c>
      <c r="K70" s="4">
        <v>9.85</v>
      </c>
      <c r="L70" s="4">
        <v>14.95</v>
      </c>
      <c r="M70" s="4">
        <v>0</v>
      </c>
      <c r="N70" s="4">
        <v>0.04</v>
      </c>
      <c r="O70" s="4">
        <v>2.4</v>
      </c>
      <c r="P70" s="4">
        <v>0.21</v>
      </c>
      <c r="Q70" s="4">
        <v>2.54</v>
      </c>
      <c r="R70" s="4">
        <v>5.15</v>
      </c>
      <c r="S70" s="4">
        <v>0</v>
      </c>
      <c r="T70" s="4">
        <v>0</v>
      </c>
      <c r="U70" s="4">
        <v>9.75</v>
      </c>
      <c r="V70" s="4">
        <v>40.9</v>
      </c>
      <c r="W70" s="4">
        <v>18.43</v>
      </c>
      <c r="X70" s="4">
        <v>1.4</v>
      </c>
      <c r="Y70" s="4">
        <v>0</v>
      </c>
      <c r="Z70" s="4">
        <v>0</v>
      </c>
      <c r="AA70" s="4">
        <v>1.53</v>
      </c>
      <c r="AB70" s="4">
        <v>12.54</v>
      </c>
      <c r="AC70" s="4">
        <v>2.95</v>
      </c>
      <c r="AD70" s="4">
        <v>22.34</v>
      </c>
      <c r="AE70" s="4">
        <v>0.16</v>
      </c>
      <c r="AF70" s="4">
        <v>0</v>
      </c>
      <c r="AG70" s="4">
        <v>0</v>
      </c>
      <c r="AH70" s="4">
        <v>0.76</v>
      </c>
      <c r="AI70" s="4">
        <v>5.35</v>
      </c>
      <c r="AJ70" s="4">
        <v>0</v>
      </c>
      <c r="AK70" s="4">
        <v>16.07</v>
      </c>
      <c r="AL70" s="4">
        <v>37</v>
      </c>
      <c r="AM70" s="4">
        <v>0.18</v>
      </c>
      <c r="AN70" s="4">
        <v>0.41</v>
      </c>
      <c r="AO70" s="4">
        <v>-0.23</v>
      </c>
      <c r="AP70" s="4">
        <v>36.770000000000003</v>
      </c>
      <c r="AQ70" s="4">
        <v>0</v>
      </c>
      <c r="AR70" s="4">
        <v>0</v>
      </c>
      <c r="AS70" s="4">
        <v>30.19</v>
      </c>
    </row>
  </sheetData>
  <mergeCells count="34">
    <mergeCell ref="D1:AU1"/>
    <mergeCell ref="D2:AU2"/>
    <mergeCell ref="D3:AU3"/>
    <mergeCell ref="A8:A18"/>
    <mergeCell ref="B8:B10"/>
    <mergeCell ref="B11:B13"/>
    <mergeCell ref="B14:B16"/>
    <mergeCell ref="B17:B18"/>
    <mergeCell ref="A19:A29"/>
    <mergeCell ref="B19:B21"/>
    <mergeCell ref="B22:B24"/>
    <mergeCell ref="B25:B27"/>
    <mergeCell ref="B28:B29"/>
    <mergeCell ref="A1:C3"/>
    <mergeCell ref="A41:A50"/>
    <mergeCell ref="B41:B43"/>
    <mergeCell ref="B44:B46"/>
    <mergeCell ref="B47:B48"/>
    <mergeCell ref="B49:B50"/>
    <mergeCell ref="A30:A40"/>
    <mergeCell ref="B30:B32"/>
    <mergeCell ref="B33:B35"/>
    <mergeCell ref="B36:B38"/>
    <mergeCell ref="B39:B40"/>
    <mergeCell ref="A61:A70"/>
    <mergeCell ref="B61:B63"/>
    <mergeCell ref="B64:B66"/>
    <mergeCell ref="B67:B68"/>
    <mergeCell ref="B69:B70"/>
    <mergeCell ref="A51:A60"/>
    <mergeCell ref="B51:B53"/>
    <mergeCell ref="B54:B56"/>
    <mergeCell ref="B57:B58"/>
    <mergeCell ref="B59:B60"/>
  </mergeCells>
  <pageMargins left="0.7" right="0.7" top="0.75" bottom="0.75" header="0.3" footer="0.3"/>
  <pageSetup orientation="portrait" horizontalDpi="4294967295" verticalDpi="429496729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EE81-8435-482E-902E-B45E9A367AC6}">
  <dimension ref="A1:AS64"/>
  <sheetViews>
    <sheetView workbookViewId="0">
      <pane xSplit="3" topLeftCell="D1" activePane="topRight" state="frozen"/>
      <selection pane="topRight" activeCell="C3" sqref="C3"/>
    </sheetView>
  </sheetViews>
  <sheetFormatPr defaultRowHeight="14.5" x14ac:dyDescent="0.35"/>
  <cols>
    <col min="3" max="3" width="18.90625" customWidth="1"/>
    <col min="4" max="4" width="20.6328125" customWidth="1"/>
    <col min="5" max="5" width="14.7265625" customWidth="1"/>
    <col min="6" max="6" width="16.453125" customWidth="1"/>
    <col min="7" max="7" width="12.08984375" customWidth="1"/>
    <col min="8" max="8" width="17.453125" customWidth="1"/>
    <col min="9" max="9" width="14.7265625" customWidth="1"/>
    <col min="10" max="10" width="17" customWidth="1"/>
    <col min="11" max="11" width="14.26953125" customWidth="1"/>
    <col min="12" max="12" width="17.26953125" customWidth="1"/>
    <col min="13" max="13" width="17.6328125" customWidth="1"/>
    <col min="14" max="14" width="15.54296875" customWidth="1"/>
    <col min="15" max="15" width="12.81640625" customWidth="1"/>
    <col min="16" max="16" width="16" customWidth="1"/>
    <col min="17" max="17" width="16.08984375" customWidth="1"/>
    <col min="18" max="18" width="17.7265625" customWidth="1"/>
    <col min="19" max="19" width="14" customWidth="1"/>
    <col min="20" max="20" width="18.36328125" customWidth="1"/>
    <col min="21" max="21" width="13.90625" customWidth="1"/>
    <col min="22" max="22" width="17.453125" customWidth="1"/>
    <col min="23" max="23" width="18.54296875" customWidth="1"/>
    <col min="24" max="24" width="17.7265625" customWidth="1"/>
    <col min="25" max="25" width="19.08984375" customWidth="1"/>
    <col min="26" max="26" width="20" customWidth="1"/>
    <col min="27" max="27" width="19.7265625" customWidth="1"/>
    <col min="28" max="28" width="18.90625" customWidth="1"/>
    <col min="29" max="29" width="13.90625" customWidth="1"/>
    <col min="30" max="30" width="15.08984375" customWidth="1"/>
    <col min="31" max="31" width="22.90625" customWidth="1"/>
    <col min="32" max="32" width="17.7265625" customWidth="1"/>
    <col min="33" max="33" width="18.54296875" customWidth="1"/>
    <col min="34" max="34" width="17.7265625" customWidth="1"/>
    <col min="35" max="35" width="15.453125" customWidth="1"/>
    <col min="36" max="36" width="23.08984375" customWidth="1"/>
    <col min="37" max="37" width="14.1796875" customWidth="1"/>
    <col min="38" max="38" width="14.90625" customWidth="1"/>
    <col min="39" max="39" width="17.81640625" customWidth="1"/>
    <col min="40" max="40" width="15.36328125" customWidth="1"/>
    <col min="41" max="41" width="18.81640625" customWidth="1"/>
    <col min="42" max="42" width="17.1796875" customWidth="1"/>
    <col min="43" max="43" width="18.08984375" customWidth="1"/>
    <col min="44" max="44" width="19" customWidth="1"/>
    <col min="45" max="45" width="20.36328125" customWidth="1"/>
  </cols>
  <sheetData>
    <row r="1" spans="1:45" ht="67.5" customHeight="1" x14ac:dyDescent="0.35">
      <c r="A1" s="2" t="s">
        <v>7</v>
      </c>
      <c r="B1" s="8" t="s">
        <v>9</v>
      </c>
      <c r="C1" s="8" t="s">
        <v>8</v>
      </c>
      <c r="D1" s="2" t="s">
        <v>110</v>
      </c>
      <c r="E1" s="2" t="s">
        <v>109</v>
      </c>
      <c r="F1" s="2" t="s">
        <v>108</v>
      </c>
      <c r="G1" s="2" t="s">
        <v>107</v>
      </c>
      <c r="H1" s="2" t="s">
        <v>106</v>
      </c>
      <c r="I1" s="2" t="s">
        <v>105</v>
      </c>
      <c r="J1" s="2" t="s">
        <v>104</v>
      </c>
      <c r="K1" s="2" t="s">
        <v>103</v>
      </c>
      <c r="L1" s="2" t="s">
        <v>102</v>
      </c>
      <c r="M1" s="2" t="s">
        <v>101</v>
      </c>
      <c r="N1" s="2" t="s">
        <v>100</v>
      </c>
      <c r="O1" s="2" t="s">
        <v>99</v>
      </c>
      <c r="P1" s="2" t="s">
        <v>98</v>
      </c>
      <c r="Q1" s="2" t="s">
        <v>97</v>
      </c>
      <c r="R1" s="2" t="s">
        <v>96</v>
      </c>
      <c r="S1" s="2" t="s">
        <v>95</v>
      </c>
      <c r="T1" s="2" t="s">
        <v>94</v>
      </c>
      <c r="U1" s="2" t="s">
        <v>93</v>
      </c>
      <c r="V1" s="2" t="s">
        <v>92</v>
      </c>
      <c r="W1" s="2" t="s">
        <v>91</v>
      </c>
      <c r="X1" s="2" t="s">
        <v>90</v>
      </c>
      <c r="Y1" s="2" t="s">
        <v>89</v>
      </c>
      <c r="Z1" s="2" t="s">
        <v>88</v>
      </c>
      <c r="AA1" s="2" t="s">
        <v>87</v>
      </c>
      <c r="AB1" s="2" t="s">
        <v>86</v>
      </c>
      <c r="AC1" s="2" t="s">
        <v>85</v>
      </c>
      <c r="AD1" s="2" t="s">
        <v>84</v>
      </c>
      <c r="AE1" s="2" t="s">
        <v>83</v>
      </c>
      <c r="AF1" s="2" t="s">
        <v>82</v>
      </c>
      <c r="AG1" s="2" t="s">
        <v>81</v>
      </c>
      <c r="AH1" s="2" t="s">
        <v>80</v>
      </c>
      <c r="AI1" s="2" t="s">
        <v>79</v>
      </c>
      <c r="AJ1" s="2" t="s">
        <v>78</v>
      </c>
      <c r="AK1" s="2" t="s">
        <v>77</v>
      </c>
      <c r="AL1" s="2" t="s">
        <v>76</v>
      </c>
      <c r="AM1" s="2" t="s">
        <v>75</v>
      </c>
      <c r="AN1" s="2" t="s">
        <v>74</v>
      </c>
      <c r="AO1" s="2" t="s">
        <v>73</v>
      </c>
      <c r="AP1" s="2" t="s">
        <v>72</v>
      </c>
      <c r="AQ1" s="2" t="s">
        <v>71</v>
      </c>
      <c r="AR1" s="2" t="s">
        <v>70</v>
      </c>
      <c r="AS1" s="2" t="s">
        <v>69</v>
      </c>
    </row>
    <row r="2" spans="1:45" x14ac:dyDescent="0.35">
      <c r="A2" s="3" t="s">
        <v>17</v>
      </c>
      <c r="B2" s="3" t="s">
        <v>22</v>
      </c>
      <c r="C2" s="3" t="s">
        <v>21</v>
      </c>
      <c r="D2" s="4">
        <v>6.15</v>
      </c>
      <c r="E2" s="4">
        <v>0.08</v>
      </c>
      <c r="F2" s="4">
        <v>7.0000000000000007E-2</v>
      </c>
      <c r="G2" s="4">
        <v>0.41</v>
      </c>
      <c r="H2" s="4">
        <v>2.97</v>
      </c>
      <c r="I2" s="4">
        <v>0</v>
      </c>
      <c r="J2" s="4">
        <v>2.97</v>
      </c>
      <c r="K2" s="4">
        <v>2.61</v>
      </c>
      <c r="L2" s="4">
        <v>3.76</v>
      </c>
      <c r="M2" s="4">
        <v>0</v>
      </c>
      <c r="N2" s="4">
        <v>0.04</v>
      </c>
      <c r="O2" s="4">
        <v>0.12</v>
      </c>
      <c r="P2" s="4">
        <v>0.1</v>
      </c>
      <c r="Q2" s="4">
        <v>0.77</v>
      </c>
      <c r="R2" s="4">
        <v>0.98</v>
      </c>
      <c r="S2" s="4">
        <v>0.01</v>
      </c>
      <c r="T2" s="4">
        <v>7.0000000000000007E-2</v>
      </c>
      <c r="U2" s="4">
        <v>2.65</v>
      </c>
      <c r="V2" s="4">
        <v>2.39</v>
      </c>
      <c r="W2" s="4">
        <v>0.45</v>
      </c>
      <c r="X2" s="4">
        <v>0.01</v>
      </c>
      <c r="Y2" s="4">
        <v>0</v>
      </c>
      <c r="Z2" s="4">
        <v>0</v>
      </c>
      <c r="AA2" s="4">
        <v>0</v>
      </c>
      <c r="AB2" s="4">
        <v>0.19</v>
      </c>
      <c r="AC2" s="4">
        <v>0.25</v>
      </c>
      <c r="AD2" s="4">
        <v>1.8</v>
      </c>
      <c r="AE2" s="4">
        <v>0</v>
      </c>
      <c r="AF2" s="4">
        <v>0</v>
      </c>
      <c r="AG2" s="4">
        <v>0</v>
      </c>
      <c r="AH2" s="4">
        <v>0</v>
      </c>
      <c r="AI2" s="4">
        <v>0.56000000000000005</v>
      </c>
      <c r="AJ2" s="4">
        <v>0</v>
      </c>
      <c r="AK2" s="4">
        <v>1.23</v>
      </c>
      <c r="AL2" s="4">
        <v>1.04</v>
      </c>
      <c r="AM2" s="4">
        <v>0.43</v>
      </c>
      <c r="AN2" s="4">
        <v>0.43</v>
      </c>
      <c r="AO2" s="4">
        <v>0</v>
      </c>
      <c r="AP2" s="4">
        <v>1.05</v>
      </c>
      <c r="AQ2" s="4">
        <v>0</v>
      </c>
      <c r="AR2" s="4">
        <v>0</v>
      </c>
      <c r="AS2" s="4">
        <v>0.89</v>
      </c>
    </row>
    <row r="3" spans="1:45" ht="43.5" x14ac:dyDescent="0.35">
      <c r="A3" s="3"/>
      <c r="B3" s="3"/>
      <c r="C3" s="3" t="s">
        <v>24</v>
      </c>
      <c r="D3" s="4">
        <v>8.57</v>
      </c>
      <c r="E3" s="4">
        <v>0.11</v>
      </c>
      <c r="F3" s="4">
        <v>0.04</v>
      </c>
      <c r="G3" s="4">
        <v>0.84</v>
      </c>
      <c r="H3" s="4">
        <v>3.16</v>
      </c>
      <c r="I3" s="4">
        <v>0</v>
      </c>
      <c r="J3" s="4">
        <v>3.16</v>
      </c>
      <c r="K3" s="4">
        <v>4.41</v>
      </c>
      <c r="L3" s="4">
        <v>6.37</v>
      </c>
      <c r="M3" s="4">
        <v>0</v>
      </c>
      <c r="N3" s="4">
        <v>7.0000000000000007E-2</v>
      </c>
      <c r="O3" s="4">
        <v>0.15</v>
      </c>
      <c r="P3" s="4">
        <v>0.16</v>
      </c>
      <c r="Q3" s="4">
        <v>1.48</v>
      </c>
      <c r="R3" s="4">
        <v>1.78</v>
      </c>
      <c r="S3" s="4">
        <v>7.0000000000000007E-2</v>
      </c>
      <c r="T3" s="4">
        <v>0.04</v>
      </c>
      <c r="U3" s="4">
        <v>4.41</v>
      </c>
      <c r="V3" s="4">
        <v>2.19</v>
      </c>
      <c r="W3" s="4">
        <v>1.02</v>
      </c>
      <c r="X3" s="4">
        <v>0.09</v>
      </c>
      <c r="Y3" s="4">
        <v>0</v>
      </c>
      <c r="Z3" s="4">
        <v>0</v>
      </c>
      <c r="AA3" s="4">
        <v>0.05</v>
      </c>
      <c r="AB3" s="4">
        <v>0.36</v>
      </c>
      <c r="AC3" s="4">
        <v>0.52</v>
      </c>
      <c r="AD3" s="4">
        <v>2.67</v>
      </c>
      <c r="AE3" s="4">
        <v>0.05</v>
      </c>
      <c r="AF3" s="4">
        <v>0.08</v>
      </c>
      <c r="AG3" s="4">
        <v>0</v>
      </c>
      <c r="AH3" s="4">
        <v>0.05</v>
      </c>
      <c r="AI3" s="4">
        <v>1</v>
      </c>
      <c r="AJ3" s="4">
        <v>0.03</v>
      </c>
      <c r="AK3" s="4">
        <v>1.44</v>
      </c>
      <c r="AL3" s="4">
        <v>0.55000000000000004</v>
      </c>
      <c r="AM3" s="4">
        <v>0.21</v>
      </c>
      <c r="AN3" s="4">
        <v>0.19</v>
      </c>
      <c r="AO3" s="4">
        <v>0.02</v>
      </c>
      <c r="AP3" s="4">
        <v>0.56999999999999995</v>
      </c>
      <c r="AQ3" s="4">
        <v>0</v>
      </c>
      <c r="AR3" s="4">
        <v>0</v>
      </c>
      <c r="AS3" s="4">
        <v>0.46</v>
      </c>
    </row>
    <row r="4" spans="1:45" ht="130.5" x14ac:dyDescent="0.35">
      <c r="A4" s="3"/>
      <c r="B4" s="3"/>
      <c r="C4" s="3" t="s">
        <v>25</v>
      </c>
      <c r="D4" s="4">
        <v>0.22</v>
      </c>
      <c r="E4" s="4">
        <v>0.04</v>
      </c>
      <c r="F4" s="4">
        <v>0.02</v>
      </c>
      <c r="G4" s="4">
        <v>0.1</v>
      </c>
      <c r="H4" s="4">
        <v>0.05</v>
      </c>
      <c r="I4" s="4">
        <v>0.01</v>
      </c>
      <c r="J4" s="4">
        <v>0.06</v>
      </c>
      <c r="K4" s="4">
        <v>0</v>
      </c>
      <c r="L4" s="4">
        <v>0.11</v>
      </c>
      <c r="M4" s="4">
        <v>0</v>
      </c>
      <c r="N4" s="4">
        <v>0.03</v>
      </c>
      <c r="O4" s="4">
        <v>0.02</v>
      </c>
      <c r="P4" s="4">
        <v>0</v>
      </c>
      <c r="Q4" s="4">
        <v>0</v>
      </c>
      <c r="R4" s="4">
        <v>0.03</v>
      </c>
      <c r="S4" s="4">
        <v>0</v>
      </c>
      <c r="T4" s="4">
        <v>0</v>
      </c>
      <c r="U4" s="4">
        <v>0.05</v>
      </c>
      <c r="V4" s="4">
        <v>0.11</v>
      </c>
      <c r="W4" s="4">
        <v>9.11</v>
      </c>
      <c r="X4" s="4">
        <v>0.13</v>
      </c>
      <c r="Y4" s="4">
        <v>0</v>
      </c>
      <c r="Z4" s="4">
        <v>0.04</v>
      </c>
      <c r="AA4" s="4">
        <v>8.91</v>
      </c>
      <c r="AB4" s="4">
        <v>0</v>
      </c>
      <c r="AC4" s="4">
        <v>0.01</v>
      </c>
      <c r="AD4" s="4">
        <v>9.0500000000000007</v>
      </c>
      <c r="AE4" s="4">
        <v>0.16</v>
      </c>
      <c r="AF4" s="4">
        <v>0</v>
      </c>
      <c r="AG4" s="4">
        <v>0.03</v>
      </c>
      <c r="AH4" s="4">
        <v>8.7799999999999994</v>
      </c>
      <c r="AI4" s="4">
        <v>0.01</v>
      </c>
      <c r="AJ4" s="4">
        <v>0</v>
      </c>
      <c r="AK4" s="4">
        <v>0.06</v>
      </c>
      <c r="AL4" s="4">
        <v>0.17</v>
      </c>
      <c r="AM4" s="4">
        <v>0</v>
      </c>
      <c r="AN4" s="4">
        <v>0</v>
      </c>
      <c r="AO4" s="4">
        <v>0</v>
      </c>
      <c r="AP4" s="4">
        <v>0.17</v>
      </c>
      <c r="AQ4" s="4">
        <v>0</v>
      </c>
      <c r="AR4" s="4">
        <v>0</v>
      </c>
      <c r="AS4" s="4">
        <v>0.12</v>
      </c>
    </row>
    <row r="5" spans="1:45" x14ac:dyDescent="0.35">
      <c r="A5" s="3"/>
      <c r="B5" s="3" t="s">
        <v>23</v>
      </c>
      <c r="C5" s="3" t="s">
        <v>21</v>
      </c>
      <c r="D5" s="4">
        <v>2.6</v>
      </c>
      <c r="E5" s="4">
        <v>0.04</v>
      </c>
      <c r="F5" s="4">
        <v>0.04</v>
      </c>
      <c r="G5" s="4">
        <v>0.35</v>
      </c>
      <c r="H5" s="4">
        <v>1.51</v>
      </c>
      <c r="I5" s="4">
        <v>0.01</v>
      </c>
      <c r="J5" s="4">
        <v>1.52</v>
      </c>
      <c r="K5" s="4">
        <v>0.65</v>
      </c>
      <c r="L5" s="4">
        <v>1.26</v>
      </c>
      <c r="M5" s="4">
        <v>0</v>
      </c>
      <c r="N5" s="4">
        <v>0.02</v>
      </c>
      <c r="O5" s="4">
        <v>0.08</v>
      </c>
      <c r="P5" s="4">
        <v>0.04</v>
      </c>
      <c r="Q5" s="4">
        <v>0.45</v>
      </c>
      <c r="R5" s="4">
        <v>0.56999999999999995</v>
      </c>
      <c r="S5" s="4">
        <v>0.01</v>
      </c>
      <c r="T5" s="4">
        <v>0.02</v>
      </c>
      <c r="U5" s="4">
        <v>0.63</v>
      </c>
      <c r="V5" s="4">
        <v>1.34</v>
      </c>
      <c r="W5" s="4">
        <v>0.32</v>
      </c>
      <c r="X5" s="4">
        <v>0.01</v>
      </c>
      <c r="Y5" s="4">
        <v>0</v>
      </c>
      <c r="Z5" s="4">
        <v>0</v>
      </c>
      <c r="AA5" s="4">
        <v>0.01</v>
      </c>
      <c r="AB5" s="4">
        <v>0.11</v>
      </c>
      <c r="AC5" s="4">
        <v>0.18</v>
      </c>
      <c r="AD5" s="4">
        <v>1.24</v>
      </c>
      <c r="AE5" s="4">
        <v>0.03</v>
      </c>
      <c r="AF5" s="4">
        <v>0</v>
      </c>
      <c r="AG5" s="4">
        <v>0</v>
      </c>
      <c r="AH5" s="4">
        <v>0.01</v>
      </c>
      <c r="AI5" s="4">
        <v>0.47</v>
      </c>
      <c r="AJ5" s="4">
        <v>0</v>
      </c>
      <c r="AK5" s="4">
        <v>0.73</v>
      </c>
      <c r="AL5" s="4">
        <v>0.43</v>
      </c>
      <c r="AM5" s="4">
        <v>0.05</v>
      </c>
      <c r="AN5" s="4">
        <v>0.04</v>
      </c>
      <c r="AO5" s="4">
        <v>0</v>
      </c>
      <c r="AP5" s="4">
        <v>0.43</v>
      </c>
      <c r="AQ5" s="4">
        <v>0</v>
      </c>
      <c r="AR5" s="4">
        <v>0</v>
      </c>
      <c r="AS5" s="4">
        <v>0.34</v>
      </c>
    </row>
    <row r="6" spans="1:45" ht="43.5" x14ac:dyDescent="0.35">
      <c r="A6" s="3"/>
      <c r="B6" s="3"/>
      <c r="C6" s="3" t="s">
        <v>24</v>
      </c>
      <c r="D6" s="4">
        <v>7.75</v>
      </c>
      <c r="E6" s="4">
        <v>0.17</v>
      </c>
      <c r="F6" s="4">
        <v>0.03</v>
      </c>
      <c r="G6" s="4">
        <v>0.75</v>
      </c>
      <c r="H6" s="4">
        <v>4.22</v>
      </c>
      <c r="I6" s="4">
        <v>0.01</v>
      </c>
      <c r="J6" s="4">
        <v>4.2300000000000004</v>
      </c>
      <c r="K6" s="4">
        <v>2.56</v>
      </c>
      <c r="L6" s="4">
        <v>4.45</v>
      </c>
      <c r="M6" s="4">
        <v>0</v>
      </c>
      <c r="N6" s="4">
        <v>0.13</v>
      </c>
      <c r="O6" s="4">
        <v>0.19</v>
      </c>
      <c r="P6" s="4">
        <v>0.18</v>
      </c>
      <c r="Q6" s="4">
        <v>1.22</v>
      </c>
      <c r="R6" s="4">
        <v>1.58</v>
      </c>
      <c r="S6" s="4">
        <v>7.0000000000000007E-2</v>
      </c>
      <c r="T6" s="4">
        <v>0.13</v>
      </c>
      <c r="U6" s="4">
        <v>2.5299999999999998</v>
      </c>
      <c r="V6" s="4">
        <v>3.3</v>
      </c>
      <c r="W6" s="4">
        <v>3.34</v>
      </c>
      <c r="X6" s="4">
        <v>0.76</v>
      </c>
      <c r="Y6" s="4">
        <v>0</v>
      </c>
      <c r="Z6" s="4">
        <v>0</v>
      </c>
      <c r="AA6" s="4">
        <v>1.4</v>
      </c>
      <c r="AB6" s="4">
        <v>0.25</v>
      </c>
      <c r="AC6" s="4">
        <v>0.92</v>
      </c>
      <c r="AD6" s="4">
        <v>5.66</v>
      </c>
      <c r="AE6" s="4">
        <v>0.71</v>
      </c>
      <c r="AF6" s="4">
        <v>0.05</v>
      </c>
      <c r="AG6" s="4">
        <v>0</v>
      </c>
      <c r="AH6" s="4">
        <v>1.24</v>
      </c>
      <c r="AI6" s="4">
        <v>1.98</v>
      </c>
      <c r="AJ6" s="4">
        <v>7.0000000000000007E-2</v>
      </c>
      <c r="AK6" s="4">
        <v>1.61</v>
      </c>
      <c r="AL6" s="4">
        <v>0.98</v>
      </c>
      <c r="AM6" s="4">
        <v>0.52</v>
      </c>
      <c r="AN6" s="4">
        <v>0.55000000000000004</v>
      </c>
      <c r="AO6" s="4">
        <v>-0.03</v>
      </c>
      <c r="AP6" s="4">
        <v>0.95</v>
      </c>
      <c r="AQ6" s="4">
        <v>0</v>
      </c>
      <c r="AR6" s="4">
        <v>0</v>
      </c>
      <c r="AS6" s="4">
        <v>0.73</v>
      </c>
    </row>
    <row r="7" spans="1:45" ht="130.5" x14ac:dyDescent="0.35">
      <c r="A7" s="3"/>
      <c r="B7" s="3"/>
      <c r="C7" s="3" t="s">
        <v>25</v>
      </c>
      <c r="D7" s="4">
        <v>2.1</v>
      </c>
      <c r="E7" s="4">
        <v>0.14000000000000001</v>
      </c>
      <c r="F7" s="4">
        <v>0.16</v>
      </c>
      <c r="G7" s="4">
        <v>0.65</v>
      </c>
      <c r="H7" s="4">
        <v>1.01</v>
      </c>
      <c r="I7" s="4">
        <v>0.11</v>
      </c>
      <c r="J7" s="4">
        <v>1.1200000000000001</v>
      </c>
      <c r="K7" s="4">
        <v>0.02</v>
      </c>
      <c r="L7" s="4">
        <v>0.61</v>
      </c>
      <c r="M7" s="4">
        <v>0</v>
      </c>
      <c r="N7" s="4">
        <v>0.23</v>
      </c>
      <c r="O7" s="4">
        <v>0.18</v>
      </c>
      <c r="P7" s="4">
        <v>0.02</v>
      </c>
      <c r="Q7" s="4">
        <v>0.15</v>
      </c>
      <c r="R7" s="4">
        <v>0.34</v>
      </c>
      <c r="S7" s="4">
        <v>0.04</v>
      </c>
      <c r="T7" s="4">
        <v>0</v>
      </c>
      <c r="U7" s="4">
        <v>0</v>
      </c>
      <c r="V7" s="4">
        <v>1.48</v>
      </c>
      <c r="W7" s="4">
        <v>26.56</v>
      </c>
      <c r="X7" s="4">
        <v>0.37</v>
      </c>
      <c r="Y7" s="4">
        <v>0.16</v>
      </c>
      <c r="Z7" s="4">
        <v>0</v>
      </c>
      <c r="AA7" s="4">
        <v>25.8</v>
      </c>
      <c r="AB7" s="4">
        <v>0.17</v>
      </c>
      <c r="AC7" s="4">
        <v>0.05</v>
      </c>
      <c r="AD7" s="4">
        <v>27.1</v>
      </c>
      <c r="AE7" s="4">
        <v>0.35</v>
      </c>
      <c r="AF7" s="4">
        <v>0</v>
      </c>
      <c r="AG7" s="4">
        <v>0</v>
      </c>
      <c r="AH7" s="4">
        <v>25.82</v>
      </c>
      <c r="AI7" s="4">
        <v>0.25</v>
      </c>
      <c r="AJ7" s="4">
        <v>0.05</v>
      </c>
      <c r="AK7" s="4">
        <v>0.62</v>
      </c>
      <c r="AL7" s="4">
        <v>0.94</v>
      </c>
      <c r="AM7" s="4">
        <v>0.33</v>
      </c>
      <c r="AN7" s="4">
        <v>0</v>
      </c>
      <c r="AO7" s="4">
        <v>0.33</v>
      </c>
      <c r="AP7" s="4">
        <v>1.27</v>
      </c>
      <c r="AQ7" s="4">
        <v>-0.02</v>
      </c>
      <c r="AR7" s="4">
        <v>-0.02</v>
      </c>
      <c r="AS7" s="4">
        <v>0.95</v>
      </c>
    </row>
    <row r="8" spans="1:45" ht="29" x14ac:dyDescent="0.35">
      <c r="A8" s="3"/>
      <c r="B8" s="3" t="s">
        <v>19</v>
      </c>
      <c r="C8" s="3" t="s">
        <v>18</v>
      </c>
      <c r="D8" s="4">
        <v>6.5</v>
      </c>
      <c r="E8" s="4">
        <v>0.09</v>
      </c>
      <c r="F8" s="4">
        <v>0</v>
      </c>
      <c r="G8" s="4">
        <v>0.34</v>
      </c>
      <c r="H8" s="4">
        <v>4.3099999999999996</v>
      </c>
      <c r="I8" s="4">
        <v>0.04</v>
      </c>
      <c r="J8" s="4">
        <v>4.3499999999999996</v>
      </c>
      <c r="K8" s="4">
        <v>1.72</v>
      </c>
      <c r="L8" s="4">
        <v>3.56</v>
      </c>
      <c r="M8" s="4">
        <v>0</v>
      </c>
      <c r="N8" s="4">
        <v>0</v>
      </c>
      <c r="O8" s="4">
        <v>0.28999999999999998</v>
      </c>
      <c r="P8" s="4">
        <v>0.08</v>
      </c>
      <c r="Q8" s="4">
        <v>1.25</v>
      </c>
      <c r="R8" s="4">
        <v>1.62</v>
      </c>
      <c r="S8" s="4">
        <v>0.06</v>
      </c>
      <c r="T8" s="4">
        <v>0.16</v>
      </c>
      <c r="U8" s="4">
        <v>1.73</v>
      </c>
      <c r="V8" s="4">
        <v>2.94</v>
      </c>
      <c r="W8" s="4">
        <v>11.27</v>
      </c>
      <c r="X8" s="4">
        <v>0.33</v>
      </c>
      <c r="Y8" s="4">
        <v>0</v>
      </c>
      <c r="Z8" s="4">
        <v>0</v>
      </c>
      <c r="AA8" s="4">
        <v>10.14</v>
      </c>
      <c r="AB8" s="4">
        <v>0.45</v>
      </c>
      <c r="AC8" s="4">
        <v>0.33</v>
      </c>
      <c r="AD8" s="4">
        <v>13.01</v>
      </c>
      <c r="AE8" s="4">
        <v>0.04</v>
      </c>
      <c r="AF8" s="4">
        <v>0</v>
      </c>
      <c r="AG8" s="4">
        <v>0</v>
      </c>
      <c r="AH8" s="4">
        <v>10.11</v>
      </c>
      <c r="AI8" s="4">
        <v>1.06</v>
      </c>
      <c r="AJ8" s="4">
        <v>0.01</v>
      </c>
      <c r="AK8" s="4">
        <v>1.78</v>
      </c>
      <c r="AL8" s="4">
        <v>1.19</v>
      </c>
      <c r="AM8" s="4">
        <v>0</v>
      </c>
      <c r="AN8" s="4">
        <v>0.03</v>
      </c>
      <c r="AO8" s="4">
        <v>-0.02</v>
      </c>
      <c r="AP8" s="4">
        <v>1.17</v>
      </c>
      <c r="AQ8" s="4">
        <v>0</v>
      </c>
      <c r="AR8" s="4">
        <v>0</v>
      </c>
      <c r="AS8" s="4">
        <v>0.92</v>
      </c>
    </row>
    <row r="9" spans="1:45" x14ac:dyDescent="0.35">
      <c r="A9" s="3"/>
      <c r="B9" s="3"/>
      <c r="C9" s="3" t="s">
        <v>21</v>
      </c>
      <c r="D9" s="4">
        <v>2.11</v>
      </c>
      <c r="E9" s="4">
        <v>0.02</v>
      </c>
      <c r="F9" s="4">
        <v>0</v>
      </c>
      <c r="G9" s="4">
        <v>0.11</v>
      </c>
      <c r="H9" s="4">
        <v>0.95</v>
      </c>
      <c r="I9" s="4">
        <v>0.01</v>
      </c>
      <c r="J9" s="4">
        <v>0.96</v>
      </c>
      <c r="K9" s="4">
        <v>1.02</v>
      </c>
      <c r="L9" s="4">
        <v>1.55</v>
      </c>
      <c r="M9" s="4">
        <v>0</v>
      </c>
      <c r="N9" s="4">
        <v>0.02</v>
      </c>
      <c r="O9" s="4">
        <v>0.03</v>
      </c>
      <c r="P9" s="4">
        <v>0.05</v>
      </c>
      <c r="Q9" s="4">
        <v>0.3</v>
      </c>
      <c r="R9" s="4">
        <v>0.38</v>
      </c>
      <c r="S9" s="4">
        <v>0.04</v>
      </c>
      <c r="T9" s="4">
        <v>7.0000000000000007E-2</v>
      </c>
      <c r="U9" s="4">
        <v>1.03</v>
      </c>
      <c r="V9" s="4">
        <v>0.56999999999999995</v>
      </c>
      <c r="W9" s="4">
        <v>0.35</v>
      </c>
      <c r="X9" s="4">
        <v>0.04</v>
      </c>
      <c r="Y9" s="4">
        <v>0</v>
      </c>
      <c r="Z9" s="4">
        <v>0</v>
      </c>
      <c r="AA9" s="4">
        <v>0.14000000000000001</v>
      </c>
      <c r="AB9" s="4">
        <v>0.1</v>
      </c>
      <c r="AC9" s="4">
        <v>7.0000000000000007E-2</v>
      </c>
      <c r="AD9" s="4">
        <v>0.76</v>
      </c>
      <c r="AE9" s="4">
        <v>0.02</v>
      </c>
      <c r="AF9" s="4">
        <v>0</v>
      </c>
      <c r="AG9" s="4">
        <v>0</v>
      </c>
      <c r="AH9" s="4">
        <v>0.13</v>
      </c>
      <c r="AI9" s="4">
        <v>0.19</v>
      </c>
      <c r="AJ9" s="4">
        <v>0</v>
      </c>
      <c r="AK9" s="4">
        <v>0.43</v>
      </c>
      <c r="AL9" s="4">
        <v>0.15</v>
      </c>
      <c r="AM9" s="4">
        <v>0</v>
      </c>
      <c r="AN9" s="4">
        <v>0</v>
      </c>
      <c r="AO9" s="4">
        <v>0</v>
      </c>
      <c r="AP9" s="4">
        <v>0.15</v>
      </c>
      <c r="AQ9" s="4">
        <v>0</v>
      </c>
      <c r="AR9" s="4">
        <v>0</v>
      </c>
      <c r="AS9" s="4">
        <v>0.12</v>
      </c>
    </row>
    <row r="10" spans="1:45" ht="43.5" x14ac:dyDescent="0.35">
      <c r="A10" s="3"/>
      <c r="B10" s="3"/>
      <c r="C10" s="3" t="s">
        <v>24</v>
      </c>
      <c r="D10" s="4">
        <v>19.670000000000002</v>
      </c>
      <c r="E10" s="4">
        <v>0.3</v>
      </c>
      <c r="F10" s="4">
        <v>0.08</v>
      </c>
      <c r="G10" s="4">
        <v>2.94</v>
      </c>
      <c r="H10" s="4">
        <v>9.81</v>
      </c>
      <c r="I10" s="4">
        <v>0.11</v>
      </c>
      <c r="J10" s="4">
        <v>9.92</v>
      </c>
      <c r="K10" s="4">
        <v>6.43</v>
      </c>
      <c r="L10" s="4">
        <v>12.17</v>
      </c>
      <c r="M10" s="4">
        <v>0</v>
      </c>
      <c r="N10" s="4">
        <v>0.14000000000000001</v>
      </c>
      <c r="O10" s="4">
        <v>1.21</v>
      </c>
      <c r="P10" s="4">
        <v>0.57999999999999996</v>
      </c>
      <c r="Q10" s="4">
        <v>3.57</v>
      </c>
      <c r="R10" s="4">
        <v>5.36</v>
      </c>
      <c r="S10" s="4">
        <v>0.09</v>
      </c>
      <c r="T10" s="4">
        <v>0.35</v>
      </c>
      <c r="U10" s="4">
        <v>6.23</v>
      </c>
      <c r="V10" s="4">
        <v>7.51</v>
      </c>
      <c r="W10" s="4">
        <v>8.7100000000000009</v>
      </c>
      <c r="X10" s="4">
        <v>1.1299999999999999</v>
      </c>
      <c r="Y10" s="4">
        <v>0</v>
      </c>
      <c r="Z10" s="4">
        <v>0.02</v>
      </c>
      <c r="AA10" s="4">
        <v>4.07</v>
      </c>
      <c r="AB10" s="4">
        <v>1.71</v>
      </c>
      <c r="AC10" s="4">
        <v>1.78</v>
      </c>
      <c r="AD10" s="4">
        <v>12.14</v>
      </c>
      <c r="AE10" s="4">
        <v>0.68</v>
      </c>
      <c r="AF10" s="4">
        <v>0</v>
      </c>
      <c r="AG10" s="4">
        <v>0</v>
      </c>
      <c r="AH10" s="4">
        <v>3.46</v>
      </c>
      <c r="AI10" s="4">
        <v>2.66</v>
      </c>
      <c r="AJ10" s="4">
        <v>0.41</v>
      </c>
      <c r="AK10" s="4">
        <v>4.93</v>
      </c>
      <c r="AL10" s="4">
        <v>4.08</v>
      </c>
      <c r="AM10" s="4">
        <v>7.89</v>
      </c>
      <c r="AN10" s="4">
        <v>7.99</v>
      </c>
      <c r="AO10" s="4">
        <v>-0.1</v>
      </c>
      <c r="AP10" s="4">
        <v>3.98</v>
      </c>
      <c r="AQ10" s="4">
        <v>0</v>
      </c>
      <c r="AR10" s="4">
        <v>0</v>
      </c>
      <c r="AS10" s="4">
        <v>3.15</v>
      </c>
    </row>
    <row r="11" spans="1:45" ht="29" x14ac:dyDescent="0.35">
      <c r="A11" s="3"/>
      <c r="B11" s="3" t="s">
        <v>20</v>
      </c>
      <c r="C11" s="3" t="s">
        <v>18</v>
      </c>
      <c r="D11" s="4">
        <v>32.299999999999997</v>
      </c>
      <c r="E11" s="4">
        <v>0.33</v>
      </c>
      <c r="F11" s="4">
        <v>0.55000000000000004</v>
      </c>
      <c r="G11" s="4">
        <v>3.07</v>
      </c>
      <c r="H11" s="4">
        <v>25.91</v>
      </c>
      <c r="I11" s="4">
        <v>0.52</v>
      </c>
      <c r="J11" s="4">
        <v>26.43</v>
      </c>
      <c r="K11" s="4">
        <v>1.92</v>
      </c>
      <c r="L11" s="4">
        <v>11.57</v>
      </c>
      <c r="M11" s="4">
        <v>0</v>
      </c>
      <c r="N11" s="4">
        <v>0.17</v>
      </c>
      <c r="O11" s="4">
        <v>2.99</v>
      </c>
      <c r="P11" s="4">
        <v>0.62</v>
      </c>
      <c r="Q11" s="4">
        <v>4.22</v>
      </c>
      <c r="R11" s="4">
        <v>7.83</v>
      </c>
      <c r="S11" s="4">
        <v>0.51</v>
      </c>
      <c r="T11" s="4">
        <v>2.02</v>
      </c>
      <c r="U11" s="4">
        <v>1.04</v>
      </c>
      <c r="V11" s="4">
        <v>20.73</v>
      </c>
      <c r="W11" s="4">
        <v>75.150000000000006</v>
      </c>
      <c r="X11" s="4">
        <v>0.97</v>
      </c>
      <c r="Y11" s="4">
        <v>0</v>
      </c>
      <c r="Z11" s="4">
        <v>0</v>
      </c>
      <c r="AA11" s="4">
        <v>63.23</v>
      </c>
      <c r="AB11" s="4">
        <v>4.47</v>
      </c>
      <c r="AC11" s="4">
        <v>6.48</v>
      </c>
      <c r="AD11" s="4">
        <v>83.83</v>
      </c>
      <c r="AE11" s="4">
        <v>0.1</v>
      </c>
      <c r="AF11" s="4">
        <v>0</v>
      </c>
      <c r="AG11" s="4">
        <v>0</v>
      </c>
      <c r="AH11" s="4">
        <v>62.95</v>
      </c>
      <c r="AI11" s="4">
        <v>10.1</v>
      </c>
      <c r="AJ11" s="4">
        <v>0.25</v>
      </c>
      <c r="AK11" s="4">
        <v>10.42</v>
      </c>
      <c r="AL11" s="4">
        <v>12.05</v>
      </c>
      <c r="AM11" s="4">
        <v>0.36</v>
      </c>
      <c r="AN11" s="4">
        <v>0.03</v>
      </c>
      <c r="AO11" s="4">
        <v>0.34</v>
      </c>
      <c r="AP11" s="4">
        <v>12.39</v>
      </c>
      <c r="AQ11" s="4">
        <v>0</v>
      </c>
      <c r="AR11" s="4">
        <v>0</v>
      </c>
      <c r="AS11" s="4">
        <v>10.050000000000001</v>
      </c>
    </row>
    <row r="12" spans="1:45" ht="43.5" x14ac:dyDescent="0.35">
      <c r="A12" s="3"/>
      <c r="B12" s="3"/>
      <c r="C12" s="3" t="s">
        <v>24</v>
      </c>
      <c r="D12" s="4">
        <v>9.26</v>
      </c>
      <c r="E12" s="4">
        <v>0.06</v>
      </c>
      <c r="F12" s="4">
        <v>0.02</v>
      </c>
      <c r="G12" s="4">
        <v>2.04</v>
      </c>
      <c r="H12" s="4">
        <v>5.42</v>
      </c>
      <c r="I12" s="4">
        <v>0.12</v>
      </c>
      <c r="J12" s="4">
        <v>5.54</v>
      </c>
      <c r="K12" s="4">
        <v>1.59</v>
      </c>
      <c r="L12" s="4">
        <v>2.39</v>
      </c>
      <c r="M12" s="4">
        <v>0</v>
      </c>
      <c r="N12" s="4">
        <v>0</v>
      </c>
      <c r="O12" s="4">
        <v>0.4</v>
      </c>
      <c r="P12" s="4">
        <v>0.02</v>
      </c>
      <c r="Q12" s="4">
        <v>0.44</v>
      </c>
      <c r="R12" s="4">
        <v>0.86</v>
      </c>
      <c r="S12" s="4">
        <v>0</v>
      </c>
      <c r="T12" s="4">
        <v>0</v>
      </c>
      <c r="U12" s="4">
        <v>1.52</v>
      </c>
      <c r="V12" s="4">
        <v>6.88</v>
      </c>
      <c r="W12" s="4">
        <v>3.19</v>
      </c>
      <c r="X12" s="4">
        <v>0.33</v>
      </c>
      <c r="Y12" s="4">
        <v>0</v>
      </c>
      <c r="Z12" s="4">
        <v>0</v>
      </c>
      <c r="AA12" s="4">
        <v>0.24</v>
      </c>
      <c r="AB12" s="4">
        <v>1.8</v>
      </c>
      <c r="AC12" s="4">
        <v>0.82</v>
      </c>
      <c r="AD12" s="4">
        <v>3.88</v>
      </c>
      <c r="AE12" s="4">
        <v>0.04</v>
      </c>
      <c r="AF12" s="4">
        <v>0</v>
      </c>
      <c r="AG12" s="4">
        <v>0</v>
      </c>
      <c r="AH12" s="4">
        <v>0.08</v>
      </c>
      <c r="AI12" s="4">
        <v>1.26</v>
      </c>
      <c r="AJ12" s="4">
        <v>0</v>
      </c>
      <c r="AK12" s="4">
        <v>2.5099999999999998</v>
      </c>
      <c r="AL12" s="4">
        <v>6.18</v>
      </c>
      <c r="AM12" s="4">
        <v>0.02</v>
      </c>
      <c r="AN12" s="4">
        <v>0.06</v>
      </c>
      <c r="AO12" s="4">
        <v>-0.04</v>
      </c>
      <c r="AP12" s="4">
        <v>6.14</v>
      </c>
      <c r="AQ12" s="4">
        <v>0</v>
      </c>
      <c r="AR12" s="4">
        <v>0</v>
      </c>
      <c r="AS12" s="4">
        <v>5</v>
      </c>
    </row>
    <row r="13" spans="1:45" x14ac:dyDescent="0.35">
      <c r="A13" s="3" t="s">
        <v>26</v>
      </c>
      <c r="B13" s="3" t="s">
        <v>22</v>
      </c>
      <c r="C13" s="3" t="s">
        <v>21</v>
      </c>
      <c r="D13" s="4">
        <v>11.88</v>
      </c>
      <c r="E13" s="4">
        <v>0.13</v>
      </c>
      <c r="F13" s="4">
        <v>0.13</v>
      </c>
      <c r="G13" s="4">
        <v>0.82</v>
      </c>
      <c r="H13" s="4">
        <v>5.79</v>
      </c>
      <c r="I13" s="4">
        <v>0</v>
      </c>
      <c r="J13" s="4">
        <v>5.8</v>
      </c>
      <c r="K13" s="4">
        <v>5</v>
      </c>
      <c r="L13" s="4">
        <v>7.1</v>
      </c>
      <c r="M13" s="4">
        <v>0</v>
      </c>
      <c r="N13" s="4">
        <v>0.08</v>
      </c>
      <c r="O13" s="4">
        <v>0.23</v>
      </c>
      <c r="P13" s="4">
        <v>0.19</v>
      </c>
      <c r="Q13" s="4">
        <v>1.42</v>
      </c>
      <c r="R13" s="4">
        <v>1.84</v>
      </c>
      <c r="S13" s="4">
        <v>0.02</v>
      </c>
      <c r="T13" s="4">
        <v>0.13</v>
      </c>
      <c r="U13" s="4">
        <v>5.0199999999999996</v>
      </c>
      <c r="V13" s="4">
        <v>4.78</v>
      </c>
      <c r="W13" s="4">
        <v>0.82</v>
      </c>
      <c r="X13" s="4">
        <v>0.02</v>
      </c>
      <c r="Y13" s="4">
        <v>0</v>
      </c>
      <c r="Z13" s="4">
        <v>0</v>
      </c>
      <c r="AA13" s="4">
        <v>0</v>
      </c>
      <c r="AB13" s="4">
        <v>0.38</v>
      </c>
      <c r="AC13" s="4">
        <v>0.41</v>
      </c>
      <c r="AD13" s="4">
        <v>3.74</v>
      </c>
      <c r="AE13" s="4">
        <v>0</v>
      </c>
      <c r="AF13" s="4">
        <v>0</v>
      </c>
      <c r="AG13" s="4">
        <v>0</v>
      </c>
      <c r="AH13" s="4">
        <v>0</v>
      </c>
      <c r="AI13" s="4">
        <v>0.95</v>
      </c>
      <c r="AJ13" s="4">
        <v>0.01</v>
      </c>
      <c r="AK13" s="4">
        <v>2.77</v>
      </c>
      <c r="AL13" s="4">
        <v>1.86</v>
      </c>
      <c r="AM13" s="4">
        <v>0.88</v>
      </c>
      <c r="AN13" s="4">
        <v>0.9</v>
      </c>
      <c r="AO13" s="4">
        <v>-0.02</v>
      </c>
      <c r="AP13" s="4">
        <v>1.84</v>
      </c>
      <c r="AQ13" s="4">
        <v>0</v>
      </c>
      <c r="AR13" s="4">
        <v>0</v>
      </c>
      <c r="AS13" s="4">
        <v>1.51</v>
      </c>
    </row>
    <row r="14" spans="1:45" ht="43.5" x14ac:dyDescent="0.35">
      <c r="A14" s="3"/>
      <c r="B14" s="3"/>
      <c r="C14" s="3" t="s">
        <v>24</v>
      </c>
      <c r="D14" s="4">
        <v>16.53</v>
      </c>
      <c r="E14" s="4">
        <v>0.17</v>
      </c>
      <c r="F14" s="4">
        <v>0.09</v>
      </c>
      <c r="G14" s="4">
        <v>1.64</v>
      </c>
      <c r="H14" s="4">
        <v>6.11</v>
      </c>
      <c r="I14" s="4">
        <v>0</v>
      </c>
      <c r="J14" s="4">
        <v>6.12</v>
      </c>
      <c r="K14" s="4">
        <v>8.52</v>
      </c>
      <c r="L14" s="4">
        <v>12.26</v>
      </c>
      <c r="M14" s="4">
        <v>0</v>
      </c>
      <c r="N14" s="4">
        <v>0.14000000000000001</v>
      </c>
      <c r="O14" s="4">
        <v>0.28999999999999998</v>
      </c>
      <c r="P14" s="4">
        <v>0.3</v>
      </c>
      <c r="Q14" s="4">
        <v>2.8</v>
      </c>
      <c r="R14" s="4">
        <v>3.39</v>
      </c>
      <c r="S14" s="4">
        <v>0.15</v>
      </c>
      <c r="T14" s="4">
        <v>7.0000000000000007E-2</v>
      </c>
      <c r="U14" s="4">
        <v>8.52</v>
      </c>
      <c r="V14" s="4">
        <v>4.2699999999999996</v>
      </c>
      <c r="W14" s="4">
        <v>2.0099999999999998</v>
      </c>
      <c r="X14" s="4">
        <v>0.11</v>
      </c>
      <c r="Y14" s="4">
        <v>0</v>
      </c>
      <c r="Z14" s="4">
        <v>0</v>
      </c>
      <c r="AA14" s="4">
        <v>0.08</v>
      </c>
      <c r="AB14" s="4">
        <v>0.68</v>
      </c>
      <c r="AC14" s="4">
        <v>1.1299999999999999</v>
      </c>
      <c r="AD14" s="4">
        <v>4.78</v>
      </c>
      <c r="AE14" s="4">
        <v>0.04</v>
      </c>
      <c r="AF14" s="4">
        <v>0.17</v>
      </c>
      <c r="AG14" s="4">
        <v>0</v>
      </c>
      <c r="AH14" s="4">
        <v>0.05</v>
      </c>
      <c r="AI14" s="4">
        <v>1.54</v>
      </c>
      <c r="AJ14" s="4">
        <v>0.06</v>
      </c>
      <c r="AK14" s="4">
        <v>2.91</v>
      </c>
      <c r="AL14" s="4">
        <v>1.5</v>
      </c>
      <c r="AM14" s="4">
        <v>0.23</v>
      </c>
      <c r="AN14" s="4">
        <v>0.56000000000000005</v>
      </c>
      <c r="AO14" s="4">
        <v>-0.33</v>
      </c>
      <c r="AP14" s="4">
        <v>1.17</v>
      </c>
      <c r="AQ14" s="4">
        <v>0</v>
      </c>
      <c r="AR14" s="4">
        <v>0</v>
      </c>
      <c r="AS14" s="4">
        <v>0.95</v>
      </c>
    </row>
    <row r="15" spans="1:45" ht="130.5" x14ac:dyDescent="0.35">
      <c r="A15" s="3"/>
      <c r="B15" s="3"/>
      <c r="C15" s="3" t="s">
        <v>25</v>
      </c>
      <c r="D15" s="4">
        <v>0.4</v>
      </c>
      <c r="E15" s="4">
        <v>0.06</v>
      </c>
      <c r="F15" s="4">
        <v>0.03</v>
      </c>
      <c r="G15" s="4">
        <v>0.19</v>
      </c>
      <c r="H15" s="4">
        <v>0.1</v>
      </c>
      <c r="I15" s="4">
        <v>0.02</v>
      </c>
      <c r="J15" s="4">
        <v>0.12</v>
      </c>
      <c r="K15" s="4">
        <v>0</v>
      </c>
      <c r="L15" s="4">
        <v>0.2</v>
      </c>
      <c r="M15" s="4">
        <v>0</v>
      </c>
      <c r="N15" s="4">
        <v>0.06</v>
      </c>
      <c r="O15" s="4">
        <v>0.05</v>
      </c>
      <c r="P15" s="4">
        <v>0</v>
      </c>
      <c r="Q15" s="4">
        <v>0.02</v>
      </c>
      <c r="R15" s="4">
        <v>0.06</v>
      </c>
      <c r="S15" s="4">
        <v>0</v>
      </c>
      <c r="T15" s="4">
        <v>0</v>
      </c>
      <c r="U15" s="4">
        <v>0.08</v>
      </c>
      <c r="V15" s="4">
        <v>0.2</v>
      </c>
      <c r="W15" s="4">
        <v>9.83</v>
      </c>
      <c r="X15" s="4">
        <v>0.15</v>
      </c>
      <c r="Y15" s="4">
        <v>0</v>
      </c>
      <c r="Z15" s="4">
        <v>0.16</v>
      </c>
      <c r="AA15" s="4">
        <v>9.4700000000000006</v>
      </c>
      <c r="AB15" s="4">
        <v>0.01</v>
      </c>
      <c r="AC15" s="4">
        <v>0.03</v>
      </c>
      <c r="AD15" s="4">
        <v>9.83</v>
      </c>
      <c r="AE15" s="4">
        <v>0.19</v>
      </c>
      <c r="AF15" s="4">
        <v>0</v>
      </c>
      <c r="AG15" s="4">
        <v>0.03</v>
      </c>
      <c r="AH15" s="4">
        <v>9.4499999999999993</v>
      </c>
      <c r="AI15" s="4">
        <v>0.02</v>
      </c>
      <c r="AJ15" s="4">
        <v>0</v>
      </c>
      <c r="AK15" s="4">
        <v>0.14000000000000001</v>
      </c>
      <c r="AL15" s="4">
        <v>0.2</v>
      </c>
      <c r="AM15" s="4">
        <v>0</v>
      </c>
      <c r="AN15" s="4">
        <v>0</v>
      </c>
      <c r="AO15" s="4">
        <v>0</v>
      </c>
      <c r="AP15" s="4">
        <v>0.2</v>
      </c>
      <c r="AQ15" s="4">
        <v>0</v>
      </c>
      <c r="AR15" s="4">
        <v>0</v>
      </c>
      <c r="AS15" s="4">
        <v>0.14000000000000001</v>
      </c>
    </row>
    <row r="16" spans="1:45" x14ac:dyDescent="0.35">
      <c r="A16" s="3"/>
      <c r="B16" s="3" t="s">
        <v>23</v>
      </c>
      <c r="C16" s="3" t="s">
        <v>21</v>
      </c>
      <c r="D16" s="4">
        <v>4.8899999999999997</v>
      </c>
      <c r="E16" s="4">
        <v>0.06</v>
      </c>
      <c r="F16" s="4">
        <v>7.0000000000000007E-2</v>
      </c>
      <c r="G16" s="4">
        <v>0.68</v>
      </c>
      <c r="H16" s="4">
        <v>2.94</v>
      </c>
      <c r="I16" s="4">
        <v>0.02</v>
      </c>
      <c r="J16" s="4">
        <v>2.97</v>
      </c>
      <c r="K16" s="4">
        <v>1.1200000000000001</v>
      </c>
      <c r="L16" s="4">
        <v>2.2999999999999998</v>
      </c>
      <c r="M16" s="4">
        <v>0</v>
      </c>
      <c r="N16" s="4">
        <v>0.04</v>
      </c>
      <c r="O16" s="4">
        <v>0.15</v>
      </c>
      <c r="P16" s="4">
        <v>7.0000000000000007E-2</v>
      </c>
      <c r="Q16" s="4">
        <v>0.83</v>
      </c>
      <c r="R16" s="4">
        <v>1.06</v>
      </c>
      <c r="S16" s="4">
        <v>0.02</v>
      </c>
      <c r="T16" s="4">
        <v>0.08</v>
      </c>
      <c r="U16" s="4">
        <v>1.0900000000000001</v>
      </c>
      <c r="V16" s="4">
        <v>2.6</v>
      </c>
      <c r="W16" s="4">
        <v>0.57999999999999996</v>
      </c>
      <c r="X16" s="4">
        <v>0.04</v>
      </c>
      <c r="Y16" s="4">
        <v>0</v>
      </c>
      <c r="Z16" s="4">
        <v>0</v>
      </c>
      <c r="AA16" s="4">
        <v>0.02</v>
      </c>
      <c r="AB16" s="4">
        <v>0.24</v>
      </c>
      <c r="AC16" s="4">
        <v>0.28000000000000003</v>
      </c>
      <c r="AD16" s="4">
        <v>2.38</v>
      </c>
      <c r="AE16" s="4">
        <v>7.0000000000000007E-2</v>
      </c>
      <c r="AF16" s="4">
        <v>0</v>
      </c>
      <c r="AG16" s="4">
        <v>0</v>
      </c>
      <c r="AH16" s="4">
        <v>0.02</v>
      </c>
      <c r="AI16" s="4">
        <v>0.83</v>
      </c>
      <c r="AJ16" s="4">
        <v>0</v>
      </c>
      <c r="AK16" s="4">
        <v>1.46</v>
      </c>
      <c r="AL16" s="4">
        <v>0.8</v>
      </c>
      <c r="AM16" s="4">
        <v>0.1</v>
      </c>
      <c r="AN16" s="4">
        <v>0.08</v>
      </c>
      <c r="AO16" s="4">
        <v>0.03</v>
      </c>
      <c r="AP16" s="4">
        <v>0.83</v>
      </c>
      <c r="AQ16" s="4">
        <v>0</v>
      </c>
      <c r="AR16" s="4">
        <v>0</v>
      </c>
      <c r="AS16" s="4">
        <v>0.65</v>
      </c>
    </row>
    <row r="17" spans="1:45" ht="43.5" x14ac:dyDescent="0.35">
      <c r="A17" s="3"/>
      <c r="B17" s="3"/>
      <c r="C17" s="3" t="s">
        <v>24</v>
      </c>
      <c r="D17" s="4">
        <v>14.9</v>
      </c>
      <c r="E17" s="4">
        <v>0.27</v>
      </c>
      <c r="F17" s="4">
        <v>0.08</v>
      </c>
      <c r="G17" s="4">
        <v>1.44</v>
      </c>
      <c r="H17" s="4">
        <v>8.23</v>
      </c>
      <c r="I17" s="4">
        <v>0.02</v>
      </c>
      <c r="J17" s="4">
        <v>8.25</v>
      </c>
      <c r="K17" s="4">
        <v>4.87</v>
      </c>
      <c r="L17" s="4">
        <v>8.41</v>
      </c>
      <c r="M17" s="4">
        <v>0</v>
      </c>
      <c r="N17" s="4">
        <v>0.25</v>
      </c>
      <c r="O17" s="4">
        <v>0.37</v>
      </c>
      <c r="P17" s="4">
        <v>0.34</v>
      </c>
      <c r="Q17" s="4">
        <v>2.29</v>
      </c>
      <c r="R17" s="4">
        <v>2.99</v>
      </c>
      <c r="S17" s="4">
        <v>0.14000000000000001</v>
      </c>
      <c r="T17" s="4">
        <v>0.25</v>
      </c>
      <c r="U17" s="4">
        <v>4.7699999999999996</v>
      </c>
      <c r="V17" s="4">
        <v>6.49</v>
      </c>
      <c r="W17" s="4">
        <v>5.88</v>
      </c>
      <c r="X17" s="4">
        <v>1.47</v>
      </c>
      <c r="Y17" s="4">
        <v>0</v>
      </c>
      <c r="Z17" s="4">
        <v>0</v>
      </c>
      <c r="AA17" s="4">
        <v>2.16</v>
      </c>
      <c r="AB17" s="4">
        <v>0.48</v>
      </c>
      <c r="AC17" s="4">
        <v>1.78</v>
      </c>
      <c r="AD17" s="4">
        <v>10.25</v>
      </c>
      <c r="AE17" s="4">
        <v>1.4</v>
      </c>
      <c r="AF17" s="4">
        <v>0</v>
      </c>
      <c r="AG17" s="4">
        <v>0</v>
      </c>
      <c r="AH17" s="4">
        <v>1.83</v>
      </c>
      <c r="AI17" s="4">
        <v>3.66</v>
      </c>
      <c r="AJ17" s="4">
        <v>0.09</v>
      </c>
      <c r="AK17" s="4">
        <v>3.27</v>
      </c>
      <c r="AL17" s="4">
        <v>2.12</v>
      </c>
      <c r="AM17" s="4">
        <v>0.75</v>
      </c>
      <c r="AN17" s="4">
        <v>0.98</v>
      </c>
      <c r="AO17" s="4">
        <v>-0.23</v>
      </c>
      <c r="AP17" s="4">
        <v>1.89</v>
      </c>
      <c r="AQ17" s="4">
        <v>0</v>
      </c>
      <c r="AR17" s="4">
        <v>0</v>
      </c>
      <c r="AS17" s="4">
        <v>1.46</v>
      </c>
    </row>
    <row r="18" spans="1:45" ht="130.5" x14ac:dyDescent="0.35">
      <c r="A18" s="3"/>
      <c r="B18" s="3"/>
      <c r="C18" s="3" t="s">
        <v>25</v>
      </c>
      <c r="D18" s="4">
        <v>4.03</v>
      </c>
      <c r="E18" s="4">
        <v>0.27</v>
      </c>
      <c r="F18" s="4">
        <v>0.28999999999999998</v>
      </c>
      <c r="G18" s="4">
        <v>1.31</v>
      </c>
      <c r="H18" s="4">
        <v>1.92</v>
      </c>
      <c r="I18" s="4">
        <v>0.2</v>
      </c>
      <c r="J18" s="4">
        <v>2.12</v>
      </c>
      <c r="K18" s="4">
        <v>0.05</v>
      </c>
      <c r="L18" s="4">
        <v>0.91</v>
      </c>
      <c r="M18" s="4">
        <v>0</v>
      </c>
      <c r="N18" s="4">
        <v>0.14000000000000001</v>
      </c>
      <c r="O18" s="4">
        <v>0.35</v>
      </c>
      <c r="P18" s="4">
        <v>0.03</v>
      </c>
      <c r="Q18" s="4">
        <v>0.28000000000000003</v>
      </c>
      <c r="R18" s="4">
        <v>0.66</v>
      </c>
      <c r="S18" s="4">
        <v>0.09</v>
      </c>
      <c r="T18" s="4">
        <v>0</v>
      </c>
      <c r="U18" s="4">
        <v>0.01</v>
      </c>
      <c r="V18" s="4">
        <v>3.12</v>
      </c>
      <c r="W18" s="4">
        <v>42.35</v>
      </c>
      <c r="X18" s="4">
        <v>0.32</v>
      </c>
      <c r="Y18" s="4">
        <v>0</v>
      </c>
      <c r="Z18" s="4">
        <v>0</v>
      </c>
      <c r="AA18" s="4">
        <v>41.56</v>
      </c>
      <c r="AB18" s="4">
        <v>0.37</v>
      </c>
      <c r="AC18" s="4">
        <v>7.0000000000000007E-2</v>
      </c>
      <c r="AD18" s="4">
        <v>43.31</v>
      </c>
      <c r="AE18" s="4">
        <v>0.34</v>
      </c>
      <c r="AF18" s="4">
        <v>0</v>
      </c>
      <c r="AG18" s="4">
        <v>0.02</v>
      </c>
      <c r="AH18" s="4">
        <v>41.15</v>
      </c>
      <c r="AI18" s="4">
        <v>0.37</v>
      </c>
      <c r="AJ18" s="4">
        <v>0.15</v>
      </c>
      <c r="AK18" s="4">
        <v>1.27</v>
      </c>
      <c r="AL18" s="4">
        <v>2.16</v>
      </c>
      <c r="AM18" s="4">
        <v>0.31</v>
      </c>
      <c r="AN18" s="4">
        <v>0</v>
      </c>
      <c r="AO18" s="4">
        <v>0.31</v>
      </c>
      <c r="AP18" s="4">
        <v>2.4700000000000002</v>
      </c>
      <c r="AQ18" s="4">
        <v>-0.04</v>
      </c>
      <c r="AR18" s="4">
        <v>-0.04</v>
      </c>
      <c r="AS18" s="4">
        <v>1.85</v>
      </c>
    </row>
    <row r="19" spans="1:45" ht="29" x14ac:dyDescent="0.35">
      <c r="A19" s="3"/>
      <c r="B19" s="3" t="s">
        <v>19</v>
      </c>
      <c r="C19" s="3" t="s">
        <v>18</v>
      </c>
      <c r="D19" s="4">
        <v>12.72</v>
      </c>
      <c r="E19" s="4">
        <v>0.16</v>
      </c>
      <c r="F19" s="4">
        <v>0</v>
      </c>
      <c r="G19" s="4">
        <v>0.65</v>
      </c>
      <c r="H19" s="4">
        <v>8.49</v>
      </c>
      <c r="I19" s="4">
        <v>7.0000000000000007E-2</v>
      </c>
      <c r="J19" s="4">
        <v>8.56</v>
      </c>
      <c r="K19" s="4">
        <v>3.34</v>
      </c>
      <c r="L19" s="4">
        <v>6.86</v>
      </c>
      <c r="M19" s="4">
        <v>0</v>
      </c>
      <c r="N19" s="4">
        <v>0</v>
      </c>
      <c r="O19" s="4">
        <v>0.56999999999999995</v>
      </c>
      <c r="P19" s="4">
        <v>0.14000000000000001</v>
      </c>
      <c r="Q19" s="4">
        <v>2.4</v>
      </c>
      <c r="R19" s="4">
        <v>3.11</v>
      </c>
      <c r="S19" s="4">
        <v>0.11</v>
      </c>
      <c r="T19" s="4">
        <v>0.31</v>
      </c>
      <c r="U19" s="4">
        <v>3.32</v>
      </c>
      <c r="V19" s="4">
        <v>5.86</v>
      </c>
      <c r="W19" s="4">
        <v>14.73</v>
      </c>
      <c r="X19" s="4">
        <v>0.54</v>
      </c>
      <c r="Y19" s="4">
        <v>0</v>
      </c>
      <c r="Z19" s="4">
        <v>0</v>
      </c>
      <c r="AA19" s="4">
        <v>12.77</v>
      </c>
      <c r="AB19" s="4">
        <v>0.9</v>
      </c>
      <c r="AC19" s="4">
        <v>0.52</v>
      </c>
      <c r="AD19" s="4">
        <v>18.170000000000002</v>
      </c>
      <c r="AE19" s="4">
        <v>0.05</v>
      </c>
      <c r="AF19" s="4">
        <v>0</v>
      </c>
      <c r="AG19" s="4">
        <v>0</v>
      </c>
      <c r="AH19" s="4">
        <v>12.68</v>
      </c>
      <c r="AI19" s="4">
        <v>1.9</v>
      </c>
      <c r="AJ19" s="4">
        <v>0.02</v>
      </c>
      <c r="AK19" s="4">
        <v>3.53</v>
      </c>
      <c r="AL19" s="4">
        <v>2.42</v>
      </c>
      <c r="AM19" s="4">
        <v>0.01</v>
      </c>
      <c r="AN19" s="4">
        <v>0.06</v>
      </c>
      <c r="AO19" s="4">
        <v>-0.04</v>
      </c>
      <c r="AP19" s="4">
        <v>2.37</v>
      </c>
      <c r="AQ19" s="4">
        <v>0</v>
      </c>
      <c r="AR19" s="4">
        <v>0</v>
      </c>
      <c r="AS19" s="4">
        <v>1.86</v>
      </c>
    </row>
    <row r="20" spans="1:45" x14ac:dyDescent="0.35">
      <c r="A20" s="3"/>
      <c r="B20" s="3"/>
      <c r="C20" s="3" t="s">
        <v>21</v>
      </c>
      <c r="D20" s="4">
        <v>4.03</v>
      </c>
      <c r="E20" s="4">
        <v>0.03</v>
      </c>
      <c r="F20" s="4">
        <v>0</v>
      </c>
      <c r="G20" s="4">
        <v>0.22</v>
      </c>
      <c r="H20" s="4">
        <v>1.86</v>
      </c>
      <c r="I20" s="4">
        <v>0.02</v>
      </c>
      <c r="J20" s="4">
        <v>1.89</v>
      </c>
      <c r="K20" s="4">
        <v>1.89</v>
      </c>
      <c r="L20" s="4">
        <v>2.89</v>
      </c>
      <c r="M20" s="4">
        <v>0</v>
      </c>
      <c r="N20" s="4">
        <v>0.05</v>
      </c>
      <c r="O20" s="4">
        <v>0.05</v>
      </c>
      <c r="P20" s="4">
        <v>0.1</v>
      </c>
      <c r="Q20" s="4">
        <v>0.56000000000000005</v>
      </c>
      <c r="R20" s="4">
        <v>0.71</v>
      </c>
      <c r="S20" s="4">
        <v>0.09</v>
      </c>
      <c r="T20" s="4">
        <v>0.12</v>
      </c>
      <c r="U20" s="4">
        <v>1.93</v>
      </c>
      <c r="V20" s="4">
        <v>1.1399999999999999</v>
      </c>
      <c r="W20" s="4">
        <v>0.61</v>
      </c>
      <c r="X20" s="4">
        <v>7.0000000000000007E-2</v>
      </c>
      <c r="Y20" s="4">
        <v>0</v>
      </c>
      <c r="Z20" s="4">
        <v>0</v>
      </c>
      <c r="AA20" s="4">
        <v>0.17</v>
      </c>
      <c r="AB20" s="4">
        <v>0.23</v>
      </c>
      <c r="AC20" s="4">
        <v>0.14000000000000001</v>
      </c>
      <c r="AD20" s="4">
        <v>1.43</v>
      </c>
      <c r="AE20" s="4">
        <v>0.01</v>
      </c>
      <c r="AF20" s="4">
        <v>0</v>
      </c>
      <c r="AG20" s="4">
        <v>0</v>
      </c>
      <c r="AH20" s="4">
        <v>0.17</v>
      </c>
      <c r="AI20" s="4">
        <v>0.36</v>
      </c>
      <c r="AJ20" s="4">
        <v>0</v>
      </c>
      <c r="AK20" s="4">
        <v>0.88</v>
      </c>
      <c r="AL20" s="4">
        <v>0.32</v>
      </c>
      <c r="AM20" s="4">
        <v>0</v>
      </c>
      <c r="AN20" s="4">
        <v>0</v>
      </c>
      <c r="AO20" s="4">
        <v>0</v>
      </c>
      <c r="AP20" s="4">
        <v>0.32</v>
      </c>
      <c r="AQ20" s="4">
        <v>0</v>
      </c>
      <c r="AR20" s="4">
        <v>0</v>
      </c>
      <c r="AS20" s="4">
        <v>0.26</v>
      </c>
    </row>
    <row r="21" spans="1:45" ht="43.5" x14ac:dyDescent="0.35">
      <c r="A21" s="3"/>
      <c r="B21" s="3"/>
      <c r="C21" s="3" t="s">
        <v>24</v>
      </c>
      <c r="D21" s="4">
        <v>37.67</v>
      </c>
      <c r="E21" s="4">
        <v>0.5</v>
      </c>
      <c r="F21" s="4">
        <v>0.17</v>
      </c>
      <c r="G21" s="4">
        <v>5.67</v>
      </c>
      <c r="H21" s="4">
        <v>18.809999999999999</v>
      </c>
      <c r="I21" s="4">
        <v>0.21</v>
      </c>
      <c r="J21" s="4">
        <v>19.010000000000002</v>
      </c>
      <c r="K21" s="4">
        <v>12.31</v>
      </c>
      <c r="L21" s="4">
        <v>23.21</v>
      </c>
      <c r="M21" s="4">
        <v>0</v>
      </c>
      <c r="N21" s="4">
        <v>0.27</v>
      </c>
      <c r="O21" s="4">
        <v>2.27</v>
      </c>
      <c r="P21" s="4">
        <v>1.0900000000000001</v>
      </c>
      <c r="Q21" s="4">
        <v>6.73</v>
      </c>
      <c r="R21" s="4">
        <v>10.1</v>
      </c>
      <c r="S21" s="4">
        <v>0.19</v>
      </c>
      <c r="T21" s="4">
        <v>0.73</v>
      </c>
      <c r="U21" s="4">
        <v>11.93</v>
      </c>
      <c r="V21" s="4">
        <v>14.45</v>
      </c>
      <c r="W21" s="4">
        <v>13.21</v>
      </c>
      <c r="X21" s="4">
        <v>1.68</v>
      </c>
      <c r="Y21" s="4">
        <v>0</v>
      </c>
      <c r="Z21" s="4">
        <v>0.04</v>
      </c>
      <c r="AA21" s="4">
        <v>5.46</v>
      </c>
      <c r="AB21" s="4">
        <v>2.98</v>
      </c>
      <c r="AC21" s="4">
        <v>3.05</v>
      </c>
      <c r="AD21" s="4">
        <v>20.74</v>
      </c>
      <c r="AE21" s="4">
        <v>0.63</v>
      </c>
      <c r="AF21" s="4">
        <v>0</v>
      </c>
      <c r="AG21" s="4">
        <v>0</v>
      </c>
      <c r="AH21" s="4">
        <v>4.91</v>
      </c>
      <c r="AI21" s="4">
        <v>4.8600000000000003</v>
      </c>
      <c r="AJ21" s="4">
        <v>0.56000000000000005</v>
      </c>
      <c r="AK21" s="4">
        <v>9.7799999999999994</v>
      </c>
      <c r="AL21" s="4">
        <v>6.93</v>
      </c>
      <c r="AM21" s="4">
        <v>15</v>
      </c>
      <c r="AN21" s="4">
        <v>14.79</v>
      </c>
      <c r="AO21" s="4">
        <v>0.21</v>
      </c>
      <c r="AP21" s="4">
        <v>7.14</v>
      </c>
      <c r="AQ21" s="4">
        <v>0</v>
      </c>
      <c r="AR21" s="4">
        <v>0</v>
      </c>
      <c r="AS21" s="4">
        <v>5.63</v>
      </c>
    </row>
    <row r="22" spans="1:45" ht="29" x14ac:dyDescent="0.35">
      <c r="A22" s="3"/>
      <c r="B22" s="3" t="s">
        <v>20</v>
      </c>
      <c r="C22" s="3" t="s">
        <v>18</v>
      </c>
      <c r="D22" s="4">
        <v>60.24</v>
      </c>
      <c r="E22" s="4">
        <v>0.64</v>
      </c>
      <c r="F22" s="4">
        <v>1.0900000000000001</v>
      </c>
      <c r="G22" s="4">
        <v>5.9</v>
      </c>
      <c r="H22" s="4">
        <v>50.2</v>
      </c>
      <c r="I22" s="4">
        <v>0.51</v>
      </c>
      <c r="J22" s="4">
        <v>50.71</v>
      </c>
      <c r="K22" s="4">
        <v>1.89</v>
      </c>
      <c r="L22" s="4">
        <v>20.440000000000001</v>
      </c>
      <c r="M22" s="4">
        <v>0</v>
      </c>
      <c r="N22" s="4">
        <v>0.33</v>
      </c>
      <c r="O22" s="4">
        <v>5.7</v>
      </c>
      <c r="P22" s="4">
        <v>1.1399999999999999</v>
      </c>
      <c r="Q22" s="4">
        <v>8.2799999999999994</v>
      </c>
      <c r="R22" s="4">
        <v>15.12</v>
      </c>
      <c r="S22" s="4">
        <v>1</v>
      </c>
      <c r="T22" s="4">
        <v>1.76</v>
      </c>
      <c r="U22" s="4">
        <v>2.23</v>
      </c>
      <c r="V22" s="4">
        <v>39.799999999999997</v>
      </c>
      <c r="W22" s="4">
        <v>128.29</v>
      </c>
      <c r="X22" s="4">
        <v>1.96</v>
      </c>
      <c r="Y22" s="4">
        <v>0</v>
      </c>
      <c r="Z22" s="4">
        <v>0</v>
      </c>
      <c r="AA22" s="4">
        <v>103.8</v>
      </c>
      <c r="AB22" s="4">
        <v>8.89</v>
      </c>
      <c r="AC22" s="4">
        <v>13.64</v>
      </c>
      <c r="AD22" s="4">
        <v>144.47</v>
      </c>
      <c r="AE22" s="4">
        <v>0.11</v>
      </c>
      <c r="AF22" s="4">
        <v>0</v>
      </c>
      <c r="AG22" s="4">
        <v>0</v>
      </c>
      <c r="AH22" s="4">
        <v>103.83</v>
      </c>
      <c r="AI22" s="4">
        <v>20.59</v>
      </c>
      <c r="AJ22" s="4">
        <v>0.45</v>
      </c>
      <c r="AK22" s="4">
        <v>19.489999999999998</v>
      </c>
      <c r="AL22" s="4">
        <v>23.62</v>
      </c>
      <c r="AM22" s="4">
        <v>1.0900000000000001</v>
      </c>
      <c r="AN22" s="4">
        <v>0.06</v>
      </c>
      <c r="AO22" s="4">
        <v>1.03</v>
      </c>
      <c r="AP22" s="4">
        <v>24.65</v>
      </c>
      <c r="AQ22" s="4">
        <v>0</v>
      </c>
      <c r="AR22" s="4">
        <v>0</v>
      </c>
      <c r="AS22" s="4">
        <v>20.010000000000002</v>
      </c>
    </row>
    <row r="23" spans="1:45" ht="43.5" x14ac:dyDescent="0.35">
      <c r="A23" s="3"/>
      <c r="B23" s="3"/>
      <c r="C23" s="3" t="s">
        <v>24</v>
      </c>
      <c r="D23" s="4">
        <v>18.03</v>
      </c>
      <c r="E23" s="4">
        <v>0.11</v>
      </c>
      <c r="F23" s="4">
        <v>0.06</v>
      </c>
      <c r="G23" s="4">
        <v>3.97</v>
      </c>
      <c r="H23" s="4">
        <v>10.49</v>
      </c>
      <c r="I23" s="4">
        <v>0.23</v>
      </c>
      <c r="J23" s="4">
        <v>10.72</v>
      </c>
      <c r="K23" s="4">
        <v>3.17</v>
      </c>
      <c r="L23" s="4">
        <v>4.7300000000000004</v>
      </c>
      <c r="M23" s="4">
        <v>0</v>
      </c>
      <c r="N23" s="4">
        <v>0</v>
      </c>
      <c r="O23" s="4">
        <v>0.78</v>
      </c>
      <c r="P23" s="4">
        <v>0.06</v>
      </c>
      <c r="Q23" s="4">
        <v>0.83</v>
      </c>
      <c r="R23" s="4">
        <v>1.66</v>
      </c>
      <c r="S23" s="4">
        <v>0</v>
      </c>
      <c r="T23" s="4">
        <v>0</v>
      </c>
      <c r="U23" s="4">
        <v>3.06</v>
      </c>
      <c r="V23" s="4">
        <v>13.3</v>
      </c>
      <c r="W23" s="4">
        <v>5.7</v>
      </c>
      <c r="X23" s="4">
        <v>0.55000000000000004</v>
      </c>
      <c r="Y23" s="4">
        <v>0</v>
      </c>
      <c r="Z23" s="4">
        <v>0</v>
      </c>
      <c r="AA23" s="4">
        <v>0.35</v>
      </c>
      <c r="AB23" s="4">
        <v>3.42</v>
      </c>
      <c r="AC23" s="4">
        <v>1.38</v>
      </c>
      <c r="AD23" s="4">
        <v>7.54</v>
      </c>
      <c r="AE23" s="4">
        <v>0.03</v>
      </c>
      <c r="AF23" s="4">
        <v>0</v>
      </c>
      <c r="AG23" s="4">
        <v>0</v>
      </c>
      <c r="AH23" s="4">
        <v>0.06</v>
      </c>
      <c r="AI23" s="4">
        <v>2.0699999999999998</v>
      </c>
      <c r="AJ23" s="4">
        <v>0</v>
      </c>
      <c r="AK23" s="4">
        <v>5.37</v>
      </c>
      <c r="AL23" s="4">
        <v>11.46</v>
      </c>
      <c r="AM23" s="4">
        <v>0.03</v>
      </c>
      <c r="AN23" s="4">
        <v>0.14000000000000001</v>
      </c>
      <c r="AO23" s="4">
        <v>-0.11</v>
      </c>
      <c r="AP23" s="4">
        <v>11.35</v>
      </c>
      <c r="AQ23" s="4">
        <v>0</v>
      </c>
      <c r="AR23" s="4">
        <v>0</v>
      </c>
      <c r="AS23" s="4">
        <v>9.23</v>
      </c>
    </row>
    <row r="24" spans="1:45" x14ac:dyDescent="0.35">
      <c r="A24" s="3" t="s">
        <v>27</v>
      </c>
      <c r="B24" s="3" t="s">
        <v>22</v>
      </c>
      <c r="C24" s="3" t="s">
        <v>21</v>
      </c>
      <c r="D24" s="4">
        <v>18.3</v>
      </c>
      <c r="E24" s="4">
        <v>0.16</v>
      </c>
      <c r="F24" s="4">
        <v>0.2</v>
      </c>
      <c r="G24" s="4">
        <v>1.27</v>
      </c>
      <c r="H24" s="4">
        <v>8.94</v>
      </c>
      <c r="I24" s="4">
        <v>0.01</v>
      </c>
      <c r="J24" s="4">
        <v>8.9499999999999993</v>
      </c>
      <c r="K24" s="4">
        <v>7.72</v>
      </c>
      <c r="L24" s="4">
        <v>10.86</v>
      </c>
      <c r="M24" s="4">
        <v>0</v>
      </c>
      <c r="N24" s="4">
        <v>0.13</v>
      </c>
      <c r="O24" s="4">
        <v>0.35</v>
      </c>
      <c r="P24" s="4">
        <v>0.28000000000000003</v>
      </c>
      <c r="Q24" s="4">
        <v>2.13</v>
      </c>
      <c r="R24" s="4">
        <v>2.75</v>
      </c>
      <c r="S24" s="4">
        <v>0.04</v>
      </c>
      <c r="T24" s="4">
        <v>0.2</v>
      </c>
      <c r="U24" s="4">
        <v>7.73</v>
      </c>
      <c r="V24" s="4">
        <v>7.44</v>
      </c>
      <c r="W24" s="4">
        <v>1.36</v>
      </c>
      <c r="X24" s="4">
        <v>0.02</v>
      </c>
      <c r="Y24" s="4">
        <v>0</v>
      </c>
      <c r="Z24" s="4">
        <v>0</v>
      </c>
      <c r="AA24" s="4">
        <v>0</v>
      </c>
      <c r="AB24" s="4">
        <v>0.6</v>
      </c>
      <c r="AC24" s="4">
        <v>0.72</v>
      </c>
      <c r="AD24" s="4">
        <v>5.76</v>
      </c>
      <c r="AE24" s="4">
        <v>0.02</v>
      </c>
      <c r="AF24" s="4">
        <v>0</v>
      </c>
      <c r="AG24" s="4">
        <v>0</v>
      </c>
      <c r="AH24" s="4">
        <v>0</v>
      </c>
      <c r="AI24" s="4">
        <v>1.06</v>
      </c>
      <c r="AJ24" s="4">
        <v>0.02</v>
      </c>
      <c r="AK24" s="4">
        <v>4.6399999999999997</v>
      </c>
      <c r="AL24" s="4">
        <v>3.04</v>
      </c>
      <c r="AM24" s="4">
        <v>1.32</v>
      </c>
      <c r="AN24" s="4">
        <v>1.35</v>
      </c>
      <c r="AO24" s="4">
        <v>-0.02</v>
      </c>
      <c r="AP24" s="4">
        <v>3.02</v>
      </c>
      <c r="AQ24" s="4">
        <v>0</v>
      </c>
      <c r="AR24" s="4">
        <v>0</v>
      </c>
      <c r="AS24" s="4">
        <v>2.52</v>
      </c>
    </row>
    <row r="25" spans="1:45" ht="43.5" x14ac:dyDescent="0.35">
      <c r="A25" s="3"/>
      <c r="B25" s="3"/>
      <c r="C25" s="3" t="s">
        <v>24</v>
      </c>
      <c r="D25" s="4">
        <v>25.21</v>
      </c>
      <c r="E25" s="4">
        <v>0.23</v>
      </c>
      <c r="F25" s="4">
        <v>0.14000000000000001</v>
      </c>
      <c r="G25" s="4">
        <v>2.5099999999999998</v>
      </c>
      <c r="H25" s="4">
        <v>9.31</v>
      </c>
      <c r="I25" s="4">
        <v>0.01</v>
      </c>
      <c r="J25" s="4">
        <v>9.32</v>
      </c>
      <c r="K25" s="4">
        <v>13.01</v>
      </c>
      <c r="L25" s="4">
        <v>18.71</v>
      </c>
      <c r="M25" s="4">
        <v>0</v>
      </c>
      <c r="N25" s="4">
        <v>0.22</v>
      </c>
      <c r="O25" s="4">
        <v>0.43</v>
      </c>
      <c r="P25" s="4">
        <v>0.45</v>
      </c>
      <c r="Q25" s="4">
        <v>4.21</v>
      </c>
      <c r="R25" s="4">
        <v>5.0999999999999996</v>
      </c>
      <c r="S25" s="4">
        <v>0.25</v>
      </c>
      <c r="T25" s="4">
        <v>0.11</v>
      </c>
      <c r="U25" s="4">
        <v>13.03</v>
      </c>
      <c r="V25" s="4">
        <v>6.5</v>
      </c>
      <c r="W25" s="4">
        <v>2.89</v>
      </c>
      <c r="X25" s="4">
        <v>0.13</v>
      </c>
      <c r="Y25" s="4">
        <v>0</v>
      </c>
      <c r="Z25" s="4">
        <v>0</v>
      </c>
      <c r="AA25" s="4">
        <v>0.13</v>
      </c>
      <c r="AB25" s="4">
        <v>0.96</v>
      </c>
      <c r="AC25" s="4">
        <v>1.65</v>
      </c>
      <c r="AD25" s="4">
        <v>7.25</v>
      </c>
      <c r="AE25" s="4">
        <v>0.1</v>
      </c>
      <c r="AF25" s="4">
        <v>0.26</v>
      </c>
      <c r="AG25" s="4">
        <v>0</v>
      </c>
      <c r="AH25" s="4">
        <v>0.11</v>
      </c>
      <c r="AI25" s="4">
        <v>2.2799999999999998</v>
      </c>
      <c r="AJ25" s="4">
        <v>0.09</v>
      </c>
      <c r="AK25" s="4">
        <v>4.41</v>
      </c>
      <c r="AL25" s="4">
        <v>2.14</v>
      </c>
      <c r="AM25" s="4">
        <v>0.57999999999999996</v>
      </c>
      <c r="AN25" s="4">
        <v>0.89</v>
      </c>
      <c r="AO25" s="4">
        <v>-0.31</v>
      </c>
      <c r="AP25" s="4">
        <v>1.82</v>
      </c>
      <c r="AQ25" s="4">
        <v>0</v>
      </c>
      <c r="AR25" s="4">
        <v>0</v>
      </c>
      <c r="AS25" s="4">
        <v>1.48</v>
      </c>
    </row>
    <row r="26" spans="1:45" ht="130.5" x14ac:dyDescent="0.35">
      <c r="A26" s="3"/>
      <c r="B26" s="3"/>
      <c r="C26" s="3" t="s">
        <v>25</v>
      </c>
      <c r="D26" s="4">
        <v>0.63</v>
      </c>
      <c r="E26" s="4">
        <v>0.08</v>
      </c>
      <c r="F26" s="4">
        <v>0.05</v>
      </c>
      <c r="G26" s="4">
        <v>0.31</v>
      </c>
      <c r="H26" s="4">
        <v>0.15</v>
      </c>
      <c r="I26" s="4">
        <v>0.04</v>
      </c>
      <c r="J26" s="4">
        <v>0.18</v>
      </c>
      <c r="K26" s="4">
        <v>0</v>
      </c>
      <c r="L26" s="4">
        <v>0.32</v>
      </c>
      <c r="M26" s="4">
        <v>0</v>
      </c>
      <c r="N26" s="4">
        <v>0.1</v>
      </c>
      <c r="O26" s="4">
        <v>7.0000000000000007E-2</v>
      </c>
      <c r="P26" s="4">
        <v>0</v>
      </c>
      <c r="Q26" s="4">
        <v>0.03</v>
      </c>
      <c r="R26" s="4">
        <v>0.09</v>
      </c>
      <c r="S26" s="4">
        <v>0</v>
      </c>
      <c r="T26" s="4">
        <v>0</v>
      </c>
      <c r="U26" s="4">
        <v>0.13</v>
      </c>
      <c r="V26" s="4">
        <v>0.3</v>
      </c>
      <c r="W26" s="4">
        <v>12.34</v>
      </c>
      <c r="X26" s="4">
        <v>0.1</v>
      </c>
      <c r="Y26" s="4">
        <v>0</v>
      </c>
      <c r="Z26" s="4">
        <v>0.31</v>
      </c>
      <c r="AA26" s="4">
        <v>11.86</v>
      </c>
      <c r="AB26" s="4">
        <v>0.02</v>
      </c>
      <c r="AC26" s="4">
        <v>0.04</v>
      </c>
      <c r="AD26" s="4">
        <v>12.54</v>
      </c>
      <c r="AE26" s="4">
        <v>0.33</v>
      </c>
      <c r="AF26" s="4">
        <v>0</v>
      </c>
      <c r="AG26" s="4">
        <v>0.03</v>
      </c>
      <c r="AH26" s="4">
        <v>11.93</v>
      </c>
      <c r="AI26" s="4">
        <v>0.04</v>
      </c>
      <c r="AJ26" s="4">
        <v>0</v>
      </c>
      <c r="AK26" s="4">
        <v>0.21</v>
      </c>
      <c r="AL26" s="4">
        <v>0.1</v>
      </c>
      <c r="AM26" s="4">
        <v>0</v>
      </c>
      <c r="AN26" s="4">
        <v>0</v>
      </c>
      <c r="AO26" s="4">
        <v>0</v>
      </c>
      <c r="AP26" s="4">
        <v>0.1</v>
      </c>
      <c r="AQ26" s="4">
        <v>0</v>
      </c>
      <c r="AR26" s="4">
        <v>0</v>
      </c>
      <c r="AS26" s="4">
        <v>0.05</v>
      </c>
    </row>
    <row r="27" spans="1:45" x14ac:dyDescent="0.35">
      <c r="A27" s="3"/>
      <c r="B27" s="3" t="s">
        <v>23</v>
      </c>
      <c r="C27" s="3" t="s">
        <v>21</v>
      </c>
      <c r="D27" s="4">
        <v>7.37</v>
      </c>
      <c r="E27" s="4">
        <v>7.0000000000000007E-2</v>
      </c>
      <c r="F27" s="4">
        <v>0.11</v>
      </c>
      <c r="G27" s="4">
        <v>1.04</v>
      </c>
      <c r="H27" s="4">
        <v>4.53</v>
      </c>
      <c r="I27" s="4">
        <v>0.03</v>
      </c>
      <c r="J27" s="4">
        <v>4.5599999999999996</v>
      </c>
      <c r="K27" s="4">
        <v>1.59</v>
      </c>
      <c r="L27" s="4">
        <v>3.36</v>
      </c>
      <c r="M27" s="4">
        <v>0</v>
      </c>
      <c r="N27" s="4">
        <v>0.09</v>
      </c>
      <c r="O27" s="4">
        <v>0.21</v>
      </c>
      <c r="P27" s="4">
        <v>0.11</v>
      </c>
      <c r="Q27" s="4">
        <v>1.24</v>
      </c>
      <c r="R27" s="4">
        <v>1.57</v>
      </c>
      <c r="S27" s="4">
        <v>0.04</v>
      </c>
      <c r="T27" s="4">
        <v>0.12</v>
      </c>
      <c r="U27" s="4">
        <v>1.55</v>
      </c>
      <c r="V27" s="4">
        <v>4</v>
      </c>
      <c r="W27" s="4">
        <v>0.93</v>
      </c>
      <c r="X27" s="4">
        <v>7.0000000000000007E-2</v>
      </c>
      <c r="Y27" s="4">
        <v>0</v>
      </c>
      <c r="Z27" s="4">
        <v>0</v>
      </c>
      <c r="AA27" s="4">
        <v>0.03</v>
      </c>
      <c r="AB27" s="4">
        <v>0.38</v>
      </c>
      <c r="AC27" s="4">
        <v>0.44</v>
      </c>
      <c r="AD27" s="4">
        <v>3.82</v>
      </c>
      <c r="AE27" s="4">
        <v>0.14000000000000001</v>
      </c>
      <c r="AF27" s="4">
        <v>0</v>
      </c>
      <c r="AG27" s="4">
        <v>0</v>
      </c>
      <c r="AH27" s="4">
        <v>0.03</v>
      </c>
      <c r="AI27" s="4">
        <v>1.21</v>
      </c>
      <c r="AJ27" s="4">
        <v>0</v>
      </c>
      <c r="AK27" s="4">
        <v>2.4300000000000002</v>
      </c>
      <c r="AL27" s="4">
        <v>1.1200000000000001</v>
      </c>
      <c r="AM27" s="4">
        <v>0.25</v>
      </c>
      <c r="AN27" s="4">
        <v>0.12</v>
      </c>
      <c r="AO27" s="4">
        <v>0.13</v>
      </c>
      <c r="AP27" s="4">
        <v>1.25</v>
      </c>
      <c r="AQ27" s="4">
        <v>0</v>
      </c>
      <c r="AR27" s="4">
        <v>0</v>
      </c>
      <c r="AS27" s="4">
        <v>0.98</v>
      </c>
    </row>
    <row r="28" spans="1:45" ht="43.5" x14ac:dyDescent="0.35">
      <c r="A28" s="3"/>
      <c r="B28" s="3"/>
      <c r="C28" s="3" t="s">
        <v>24</v>
      </c>
      <c r="D28" s="4">
        <v>22.99</v>
      </c>
      <c r="E28" s="4">
        <v>0.36</v>
      </c>
      <c r="F28" s="4">
        <v>0.14000000000000001</v>
      </c>
      <c r="G28" s="4">
        <v>2.1800000000000002</v>
      </c>
      <c r="H28" s="4">
        <v>12.65</v>
      </c>
      <c r="I28" s="4">
        <v>0.03</v>
      </c>
      <c r="J28" s="4">
        <v>12.68</v>
      </c>
      <c r="K28" s="4">
        <v>7.63</v>
      </c>
      <c r="L28" s="4">
        <v>13.02</v>
      </c>
      <c r="M28" s="4">
        <v>0</v>
      </c>
      <c r="N28" s="4">
        <v>0.37</v>
      </c>
      <c r="O28" s="4">
        <v>0.55000000000000004</v>
      </c>
      <c r="P28" s="4">
        <v>0.52</v>
      </c>
      <c r="Q28" s="4">
        <v>3.42</v>
      </c>
      <c r="R28" s="4">
        <v>4.5</v>
      </c>
      <c r="S28" s="4">
        <v>0.22</v>
      </c>
      <c r="T28" s="4">
        <v>0.4</v>
      </c>
      <c r="U28" s="4">
        <v>7.53</v>
      </c>
      <c r="V28" s="4">
        <v>9.9700000000000006</v>
      </c>
      <c r="W28" s="4">
        <v>9.27</v>
      </c>
      <c r="X28" s="4">
        <v>2.37</v>
      </c>
      <c r="Y28" s="4">
        <v>0</v>
      </c>
      <c r="Z28" s="4">
        <v>0</v>
      </c>
      <c r="AA28" s="4">
        <v>3.68</v>
      </c>
      <c r="AB28" s="4">
        <v>0.81</v>
      </c>
      <c r="AC28" s="4">
        <v>2.4</v>
      </c>
      <c r="AD28" s="4">
        <v>15.97</v>
      </c>
      <c r="AE28" s="4">
        <v>2.38</v>
      </c>
      <c r="AF28" s="4">
        <v>0</v>
      </c>
      <c r="AG28" s="4">
        <v>0</v>
      </c>
      <c r="AH28" s="4">
        <v>3.13</v>
      </c>
      <c r="AI28" s="4">
        <v>5.04</v>
      </c>
      <c r="AJ28" s="4">
        <v>0.13</v>
      </c>
      <c r="AK28" s="4">
        <v>5.28</v>
      </c>
      <c r="AL28" s="4">
        <v>3.27</v>
      </c>
      <c r="AM28" s="4">
        <v>1.1499999999999999</v>
      </c>
      <c r="AN28" s="4">
        <v>1.5</v>
      </c>
      <c r="AO28" s="4">
        <v>-0.35</v>
      </c>
      <c r="AP28" s="4">
        <v>2.92</v>
      </c>
      <c r="AQ28" s="4">
        <v>0</v>
      </c>
      <c r="AR28" s="4">
        <v>0</v>
      </c>
      <c r="AS28" s="4">
        <v>2.2599999999999998</v>
      </c>
    </row>
    <row r="29" spans="1:45" ht="130.5" x14ac:dyDescent="0.35">
      <c r="A29" s="3"/>
      <c r="B29" s="3"/>
      <c r="C29" s="3" t="s">
        <v>25</v>
      </c>
      <c r="D29" s="4">
        <v>6.21</v>
      </c>
      <c r="E29" s="4">
        <v>0.38</v>
      </c>
      <c r="F29" s="4">
        <v>0.47</v>
      </c>
      <c r="G29" s="4">
        <v>2.04</v>
      </c>
      <c r="H29" s="4">
        <v>2.91</v>
      </c>
      <c r="I29" s="4">
        <v>0.33</v>
      </c>
      <c r="J29" s="4">
        <v>3.24</v>
      </c>
      <c r="K29" s="4">
        <v>0.08</v>
      </c>
      <c r="L29" s="4">
        <v>1.44</v>
      </c>
      <c r="M29" s="4">
        <v>0</v>
      </c>
      <c r="N29" s="4">
        <v>0.25</v>
      </c>
      <c r="O29" s="4">
        <v>0.56000000000000005</v>
      </c>
      <c r="P29" s="4">
        <v>0.05</v>
      </c>
      <c r="Q29" s="4">
        <v>0.43</v>
      </c>
      <c r="R29" s="4">
        <v>1.04</v>
      </c>
      <c r="S29" s="4">
        <v>0.13</v>
      </c>
      <c r="T29" s="4">
        <v>0</v>
      </c>
      <c r="U29" s="4">
        <v>0.02</v>
      </c>
      <c r="V29" s="4">
        <v>4.7699999999999996</v>
      </c>
      <c r="W29" s="4">
        <v>66.03</v>
      </c>
      <c r="X29" s="4">
        <v>0.44</v>
      </c>
      <c r="Y29" s="4">
        <v>0.09</v>
      </c>
      <c r="Z29" s="4">
        <v>0.01</v>
      </c>
      <c r="AA29" s="4">
        <v>64.849999999999994</v>
      </c>
      <c r="AB29" s="4">
        <v>0.55000000000000004</v>
      </c>
      <c r="AC29" s="4">
        <v>0.09</v>
      </c>
      <c r="AD29" s="4">
        <v>67.45</v>
      </c>
      <c r="AE29" s="4">
        <v>0.52</v>
      </c>
      <c r="AF29" s="4">
        <v>0</v>
      </c>
      <c r="AG29" s="4">
        <v>0.03</v>
      </c>
      <c r="AH29" s="4">
        <v>64.08</v>
      </c>
      <c r="AI29" s="4">
        <v>0.47</v>
      </c>
      <c r="AJ29" s="4">
        <v>0.25</v>
      </c>
      <c r="AK29" s="4">
        <v>2.1</v>
      </c>
      <c r="AL29" s="4">
        <v>3.35</v>
      </c>
      <c r="AM29" s="4">
        <v>0.61</v>
      </c>
      <c r="AN29" s="4">
        <v>0.01</v>
      </c>
      <c r="AO29" s="4">
        <v>0.59</v>
      </c>
      <c r="AP29" s="4">
        <v>3.94</v>
      </c>
      <c r="AQ29" s="4">
        <v>-7.0000000000000007E-2</v>
      </c>
      <c r="AR29" s="4">
        <v>-7.0000000000000007E-2</v>
      </c>
      <c r="AS29" s="4">
        <v>2.96</v>
      </c>
    </row>
    <row r="30" spans="1:45" ht="29" x14ac:dyDescent="0.35">
      <c r="A30" s="3"/>
      <c r="B30" s="3" t="s">
        <v>19</v>
      </c>
      <c r="C30" s="3" t="s">
        <v>18</v>
      </c>
      <c r="D30" s="4">
        <v>19.46</v>
      </c>
      <c r="E30" s="4">
        <v>0.2</v>
      </c>
      <c r="F30" s="4">
        <v>0</v>
      </c>
      <c r="G30" s="4">
        <v>0.97</v>
      </c>
      <c r="H30" s="4">
        <v>13.15</v>
      </c>
      <c r="I30" s="4">
        <v>0.1</v>
      </c>
      <c r="J30" s="4">
        <v>13.25</v>
      </c>
      <c r="K30" s="4">
        <v>5.04</v>
      </c>
      <c r="L30" s="4">
        <v>10.38</v>
      </c>
      <c r="M30" s="4">
        <v>0</v>
      </c>
      <c r="N30" s="4">
        <v>0</v>
      </c>
      <c r="O30" s="4">
        <v>0.85</v>
      </c>
      <c r="P30" s="4">
        <v>0.21</v>
      </c>
      <c r="Q30" s="4">
        <v>3.65</v>
      </c>
      <c r="R30" s="4">
        <v>4.72</v>
      </c>
      <c r="S30" s="4">
        <v>0.16</v>
      </c>
      <c r="T30" s="4">
        <v>0.48</v>
      </c>
      <c r="U30" s="4">
        <v>5.01</v>
      </c>
      <c r="V30" s="4">
        <v>9.08</v>
      </c>
      <c r="W30" s="4">
        <v>18.22</v>
      </c>
      <c r="X30" s="4">
        <v>0.65</v>
      </c>
      <c r="Y30" s="4">
        <v>0</v>
      </c>
      <c r="Z30" s="4">
        <v>0</v>
      </c>
      <c r="AA30" s="4">
        <v>15.29</v>
      </c>
      <c r="AB30" s="4">
        <v>1.31</v>
      </c>
      <c r="AC30" s="4">
        <v>0.97</v>
      </c>
      <c r="AD30" s="4">
        <v>23.28</v>
      </c>
      <c r="AE30" s="4">
        <v>0.11</v>
      </c>
      <c r="AF30" s="4">
        <v>0</v>
      </c>
      <c r="AG30" s="4">
        <v>0.04</v>
      </c>
      <c r="AH30" s="4">
        <v>15.23</v>
      </c>
      <c r="AI30" s="4">
        <v>2.62</v>
      </c>
      <c r="AJ30" s="4">
        <v>0.04</v>
      </c>
      <c r="AK30" s="4">
        <v>5.25</v>
      </c>
      <c r="AL30" s="4">
        <v>4.01</v>
      </c>
      <c r="AM30" s="4">
        <v>0.03</v>
      </c>
      <c r="AN30" s="4">
        <v>0.11</v>
      </c>
      <c r="AO30" s="4">
        <v>-0.09</v>
      </c>
      <c r="AP30" s="4">
        <v>3.93</v>
      </c>
      <c r="AQ30" s="4">
        <v>0</v>
      </c>
      <c r="AR30" s="4">
        <v>0</v>
      </c>
      <c r="AS30" s="4">
        <v>3.08</v>
      </c>
    </row>
    <row r="31" spans="1:45" x14ac:dyDescent="0.35">
      <c r="A31" s="3"/>
      <c r="B31" s="3"/>
      <c r="C31" s="3" t="s">
        <v>21</v>
      </c>
      <c r="D31" s="4">
        <v>6.05</v>
      </c>
      <c r="E31" s="4">
        <v>0.04</v>
      </c>
      <c r="F31" s="4">
        <v>0</v>
      </c>
      <c r="G31" s="4">
        <v>0.33</v>
      </c>
      <c r="H31" s="4">
        <v>2.8</v>
      </c>
      <c r="I31" s="4">
        <v>0.04</v>
      </c>
      <c r="J31" s="4">
        <v>2.84</v>
      </c>
      <c r="K31" s="4">
        <v>2.84</v>
      </c>
      <c r="L31" s="4">
        <v>4.38</v>
      </c>
      <c r="M31" s="4">
        <v>0</v>
      </c>
      <c r="N31" s="4">
        <v>7.0000000000000007E-2</v>
      </c>
      <c r="O31" s="4">
        <v>0.09</v>
      </c>
      <c r="P31" s="4">
        <v>0.15</v>
      </c>
      <c r="Q31" s="4">
        <v>0.83</v>
      </c>
      <c r="R31" s="4">
        <v>1.08</v>
      </c>
      <c r="S31" s="4">
        <v>0.13</v>
      </c>
      <c r="T31" s="4">
        <v>0.18</v>
      </c>
      <c r="U31" s="4">
        <v>2.92</v>
      </c>
      <c r="V31" s="4">
        <v>1.67</v>
      </c>
      <c r="W31" s="4">
        <v>1.77</v>
      </c>
      <c r="X31" s="4">
        <v>0.12</v>
      </c>
      <c r="Y31" s="4">
        <v>0</v>
      </c>
      <c r="Z31" s="4">
        <v>0</v>
      </c>
      <c r="AA31" s="4">
        <v>1.02</v>
      </c>
      <c r="AB31" s="4">
        <v>0.39</v>
      </c>
      <c r="AC31" s="4">
        <v>0.25</v>
      </c>
      <c r="AD31" s="4">
        <v>2.96</v>
      </c>
      <c r="AE31" s="4">
        <v>0.06</v>
      </c>
      <c r="AF31" s="4">
        <v>0</v>
      </c>
      <c r="AG31" s="4">
        <v>0</v>
      </c>
      <c r="AH31" s="4">
        <v>1.02</v>
      </c>
      <c r="AI31" s="4">
        <v>0.56000000000000005</v>
      </c>
      <c r="AJ31" s="4">
        <v>0</v>
      </c>
      <c r="AK31" s="4">
        <v>1.31</v>
      </c>
      <c r="AL31" s="4">
        <v>0.48</v>
      </c>
      <c r="AM31" s="4">
        <v>0</v>
      </c>
      <c r="AN31" s="4">
        <v>0.01</v>
      </c>
      <c r="AO31" s="4">
        <v>-0.01</v>
      </c>
      <c r="AP31" s="4">
        <v>0.47</v>
      </c>
      <c r="AQ31" s="4">
        <v>0</v>
      </c>
      <c r="AR31" s="4">
        <v>0</v>
      </c>
      <c r="AS31" s="4">
        <v>0.38</v>
      </c>
    </row>
    <row r="32" spans="1:45" ht="43.5" x14ac:dyDescent="0.35">
      <c r="A32" s="3"/>
      <c r="B32" s="3"/>
      <c r="C32" s="3" t="s">
        <v>24</v>
      </c>
      <c r="D32" s="4">
        <v>57.36</v>
      </c>
      <c r="E32" s="4">
        <v>0.67</v>
      </c>
      <c r="F32" s="4">
        <v>0.26</v>
      </c>
      <c r="G32" s="4">
        <v>8.6999999999999993</v>
      </c>
      <c r="H32" s="4">
        <v>28.72</v>
      </c>
      <c r="I32" s="4">
        <v>0.32</v>
      </c>
      <c r="J32" s="4">
        <v>29.04</v>
      </c>
      <c r="K32" s="4">
        <v>18.690000000000001</v>
      </c>
      <c r="L32" s="4">
        <v>35.130000000000003</v>
      </c>
      <c r="M32" s="4">
        <v>0</v>
      </c>
      <c r="N32" s="4">
        <v>0.43</v>
      </c>
      <c r="O32" s="4">
        <v>3.4</v>
      </c>
      <c r="P32" s="4">
        <v>1.65</v>
      </c>
      <c r="Q32" s="4">
        <v>10.17</v>
      </c>
      <c r="R32" s="4">
        <v>15.22</v>
      </c>
      <c r="S32" s="4">
        <v>0.33</v>
      </c>
      <c r="T32" s="4">
        <v>1.07</v>
      </c>
      <c r="U32" s="4">
        <v>18.079999999999998</v>
      </c>
      <c r="V32" s="4">
        <v>22.23</v>
      </c>
      <c r="W32" s="4">
        <v>19.73</v>
      </c>
      <c r="X32" s="4">
        <v>1.44</v>
      </c>
      <c r="Y32" s="4">
        <v>0</v>
      </c>
      <c r="Z32" s="4">
        <v>0.05</v>
      </c>
      <c r="AA32" s="4">
        <v>8.68</v>
      </c>
      <c r="AB32" s="4">
        <v>4.57</v>
      </c>
      <c r="AC32" s="4">
        <v>4.99</v>
      </c>
      <c r="AD32" s="4">
        <v>32.07</v>
      </c>
      <c r="AE32" s="4">
        <v>1.31</v>
      </c>
      <c r="AF32" s="4">
        <v>0</v>
      </c>
      <c r="AG32" s="4">
        <v>0</v>
      </c>
      <c r="AH32" s="4">
        <v>7.95</v>
      </c>
      <c r="AI32" s="4">
        <v>7.25</v>
      </c>
      <c r="AJ32" s="4">
        <v>0.84</v>
      </c>
      <c r="AK32" s="4">
        <v>14.71</v>
      </c>
      <c r="AL32" s="4">
        <v>9.89</v>
      </c>
      <c r="AM32" s="4">
        <v>21.87</v>
      </c>
      <c r="AN32" s="4">
        <v>21.45</v>
      </c>
      <c r="AO32" s="4">
        <v>0.42</v>
      </c>
      <c r="AP32" s="4">
        <v>10.3</v>
      </c>
      <c r="AQ32" s="4">
        <v>0</v>
      </c>
      <c r="AR32" s="4">
        <v>0</v>
      </c>
      <c r="AS32" s="4">
        <v>8.1300000000000008</v>
      </c>
    </row>
    <row r="33" spans="1:45" ht="29" x14ac:dyDescent="0.35">
      <c r="A33" s="3"/>
      <c r="B33" s="3" t="s">
        <v>20</v>
      </c>
      <c r="C33" s="3" t="s">
        <v>18</v>
      </c>
      <c r="D33" s="4">
        <v>90.76</v>
      </c>
      <c r="E33" s="4">
        <v>0.95</v>
      </c>
      <c r="F33" s="4">
        <v>1.58</v>
      </c>
      <c r="G33" s="4">
        <v>9.0299999999999994</v>
      </c>
      <c r="H33" s="4">
        <v>76.38</v>
      </c>
      <c r="I33" s="4">
        <v>0.86</v>
      </c>
      <c r="J33" s="4">
        <v>77.239999999999995</v>
      </c>
      <c r="K33" s="4">
        <v>1.95</v>
      </c>
      <c r="L33" s="4">
        <v>30.09</v>
      </c>
      <c r="M33" s="4">
        <v>0</v>
      </c>
      <c r="N33" s="4">
        <v>0.5</v>
      </c>
      <c r="O33" s="4">
        <v>8.32</v>
      </c>
      <c r="P33" s="4">
        <v>1.73</v>
      </c>
      <c r="Q33" s="4">
        <v>12.98</v>
      </c>
      <c r="R33" s="4">
        <v>23.02</v>
      </c>
      <c r="S33" s="4">
        <v>1.59</v>
      </c>
      <c r="T33" s="4">
        <v>2.36</v>
      </c>
      <c r="U33" s="4">
        <v>2.61</v>
      </c>
      <c r="V33" s="4">
        <v>60.67</v>
      </c>
      <c r="W33" s="4">
        <v>216.01</v>
      </c>
      <c r="X33" s="4">
        <v>2.54</v>
      </c>
      <c r="Y33" s="4">
        <v>0</v>
      </c>
      <c r="Z33" s="4">
        <v>0</v>
      </c>
      <c r="AA33" s="4">
        <v>177.24</v>
      </c>
      <c r="AB33" s="4">
        <v>13.93</v>
      </c>
      <c r="AC33" s="4">
        <v>22.3</v>
      </c>
      <c r="AD33" s="4">
        <v>238.8</v>
      </c>
      <c r="AE33" s="4">
        <v>0.51</v>
      </c>
      <c r="AF33" s="4">
        <v>0</v>
      </c>
      <c r="AG33" s="4">
        <v>0</v>
      </c>
      <c r="AH33" s="4">
        <v>175.65</v>
      </c>
      <c r="AI33" s="4">
        <v>31.74</v>
      </c>
      <c r="AJ33" s="4">
        <v>0.69</v>
      </c>
      <c r="AK33" s="4">
        <v>30.2</v>
      </c>
      <c r="AL33" s="4">
        <v>37.880000000000003</v>
      </c>
      <c r="AM33" s="4">
        <v>0.28000000000000003</v>
      </c>
      <c r="AN33" s="4">
        <v>0.15</v>
      </c>
      <c r="AO33" s="4">
        <v>0.13</v>
      </c>
      <c r="AP33" s="4">
        <v>38.01</v>
      </c>
      <c r="AQ33" s="4">
        <v>0</v>
      </c>
      <c r="AR33" s="4">
        <v>0</v>
      </c>
      <c r="AS33" s="4">
        <v>30.77</v>
      </c>
    </row>
    <row r="34" spans="1:45" ht="43.5" x14ac:dyDescent="0.35">
      <c r="A34" s="3"/>
      <c r="B34" s="3"/>
      <c r="C34" s="3" t="s">
        <v>24</v>
      </c>
      <c r="D34" s="4">
        <v>27.58</v>
      </c>
      <c r="E34" s="4">
        <v>0.14000000000000001</v>
      </c>
      <c r="F34" s="4">
        <v>0.12</v>
      </c>
      <c r="G34" s="4">
        <v>6.09</v>
      </c>
      <c r="H34" s="4">
        <v>15.99</v>
      </c>
      <c r="I34" s="4">
        <v>0.36</v>
      </c>
      <c r="J34" s="4">
        <v>16.350000000000001</v>
      </c>
      <c r="K34" s="4">
        <v>4.8899999999999997</v>
      </c>
      <c r="L34" s="4">
        <v>7.25</v>
      </c>
      <c r="M34" s="4">
        <v>0</v>
      </c>
      <c r="N34" s="4">
        <v>0.01</v>
      </c>
      <c r="O34" s="4">
        <v>1.1599999999999999</v>
      </c>
      <c r="P34" s="4">
        <v>0.1</v>
      </c>
      <c r="Q34" s="4">
        <v>1.26</v>
      </c>
      <c r="R34" s="4">
        <v>2.52</v>
      </c>
      <c r="S34" s="4">
        <v>0</v>
      </c>
      <c r="T34" s="4">
        <v>0</v>
      </c>
      <c r="U34" s="4">
        <v>4.71</v>
      </c>
      <c r="V34" s="4">
        <v>20.329999999999998</v>
      </c>
      <c r="W34" s="4">
        <v>10.1</v>
      </c>
      <c r="X34" s="4">
        <v>0.74</v>
      </c>
      <c r="Y34" s="4">
        <v>0</v>
      </c>
      <c r="Z34" s="4">
        <v>0</v>
      </c>
      <c r="AA34" s="4">
        <v>0.38</v>
      </c>
      <c r="AB34" s="4">
        <v>7.11</v>
      </c>
      <c r="AC34" s="4">
        <v>1.88</v>
      </c>
      <c r="AD34" s="4">
        <v>11.25</v>
      </c>
      <c r="AE34" s="4">
        <v>0.05</v>
      </c>
      <c r="AF34" s="4">
        <v>0</v>
      </c>
      <c r="AG34" s="4">
        <v>0</v>
      </c>
      <c r="AH34" s="4">
        <v>0.17</v>
      </c>
      <c r="AI34" s="4">
        <v>3.23</v>
      </c>
      <c r="AJ34" s="4">
        <v>0</v>
      </c>
      <c r="AK34" s="4">
        <v>7.8</v>
      </c>
      <c r="AL34" s="4">
        <v>19.18</v>
      </c>
      <c r="AM34" s="4">
        <v>0.21</v>
      </c>
      <c r="AN34" s="4">
        <v>0.12</v>
      </c>
      <c r="AO34" s="4">
        <v>0.09</v>
      </c>
      <c r="AP34" s="4">
        <v>19.260000000000002</v>
      </c>
      <c r="AQ34" s="4">
        <v>0</v>
      </c>
      <c r="AR34" s="4">
        <v>0</v>
      </c>
      <c r="AS34" s="4">
        <v>16.02</v>
      </c>
    </row>
    <row r="35" spans="1:45" x14ac:dyDescent="0.35">
      <c r="A35" s="3" t="s">
        <v>28</v>
      </c>
      <c r="B35" s="3" t="s">
        <v>22</v>
      </c>
      <c r="C35" s="3" t="s">
        <v>21</v>
      </c>
      <c r="D35" s="4">
        <v>24.36</v>
      </c>
      <c r="E35" s="4">
        <v>0.17</v>
      </c>
      <c r="F35" s="4">
        <v>0.27</v>
      </c>
      <c r="G35" s="4">
        <v>1.73</v>
      </c>
      <c r="H35" s="4">
        <v>11.83</v>
      </c>
      <c r="I35" s="4">
        <v>0.02</v>
      </c>
      <c r="J35" s="4">
        <v>11.85</v>
      </c>
      <c r="K35" s="4">
        <v>10.35</v>
      </c>
      <c r="L35" s="4">
        <v>14.54</v>
      </c>
      <c r="M35" s="4">
        <v>0</v>
      </c>
      <c r="N35" s="4">
        <v>0.18</v>
      </c>
      <c r="O35" s="4">
        <v>0.46</v>
      </c>
      <c r="P35" s="4">
        <v>0.37</v>
      </c>
      <c r="Q35" s="4">
        <v>2.81</v>
      </c>
      <c r="R35" s="4">
        <v>3.64</v>
      </c>
      <c r="S35" s="4">
        <v>0.05</v>
      </c>
      <c r="T35" s="4">
        <v>0.28000000000000003</v>
      </c>
      <c r="U35" s="4">
        <v>10.38</v>
      </c>
      <c r="V35" s="4">
        <v>9.83</v>
      </c>
      <c r="W35" s="4">
        <v>1.74</v>
      </c>
      <c r="X35" s="4">
        <v>0.03</v>
      </c>
      <c r="Y35" s="4">
        <v>0</v>
      </c>
      <c r="Z35" s="4">
        <v>0.01</v>
      </c>
      <c r="AA35" s="4">
        <v>0.01</v>
      </c>
      <c r="AB35" s="4">
        <v>0.8</v>
      </c>
      <c r="AC35" s="4">
        <v>0.88</v>
      </c>
      <c r="AD35" s="4">
        <v>7.72</v>
      </c>
      <c r="AE35" s="4">
        <v>0.02</v>
      </c>
      <c r="AF35" s="4">
        <v>0</v>
      </c>
      <c r="AG35" s="4">
        <v>0</v>
      </c>
      <c r="AH35" s="4">
        <v>0.01</v>
      </c>
      <c r="AI35" s="4">
        <v>1.25</v>
      </c>
      <c r="AJ35" s="4">
        <v>0.03</v>
      </c>
      <c r="AK35" s="4">
        <v>6.4</v>
      </c>
      <c r="AL35" s="4">
        <v>3.85</v>
      </c>
      <c r="AM35" s="4">
        <v>1.86</v>
      </c>
      <c r="AN35" s="4">
        <v>1.87</v>
      </c>
      <c r="AO35" s="4">
        <v>0</v>
      </c>
      <c r="AP35" s="4">
        <v>3.84</v>
      </c>
      <c r="AQ35" s="4">
        <v>0</v>
      </c>
      <c r="AR35" s="4">
        <v>0</v>
      </c>
      <c r="AS35" s="4">
        <v>3.19</v>
      </c>
    </row>
    <row r="36" spans="1:45" ht="43.5" x14ac:dyDescent="0.35">
      <c r="A36" s="3"/>
      <c r="B36" s="3"/>
      <c r="C36" s="3" t="s">
        <v>24</v>
      </c>
      <c r="D36" s="4">
        <v>33.619999999999997</v>
      </c>
      <c r="E36" s="4">
        <v>0.28000000000000003</v>
      </c>
      <c r="F36" s="4">
        <v>0.19</v>
      </c>
      <c r="G36" s="4">
        <v>3.37</v>
      </c>
      <c r="H36" s="4">
        <v>12.4</v>
      </c>
      <c r="I36" s="4">
        <v>0.02</v>
      </c>
      <c r="J36" s="4">
        <v>12.42</v>
      </c>
      <c r="K36" s="4">
        <v>17.350000000000001</v>
      </c>
      <c r="L36" s="4">
        <v>24.91</v>
      </c>
      <c r="M36" s="4">
        <v>0</v>
      </c>
      <c r="N36" s="4">
        <v>0.3</v>
      </c>
      <c r="O36" s="4">
        <v>0.57999999999999996</v>
      </c>
      <c r="P36" s="4">
        <v>0.61</v>
      </c>
      <c r="Q36" s="4">
        <v>5.56</v>
      </c>
      <c r="R36" s="4">
        <v>6.75</v>
      </c>
      <c r="S36" s="4">
        <v>0.33</v>
      </c>
      <c r="T36" s="4">
        <v>0.15</v>
      </c>
      <c r="U36" s="4">
        <v>17.39</v>
      </c>
      <c r="V36" s="4">
        <v>8.7100000000000009</v>
      </c>
      <c r="W36" s="4">
        <v>4.0999999999999996</v>
      </c>
      <c r="X36" s="4">
        <v>0.16</v>
      </c>
      <c r="Y36" s="4">
        <v>0</v>
      </c>
      <c r="Z36" s="4">
        <v>0.02</v>
      </c>
      <c r="AA36" s="4">
        <v>0.21</v>
      </c>
      <c r="AB36" s="4">
        <v>1.32</v>
      </c>
      <c r="AC36" s="4">
        <v>2.39</v>
      </c>
      <c r="AD36" s="4">
        <v>10.42</v>
      </c>
      <c r="AE36" s="4">
        <v>7.0000000000000007E-2</v>
      </c>
      <c r="AF36" s="4">
        <v>0.35</v>
      </c>
      <c r="AG36" s="4">
        <v>0</v>
      </c>
      <c r="AH36" s="4">
        <v>0.18</v>
      </c>
      <c r="AI36" s="4">
        <v>3.31</v>
      </c>
      <c r="AJ36" s="4">
        <v>0.13</v>
      </c>
      <c r="AK36" s="4">
        <v>6.37</v>
      </c>
      <c r="AL36" s="4">
        <v>2.38</v>
      </c>
      <c r="AM36" s="4">
        <v>1.04</v>
      </c>
      <c r="AN36" s="4">
        <v>1</v>
      </c>
      <c r="AO36" s="4">
        <v>0.04</v>
      </c>
      <c r="AP36" s="4">
        <v>2.42</v>
      </c>
      <c r="AQ36" s="4">
        <v>0</v>
      </c>
      <c r="AR36" s="4">
        <v>0</v>
      </c>
      <c r="AS36" s="4">
        <v>1.96</v>
      </c>
    </row>
    <row r="37" spans="1:45" ht="130.5" x14ac:dyDescent="0.35">
      <c r="A37" s="3"/>
      <c r="B37" s="3"/>
      <c r="C37" s="3" t="s">
        <v>25</v>
      </c>
      <c r="D37" s="4">
        <v>0.95</v>
      </c>
      <c r="E37" s="4">
        <v>0.11</v>
      </c>
      <c r="F37" s="4">
        <v>7.0000000000000007E-2</v>
      </c>
      <c r="G37" s="4">
        <v>0.48</v>
      </c>
      <c r="H37" s="4">
        <v>0.2</v>
      </c>
      <c r="I37" s="4">
        <v>0.05</v>
      </c>
      <c r="J37" s="4">
        <v>0.24</v>
      </c>
      <c r="K37" s="4">
        <v>0.05</v>
      </c>
      <c r="L37" s="4">
        <v>0.46</v>
      </c>
      <c r="M37" s="4">
        <v>0</v>
      </c>
      <c r="N37" s="4">
        <v>0.14000000000000001</v>
      </c>
      <c r="O37" s="4">
        <v>0.09</v>
      </c>
      <c r="P37" s="4">
        <v>0</v>
      </c>
      <c r="Q37" s="4">
        <v>0.04</v>
      </c>
      <c r="R37" s="4">
        <v>0.13</v>
      </c>
      <c r="S37" s="4">
        <v>0</v>
      </c>
      <c r="T37" s="4">
        <v>0</v>
      </c>
      <c r="U37" s="4">
        <v>0.17</v>
      </c>
      <c r="V37" s="4">
        <v>0.49</v>
      </c>
      <c r="W37" s="4">
        <v>13.94</v>
      </c>
      <c r="X37" s="4">
        <v>0.13</v>
      </c>
      <c r="Y37" s="4">
        <v>0</v>
      </c>
      <c r="Z37" s="4">
        <v>0.01</v>
      </c>
      <c r="AA37" s="4">
        <v>13.68</v>
      </c>
      <c r="AB37" s="4">
        <v>7.0000000000000007E-2</v>
      </c>
      <c r="AC37" s="4">
        <v>0.05</v>
      </c>
      <c r="AD37" s="4">
        <v>14.45</v>
      </c>
      <c r="AE37" s="4">
        <v>0.36</v>
      </c>
      <c r="AF37" s="4">
        <v>0</v>
      </c>
      <c r="AG37" s="4">
        <v>0.04</v>
      </c>
      <c r="AH37" s="4">
        <v>13.72</v>
      </c>
      <c r="AI37" s="4">
        <v>0.04</v>
      </c>
      <c r="AJ37" s="4">
        <v>0.02</v>
      </c>
      <c r="AK37" s="4">
        <v>0.28000000000000003</v>
      </c>
      <c r="AL37" s="4">
        <v>-0.01</v>
      </c>
      <c r="AM37" s="4">
        <v>0.03</v>
      </c>
      <c r="AN37" s="4">
        <v>0</v>
      </c>
      <c r="AO37" s="4">
        <v>0.03</v>
      </c>
      <c r="AP37" s="4">
        <v>0.02</v>
      </c>
      <c r="AQ37" s="4">
        <v>0</v>
      </c>
      <c r="AR37" s="4">
        <v>0</v>
      </c>
      <c r="AS37" s="4">
        <v>-0.02</v>
      </c>
    </row>
    <row r="38" spans="1:45" x14ac:dyDescent="0.35">
      <c r="A38" s="3"/>
      <c r="B38" s="3" t="s">
        <v>23</v>
      </c>
      <c r="C38" s="3" t="s">
        <v>21</v>
      </c>
      <c r="D38" s="4">
        <v>17.77</v>
      </c>
      <c r="E38" s="4">
        <v>0.13</v>
      </c>
      <c r="F38" s="4">
        <v>0.16</v>
      </c>
      <c r="G38" s="4">
        <v>1.82</v>
      </c>
      <c r="H38" s="4">
        <v>9.74</v>
      </c>
      <c r="I38" s="4">
        <v>0.09</v>
      </c>
      <c r="J38" s="4">
        <v>9.83</v>
      </c>
      <c r="K38" s="4">
        <v>5.83</v>
      </c>
      <c r="L38" s="4">
        <v>10.27</v>
      </c>
      <c r="M38" s="4">
        <v>0</v>
      </c>
      <c r="N38" s="4">
        <v>0.21</v>
      </c>
      <c r="O38" s="4">
        <v>0.39</v>
      </c>
      <c r="P38" s="4">
        <v>0.35</v>
      </c>
      <c r="Q38" s="4">
        <v>2.82</v>
      </c>
      <c r="R38" s="4">
        <v>3.56</v>
      </c>
      <c r="S38" s="4">
        <v>0.22</v>
      </c>
      <c r="T38" s="4">
        <v>0.39</v>
      </c>
      <c r="U38" s="4">
        <v>5.88</v>
      </c>
      <c r="V38" s="4">
        <v>7.5</v>
      </c>
      <c r="W38" s="4">
        <v>3.56</v>
      </c>
      <c r="X38" s="4">
        <v>0.3</v>
      </c>
      <c r="Y38" s="4">
        <v>0</v>
      </c>
      <c r="Z38" s="4">
        <v>0</v>
      </c>
      <c r="AA38" s="4">
        <v>1.33</v>
      </c>
      <c r="AB38" s="4">
        <v>1.03</v>
      </c>
      <c r="AC38" s="4">
        <v>0.9</v>
      </c>
      <c r="AD38" s="4">
        <v>8.92</v>
      </c>
      <c r="AE38" s="4">
        <v>0.28999999999999998</v>
      </c>
      <c r="AF38" s="4">
        <v>0</v>
      </c>
      <c r="AG38" s="4">
        <v>0</v>
      </c>
      <c r="AH38" s="4">
        <v>1.32</v>
      </c>
      <c r="AI38" s="4">
        <v>2.27</v>
      </c>
      <c r="AJ38" s="4">
        <v>0</v>
      </c>
      <c r="AK38" s="4">
        <v>5.04</v>
      </c>
      <c r="AL38" s="4">
        <v>2.14</v>
      </c>
      <c r="AM38" s="4">
        <v>0.31</v>
      </c>
      <c r="AN38" s="4">
        <v>0.2</v>
      </c>
      <c r="AO38" s="4">
        <v>0.11</v>
      </c>
      <c r="AP38" s="4">
        <v>2.25</v>
      </c>
      <c r="AQ38" s="4">
        <v>0</v>
      </c>
      <c r="AR38" s="4">
        <v>0</v>
      </c>
      <c r="AS38" s="4">
        <v>1.78</v>
      </c>
    </row>
    <row r="39" spans="1:45" ht="43.5" x14ac:dyDescent="0.35">
      <c r="A39" s="3"/>
      <c r="B39" s="3"/>
      <c r="C39" s="3" t="s">
        <v>24</v>
      </c>
      <c r="D39" s="4">
        <v>30.36</v>
      </c>
      <c r="E39" s="4">
        <v>0.44</v>
      </c>
      <c r="F39" s="4">
        <v>0.2</v>
      </c>
      <c r="G39" s="4">
        <v>2.94</v>
      </c>
      <c r="H39" s="4">
        <v>16.88</v>
      </c>
      <c r="I39" s="4">
        <v>0.04</v>
      </c>
      <c r="J39" s="4">
        <v>16.93</v>
      </c>
      <c r="K39" s="4">
        <v>9.85</v>
      </c>
      <c r="L39" s="4">
        <v>17.02</v>
      </c>
      <c r="M39" s="4">
        <v>0</v>
      </c>
      <c r="N39" s="4">
        <v>0.48</v>
      </c>
      <c r="O39" s="4">
        <v>0.74</v>
      </c>
      <c r="P39" s="4">
        <v>0.7</v>
      </c>
      <c r="Q39" s="4">
        <v>4.5199999999999996</v>
      </c>
      <c r="R39" s="4">
        <v>5.96</v>
      </c>
      <c r="S39" s="4">
        <v>0.3</v>
      </c>
      <c r="T39" s="4">
        <v>0.55000000000000004</v>
      </c>
      <c r="U39" s="4">
        <v>9.7200000000000006</v>
      </c>
      <c r="V39" s="4">
        <v>13.34</v>
      </c>
      <c r="W39" s="4">
        <v>13.23</v>
      </c>
      <c r="X39" s="4">
        <v>3.13</v>
      </c>
      <c r="Y39" s="4">
        <v>0</v>
      </c>
      <c r="Z39" s="4">
        <v>0</v>
      </c>
      <c r="AA39" s="4">
        <v>6.86</v>
      </c>
      <c r="AB39" s="4">
        <v>1.01</v>
      </c>
      <c r="AC39" s="4">
        <v>2.23</v>
      </c>
      <c r="AD39" s="4">
        <v>21.56</v>
      </c>
      <c r="AE39" s="4">
        <v>3.08</v>
      </c>
      <c r="AF39" s="4">
        <v>0</v>
      </c>
      <c r="AG39" s="4">
        <v>0</v>
      </c>
      <c r="AH39" s="4">
        <v>5.52</v>
      </c>
      <c r="AI39" s="4">
        <v>5.78</v>
      </c>
      <c r="AJ39" s="4">
        <v>0.17</v>
      </c>
      <c r="AK39" s="4">
        <v>7.01</v>
      </c>
      <c r="AL39" s="4">
        <v>5</v>
      </c>
      <c r="AM39" s="4">
        <v>1.55</v>
      </c>
      <c r="AN39" s="4">
        <v>2.57</v>
      </c>
      <c r="AO39" s="4">
        <v>-1.02</v>
      </c>
      <c r="AP39" s="4">
        <v>3.98</v>
      </c>
      <c r="AQ39" s="4">
        <v>0</v>
      </c>
      <c r="AR39" s="4">
        <v>0</v>
      </c>
      <c r="AS39" s="4">
        <v>3.08</v>
      </c>
    </row>
    <row r="40" spans="1:45" ht="130.5" x14ac:dyDescent="0.35">
      <c r="A40" s="3"/>
      <c r="B40" s="3"/>
      <c r="C40" s="3" t="s">
        <v>25</v>
      </c>
      <c r="D40" s="4">
        <v>8.32</v>
      </c>
      <c r="E40" s="4">
        <v>0.49</v>
      </c>
      <c r="F40" s="4">
        <v>0.65</v>
      </c>
      <c r="G40" s="4">
        <v>2.77</v>
      </c>
      <c r="H40" s="4">
        <v>3.89</v>
      </c>
      <c r="I40" s="4">
        <v>0.45</v>
      </c>
      <c r="J40" s="4">
        <v>4.34</v>
      </c>
      <c r="K40" s="4">
        <v>7.0000000000000007E-2</v>
      </c>
      <c r="L40" s="4">
        <v>1.92</v>
      </c>
      <c r="M40" s="4">
        <v>0</v>
      </c>
      <c r="N40" s="4">
        <v>0.34</v>
      </c>
      <c r="O40" s="4">
        <v>0.77</v>
      </c>
      <c r="P40" s="4">
        <v>0.06</v>
      </c>
      <c r="Q40" s="4">
        <v>0.56999999999999995</v>
      </c>
      <c r="R40" s="4">
        <v>1.4</v>
      </c>
      <c r="S40" s="4">
        <v>0.15</v>
      </c>
      <c r="T40" s="4">
        <v>0</v>
      </c>
      <c r="U40" s="4">
        <v>0.03</v>
      </c>
      <c r="V40" s="4">
        <v>6.4</v>
      </c>
      <c r="W40" s="4">
        <v>93.26</v>
      </c>
      <c r="X40" s="4">
        <v>0.65</v>
      </c>
      <c r="Y40" s="4">
        <v>0</v>
      </c>
      <c r="Z40" s="4">
        <v>0.03</v>
      </c>
      <c r="AA40" s="4">
        <v>91.77</v>
      </c>
      <c r="AB40" s="4">
        <v>0.7</v>
      </c>
      <c r="AC40" s="4">
        <v>0.1</v>
      </c>
      <c r="AD40" s="4">
        <v>95.72</v>
      </c>
      <c r="AE40" s="4">
        <v>0.62</v>
      </c>
      <c r="AF40" s="4">
        <v>0.12</v>
      </c>
      <c r="AG40" s="4">
        <v>0.04</v>
      </c>
      <c r="AH40" s="4">
        <v>91.14</v>
      </c>
      <c r="AI40" s="4">
        <v>0.68</v>
      </c>
      <c r="AJ40" s="4">
        <v>0.32</v>
      </c>
      <c r="AK40" s="4">
        <v>2.8</v>
      </c>
      <c r="AL40" s="4">
        <v>3.94</v>
      </c>
      <c r="AM40" s="4">
        <v>1.24</v>
      </c>
      <c r="AN40" s="4">
        <v>0.13</v>
      </c>
      <c r="AO40" s="4">
        <v>1.1100000000000001</v>
      </c>
      <c r="AP40" s="4">
        <v>5.05</v>
      </c>
      <c r="AQ40" s="4">
        <v>-0.09</v>
      </c>
      <c r="AR40" s="4">
        <v>-0.09</v>
      </c>
      <c r="AS40" s="4">
        <v>3.78</v>
      </c>
    </row>
    <row r="41" spans="1:45" ht="29" x14ac:dyDescent="0.35">
      <c r="A41" s="3"/>
      <c r="B41" s="3" t="s">
        <v>19</v>
      </c>
      <c r="C41" s="3" t="s">
        <v>18</v>
      </c>
      <c r="D41" s="4">
        <v>25.61</v>
      </c>
      <c r="E41" s="4">
        <v>0.25</v>
      </c>
      <c r="F41" s="4">
        <v>0</v>
      </c>
      <c r="G41" s="4">
        <v>1.28</v>
      </c>
      <c r="H41" s="4">
        <v>17.3</v>
      </c>
      <c r="I41" s="4">
        <v>0.13</v>
      </c>
      <c r="J41" s="4">
        <v>17.43</v>
      </c>
      <c r="K41" s="4">
        <v>6.64</v>
      </c>
      <c r="L41" s="4">
        <v>13.81</v>
      </c>
      <c r="M41" s="4">
        <v>0.01</v>
      </c>
      <c r="N41" s="4">
        <v>0.01</v>
      </c>
      <c r="O41" s="4">
        <v>1.19</v>
      </c>
      <c r="P41" s="4">
        <v>0.28000000000000003</v>
      </c>
      <c r="Q41" s="4">
        <v>4.8499999999999996</v>
      </c>
      <c r="R41" s="4">
        <v>6.32</v>
      </c>
      <c r="S41" s="4">
        <v>0.22</v>
      </c>
      <c r="T41" s="4">
        <v>0.63</v>
      </c>
      <c r="U41" s="4">
        <v>6.62</v>
      </c>
      <c r="V41" s="4">
        <v>11.8</v>
      </c>
      <c r="W41" s="4">
        <v>21.01</v>
      </c>
      <c r="X41" s="4">
        <v>0.81</v>
      </c>
      <c r="Y41" s="4">
        <v>0</v>
      </c>
      <c r="Z41" s="4">
        <v>0</v>
      </c>
      <c r="AA41" s="4">
        <v>17.100000000000001</v>
      </c>
      <c r="AB41" s="4">
        <v>1.69</v>
      </c>
      <c r="AC41" s="4">
        <v>1.4</v>
      </c>
      <c r="AD41" s="4">
        <v>27.66</v>
      </c>
      <c r="AE41" s="4">
        <v>0.1</v>
      </c>
      <c r="AF41" s="4">
        <v>0</v>
      </c>
      <c r="AG41" s="4">
        <v>0</v>
      </c>
      <c r="AH41" s="4">
        <v>17.02</v>
      </c>
      <c r="AI41" s="4">
        <v>3.43</v>
      </c>
      <c r="AJ41" s="4">
        <v>0.05</v>
      </c>
      <c r="AK41" s="4">
        <v>7.07</v>
      </c>
      <c r="AL41" s="4">
        <v>5.15</v>
      </c>
      <c r="AM41" s="4">
        <v>0.05</v>
      </c>
      <c r="AN41" s="4">
        <v>0.15</v>
      </c>
      <c r="AO41" s="4">
        <v>-0.1</v>
      </c>
      <c r="AP41" s="4">
        <v>5.05</v>
      </c>
      <c r="AQ41" s="4">
        <v>0</v>
      </c>
      <c r="AR41" s="4">
        <v>0</v>
      </c>
      <c r="AS41" s="4">
        <v>3.96</v>
      </c>
    </row>
    <row r="42" spans="1:45" ht="43.5" x14ac:dyDescent="0.35">
      <c r="A42" s="3"/>
      <c r="B42" s="3"/>
      <c r="C42" s="3" t="s">
        <v>24</v>
      </c>
      <c r="D42" s="4">
        <v>76.69</v>
      </c>
      <c r="E42" s="4">
        <v>0.85</v>
      </c>
      <c r="F42" s="4">
        <v>0.36</v>
      </c>
      <c r="G42" s="4">
        <v>11.63</v>
      </c>
      <c r="H42" s="4">
        <v>38.17</v>
      </c>
      <c r="I42" s="4">
        <v>0.43</v>
      </c>
      <c r="J42" s="4">
        <v>38.61</v>
      </c>
      <c r="K42" s="4">
        <v>25.24</v>
      </c>
      <c r="L42" s="4">
        <v>46.93</v>
      </c>
      <c r="M42" s="4">
        <v>0</v>
      </c>
      <c r="N42" s="4">
        <v>0.56999999999999995</v>
      </c>
      <c r="O42" s="4">
        <v>4.58</v>
      </c>
      <c r="P42" s="4">
        <v>2.2000000000000002</v>
      </c>
      <c r="Q42" s="4">
        <v>13.44</v>
      </c>
      <c r="R42" s="4">
        <v>20.22</v>
      </c>
      <c r="S42" s="4">
        <v>0.47</v>
      </c>
      <c r="T42" s="4">
        <v>1.4</v>
      </c>
      <c r="U42" s="4">
        <v>24.27</v>
      </c>
      <c r="V42" s="4">
        <v>29.76</v>
      </c>
      <c r="W42" s="4">
        <v>47.21</v>
      </c>
      <c r="X42" s="4">
        <v>1.86</v>
      </c>
      <c r="Y42" s="4">
        <v>0</v>
      </c>
      <c r="Z42" s="4">
        <v>7.0000000000000007E-2</v>
      </c>
      <c r="AA42" s="4">
        <v>32.72</v>
      </c>
      <c r="AB42" s="4">
        <v>7.06</v>
      </c>
      <c r="AC42" s="4">
        <v>5.5</v>
      </c>
      <c r="AD42" s="4">
        <v>62.39</v>
      </c>
      <c r="AE42" s="4">
        <v>1.37</v>
      </c>
      <c r="AF42" s="4">
        <v>0</v>
      </c>
      <c r="AG42" s="4">
        <v>0</v>
      </c>
      <c r="AH42" s="4">
        <v>30.89</v>
      </c>
      <c r="AI42" s="4">
        <v>9.2799999999999994</v>
      </c>
      <c r="AJ42" s="4">
        <v>1.0900000000000001</v>
      </c>
      <c r="AK42" s="4">
        <v>19.75</v>
      </c>
      <c r="AL42" s="4">
        <v>14.58</v>
      </c>
      <c r="AM42" s="4">
        <v>29.47</v>
      </c>
      <c r="AN42" s="4">
        <v>29.62</v>
      </c>
      <c r="AO42" s="4">
        <v>-0.16</v>
      </c>
      <c r="AP42" s="4">
        <v>14.42</v>
      </c>
      <c r="AQ42" s="4">
        <v>0</v>
      </c>
      <c r="AR42" s="4">
        <v>0</v>
      </c>
      <c r="AS42" s="4">
        <v>11.56</v>
      </c>
    </row>
    <row r="43" spans="1:45" ht="29" x14ac:dyDescent="0.35">
      <c r="A43" s="3"/>
      <c r="B43" s="3" t="s">
        <v>20</v>
      </c>
      <c r="C43" s="3" t="s">
        <v>18</v>
      </c>
      <c r="D43" s="4">
        <v>121.95</v>
      </c>
      <c r="E43" s="4">
        <v>1.19</v>
      </c>
      <c r="F43" s="4">
        <v>2.21</v>
      </c>
      <c r="G43" s="4">
        <v>12.05</v>
      </c>
      <c r="H43" s="4">
        <v>102.99</v>
      </c>
      <c r="I43" s="4">
        <v>1.02</v>
      </c>
      <c r="J43" s="4">
        <v>104.02</v>
      </c>
      <c r="K43" s="4">
        <v>2.4900000000000002</v>
      </c>
      <c r="L43" s="4">
        <v>40.229999999999997</v>
      </c>
      <c r="M43" s="4">
        <v>0</v>
      </c>
      <c r="N43" s="4">
        <v>0.74</v>
      </c>
      <c r="O43" s="4">
        <v>11.17</v>
      </c>
      <c r="P43" s="4">
        <v>2.27</v>
      </c>
      <c r="Q43" s="4">
        <v>17.27</v>
      </c>
      <c r="R43" s="4">
        <v>30.71</v>
      </c>
      <c r="S43" s="4">
        <v>2.2799999999999998</v>
      </c>
      <c r="T43" s="4">
        <v>3.08</v>
      </c>
      <c r="U43" s="4">
        <v>3.42</v>
      </c>
      <c r="V43" s="4">
        <v>81.73</v>
      </c>
      <c r="W43" s="4">
        <v>291.8</v>
      </c>
      <c r="X43" s="4">
        <v>3.37</v>
      </c>
      <c r="Y43" s="4">
        <v>0</v>
      </c>
      <c r="Z43" s="4">
        <v>0</v>
      </c>
      <c r="AA43" s="4">
        <v>239.64</v>
      </c>
      <c r="AB43" s="4">
        <v>18.989999999999998</v>
      </c>
      <c r="AC43" s="4">
        <v>29.8</v>
      </c>
      <c r="AD43" s="4">
        <v>322.87</v>
      </c>
      <c r="AE43" s="4">
        <v>0.53</v>
      </c>
      <c r="AF43" s="4">
        <v>0</v>
      </c>
      <c r="AG43" s="4">
        <v>0</v>
      </c>
      <c r="AH43" s="4">
        <v>237.8</v>
      </c>
      <c r="AI43" s="4">
        <v>42.32</v>
      </c>
      <c r="AJ43" s="4">
        <v>0.8</v>
      </c>
      <c r="AK43" s="4">
        <v>41.41</v>
      </c>
      <c r="AL43" s="4">
        <v>50.66</v>
      </c>
      <c r="AM43" s="4">
        <v>0.51</v>
      </c>
      <c r="AN43" s="4">
        <v>0.22</v>
      </c>
      <c r="AO43" s="4">
        <v>0.28999999999999998</v>
      </c>
      <c r="AP43" s="4">
        <v>50.95</v>
      </c>
      <c r="AQ43" s="4">
        <v>0</v>
      </c>
      <c r="AR43" s="4">
        <v>0</v>
      </c>
      <c r="AS43" s="4">
        <v>41.24</v>
      </c>
    </row>
    <row r="44" spans="1:45" ht="43.5" x14ac:dyDescent="0.35">
      <c r="A44" s="3"/>
      <c r="B44" s="3"/>
      <c r="C44" s="3" t="s">
        <v>24</v>
      </c>
      <c r="D44" s="4">
        <v>36.9</v>
      </c>
      <c r="E44" s="4">
        <v>0.18</v>
      </c>
      <c r="F44" s="4">
        <v>0.18</v>
      </c>
      <c r="G44" s="4">
        <v>8.16</v>
      </c>
      <c r="H44" s="4">
        <v>21.3</v>
      </c>
      <c r="I44" s="4">
        <v>0.48</v>
      </c>
      <c r="J44" s="4">
        <v>21.78</v>
      </c>
      <c r="K44" s="4">
        <v>6.61</v>
      </c>
      <c r="L44" s="4">
        <v>9.85</v>
      </c>
      <c r="M44" s="4">
        <v>0</v>
      </c>
      <c r="N44" s="4">
        <v>0.03</v>
      </c>
      <c r="O44" s="4">
        <v>1.58</v>
      </c>
      <c r="P44" s="4">
        <v>0.14000000000000001</v>
      </c>
      <c r="Q44" s="4">
        <v>1.68</v>
      </c>
      <c r="R44" s="4">
        <v>3.4</v>
      </c>
      <c r="S44" s="4">
        <v>0</v>
      </c>
      <c r="T44" s="4">
        <v>0</v>
      </c>
      <c r="U44" s="4">
        <v>6.42</v>
      </c>
      <c r="V44" s="4">
        <v>27.05</v>
      </c>
      <c r="W44" s="4">
        <v>12.97</v>
      </c>
      <c r="X44" s="4">
        <v>1.01</v>
      </c>
      <c r="Y44" s="4">
        <v>0</v>
      </c>
      <c r="Z44" s="4">
        <v>0</v>
      </c>
      <c r="AA44" s="4">
        <v>0.74</v>
      </c>
      <c r="AB44" s="4">
        <v>8.91</v>
      </c>
      <c r="AC44" s="4">
        <v>2.31</v>
      </c>
      <c r="AD44" s="4">
        <v>14.75</v>
      </c>
      <c r="AE44" s="4">
        <v>0.09</v>
      </c>
      <c r="AF44" s="4">
        <v>0</v>
      </c>
      <c r="AG44" s="4">
        <v>0</v>
      </c>
      <c r="AH44" s="4">
        <v>0.28000000000000003</v>
      </c>
      <c r="AI44" s="4">
        <v>3.81</v>
      </c>
      <c r="AJ44" s="4">
        <v>0</v>
      </c>
      <c r="AK44" s="4">
        <v>10.57</v>
      </c>
      <c r="AL44" s="4">
        <v>25.28</v>
      </c>
      <c r="AM44" s="4">
        <v>0.11</v>
      </c>
      <c r="AN44" s="4">
        <v>0.21</v>
      </c>
      <c r="AO44" s="4">
        <v>-0.09</v>
      </c>
      <c r="AP44" s="4">
        <v>25.19</v>
      </c>
      <c r="AQ44" s="4">
        <v>0</v>
      </c>
      <c r="AR44" s="4">
        <v>0</v>
      </c>
      <c r="AS44" s="4">
        <v>20.82</v>
      </c>
    </row>
    <row r="45" spans="1:45" x14ac:dyDescent="0.35">
      <c r="A45" s="3" t="s">
        <v>29</v>
      </c>
      <c r="B45" s="3" t="s">
        <v>22</v>
      </c>
      <c r="C45" s="3" t="s">
        <v>21</v>
      </c>
      <c r="D45" s="4">
        <v>30.28</v>
      </c>
      <c r="E45" s="4">
        <v>0.2</v>
      </c>
      <c r="F45" s="4">
        <v>0.35</v>
      </c>
      <c r="G45" s="4">
        <v>2.19</v>
      </c>
      <c r="H45" s="4">
        <v>14.82</v>
      </c>
      <c r="I45" s="4">
        <v>0.02</v>
      </c>
      <c r="J45" s="4">
        <v>14.84</v>
      </c>
      <c r="K45" s="4">
        <v>12.69</v>
      </c>
      <c r="L45" s="4">
        <v>17.940000000000001</v>
      </c>
      <c r="M45" s="4">
        <v>0</v>
      </c>
      <c r="N45" s="4">
        <v>0.23</v>
      </c>
      <c r="O45" s="4">
        <v>0.59</v>
      </c>
      <c r="P45" s="4">
        <v>0.46</v>
      </c>
      <c r="Q45" s="4">
        <v>3.51</v>
      </c>
      <c r="R45" s="4">
        <v>4.5599999999999996</v>
      </c>
      <c r="S45" s="4">
        <v>0.06</v>
      </c>
      <c r="T45" s="4">
        <v>0.35</v>
      </c>
      <c r="U45" s="4">
        <v>12.73</v>
      </c>
      <c r="V45" s="4">
        <v>12.34</v>
      </c>
      <c r="W45" s="4">
        <v>2.12</v>
      </c>
      <c r="X45" s="4">
        <v>0.03</v>
      </c>
      <c r="Y45" s="4">
        <v>0</v>
      </c>
      <c r="Z45" s="4">
        <v>0.01</v>
      </c>
      <c r="AA45" s="4">
        <v>0.02</v>
      </c>
      <c r="AB45" s="4">
        <v>1.04</v>
      </c>
      <c r="AC45" s="4">
        <v>1.02</v>
      </c>
      <c r="AD45" s="4">
        <v>9.67</v>
      </c>
      <c r="AE45" s="4">
        <v>0.01</v>
      </c>
      <c r="AF45" s="4">
        <v>0</v>
      </c>
      <c r="AG45" s="4">
        <v>0</v>
      </c>
      <c r="AH45" s="4">
        <v>0.02</v>
      </c>
      <c r="AI45" s="4">
        <v>1.59</v>
      </c>
      <c r="AJ45" s="4">
        <v>0.04</v>
      </c>
      <c r="AK45" s="4">
        <v>8</v>
      </c>
      <c r="AL45" s="4">
        <v>4.78</v>
      </c>
      <c r="AM45" s="4">
        <v>2.44</v>
      </c>
      <c r="AN45" s="4">
        <v>2.4500000000000002</v>
      </c>
      <c r="AO45" s="4">
        <v>-0.02</v>
      </c>
      <c r="AP45" s="4">
        <v>4.7699999999999996</v>
      </c>
      <c r="AQ45" s="4">
        <v>0</v>
      </c>
      <c r="AR45" s="4">
        <v>0</v>
      </c>
      <c r="AS45" s="4">
        <v>3.95</v>
      </c>
    </row>
    <row r="46" spans="1:45" ht="43.5" x14ac:dyDescent="0.35">
      <c r="A46" s="3"/>
      <c r="B46" s="3"/>
      <c r="C46" s="3" t="s">
        <v>24</v>
      </c>
      <c r="D46" s="4">
        <v>42.25</v>
      </c>
      <c r="E46" s="4">
        <v>0.34</v>
      </c>
      <c r="F46" s="4">
        <v>0.25</v>
      </c>
      <c r="G46" s="4">
        <v>4.26</v>
      </c>
      <c r="H46" s="4">
        <v>15.63</v>
      </c>
      <c r="I46" s="4">
        <v>0.02</v>
      </c>
      <c r="J46" s="4">
        <v>15.65</v>
      </c>
      <c r="K46" s="4">
        <v>21.75</v>
      </c>
      <c r="L46" s="4">
        <v>31.27</v>
      </c>
      <c r="M46" s="4">
        <v>0</v>
      </c>
      <c r="N46" s="4">
        <v>0.39</v>
      </c>
      <c r="O46" s="4">
        <v>0.74</v>
      </c>
      <c r="P46" s="4">
        <v>0.78</v>
      </c>
      <c r="Q46" s="4">
        <v>6.93</v>
      </c>
      <c r="R46" s="4">
        <v>8.44</v>
      </c>
      <c r="S46" s="4">
        <v>0.43</v>
      </c>
      <c r="T46" s="4">
        <v>0.19</v>
      </c>
      <c r="U46" s="4">
        <v>21.82</v>
      </c>
      <c r="V46" s="4">
        <v>10.98</v>
      </c>
      <c r="W46" s="4">
        <v>4.75</v>
      </c>
      <c r="X46" s="4">
        <v>0.18</v>
      </c>
      <c r="Y46" s="4">
        <v>0</v>
      </c>
      <c r="Z46" s="4">
        <v>0.02</v>
      </c>
      <c r="AA46" s="4">
        <v>0.33</v>
      </c>
      <c r="AB46" s="4">
        <v>1.65</v>
      </c>
      <c r="AC46" s="4">
        <v>2.56</v>
      </c>
      <c r="AD46" s="4">
        <v>12.8</v>
      </c>
      <c r="AE46" s="4">
        <v>7.0000000000000007E-2</v>
      </c>
      <c r="AF46" s="4">
        <v>0.44</v>
      </c>
      <c r="AG46" s="4">
        <v>0</v>
      </c>
      <c r="AH46" s="4">
        <v>0.28999999999999998</v>
      </c>
      <c r="AI46" s="4">
        <v>4</v>
      </c>
      <c r="AJ46" s="4">
        <v>0.16</v>
      </c>
      <c r="AK46" s="4">
        <v>7.83</v>
      </c>
      <c r="AL46" s="4">
        <v>2.92</v>
      </c>
      <c r="AM46" s="4">
        <v>1.85</v>
      </c>
      <c r="AN46" s="4">
        <v>1.81</v>
      </c>
      <c r="AO46" s="4">
        <v>0.04</v>
      </c>
      <c r="AP46" s="4">
        <v>2.96</v>
      </c>
      <c r="AQ46" s="4">
        <v>0</v>
      </c>
      <c r="AR46" s="4">
        <v>0</v>
      </c>
      <c r="AS46" s="4">
        <v>2.42</v>
      </c>
    </row>
    <row r="47" spans="1:45" ht="130.5" x14ac:dyDescent="0.35">
      <c r="A47" s="3"/>
      <c r="B47" s="3"/>
      <c r="C47" s="3" t="s">
        <v>25</v>
      </c>
      <c r="D47" s="4">
        <v>1.19</v>
      </c>
      <c r="E47" s="4">
        <v>0.14000000000000001</v>
      </c>
      <c r="F47" s="4">
        <v>0.09</v>
      </c>
      <c r="G47" s="4">
        <v>0.59</v>
      </c>
      <c r="H47" s="4">
        <v>0.26</v>
      </c>
      <c r="I47" s="4">
        <v>0.06</v>
      </c>
      <c r="J47" s="4">
        <v>0.32</v>
      </c>
      <c r="K47" s="4">
        <v>0.06</v>
      </c>
      <c r="L47" s="4">
        <v>0.59</v>
      </c>
      <c r="M47" s="4">
        <v>0.01</v>
      </c>
      <c r="N47" s="4">
        <v>0.18</v>
      </c>
      <c r="O47" s="4">
        <v>0.12</v>
      </c>
      <c r="P47" s="4">
        <v>0</v>
      </c>
      <c r="Q47" s="4">
        <v>0.05</v>
      </c>
      <c r="R47" s="4">
        <v>0.17</v>
      </c>
      <c r="S47" s="4">
        <v>0</v>
      </c>
      <c r="T47" s="4">
        <v>0</v>
      </c>
      <c r="U47" s="4">
        <v>0.22</v>
      </c>
      <c r="V47" s="4">
        <v>0.6</v>
      </c>
      <c r="W47" s="4">
        <v>17.64</v>
      </c>
      <c r="X47" s="4">
        <v>0.17</v>
      </c>
      <c r="Y47" s="4">
        <v>0</v>
      </c>
      <c r="Z47" s="4">
        <v>0.02</v>
      </c>
      <c r="AA47" s="4">
        <v>17.309999999999999</v>
      </c>
      <c r="AB47" s="4">
        <v>7.0000000000000007E-2</v>
      </c>
      <c r="AC47" s="4">
        <v>7.0000000000000007E-2</v>
      </c>
      <c r="AD47" s="4">
        <v>18.149999999999999</v>
      </c>
      <c r="AE47" s="4">
        <v>0.37</v>
      </c>
      <c r="AF47" s="4">
        <v>0</v>
      </c>
      <c r="AG47" s="4">
        <v>0.04</v>
      </c>
      <c r="AH47" s="4">
        <v>17.32</v>
      </c>
      <c r="AI47" s="4">
        <v>0.05</v>
      </c>
      <c r="AJ47" s="4">
        <v>0.02</v>
      </c>
      <c r="AK47" s="4">
        <v>0.36</v>
      </c>
      <c r="AL47" s="4">
        <v>0.09</v>
      </c>
      <c r="AM47" s="4">
        <v>0.03</v>
      </c>
      <c r="AN47" s="4">
        <v>0</v>
      </c>
      <c r="AO47" s="4">
        <v>0.03</v>
      </c>
      <c r="AP47" s="4">
        <v>0.13</v>
      </c>
      <c r="AQ47" s="4">
        <v>0</v>
      </c>
      <c r="AR47" s="4">
        <v>0</v>
      </c>
      <c r="AS47" s="4">
        <v>0.09</v>
      </c>
    </row>
    <row r="48" spans="1:45" x14ac:dyDescent="0.35">
      <c r="A48" s="3"/>
      <c r="B48" s="3" t="s">
        <v>23</v>
      </c>
      <c r="C48" s="3" t="s">
        <v>21</v>
      </c>
      <c r="D48" s="4">
        <v>22.22</v>
      </c>
      <c r="E48" s="4">
        <v>0.17</v>
      </c>
      <c r="F48" s="4">
        <v>0.2</v>
      </c>
      <c r="G48" s="4">
        <v>2.2999999999999998</v>
      </c>
      <c r="H48" s="4">
        <v>12.18</v>
      </c>
      <c r="I48" s="4">
        <v>0.12</v>
      </c>
      <c r="J48" s="4">
        <v>12.31</v>
      </c>
      <c r="K48" s="4">
        <v>7.25</v>
      </c>
      <c r="L48" s="4">
        <v>12.86</v>
      </c>
      <c r="M48" s="4">
        <v>0</v>
      </c>
      <c r="N48" s="4">
        <v>0.25</v>
      </c>
      <c r="O48" s="4">
        <v>0.5</v>
      </c>
      <c r="P48" s="4">
        <v>0.44</v>
      </c>
      <c r="Q48" s="4">
        <v>3.58</v>
      </c>
      <c r="R48" s="4">
        <v>4.5199999999999996</v>
      </c>
      <c r="S48" s="4">
        <v>0.28000000000000003</v>
      </c>
      <c r="T48" s="4">
        <v>0.49</v>
      </c>
      <c r="U48" s="4">
        <v>7.32</v>
      </c>
      <c r="V48" s="4">
        <v>9.36</v>
      </c>
      <c r="W48" s="4">
        <v>4.71</v>
      </c>
      <c r="X48" s="4">
        <v>0.39</v>
      </c>
      <c r="Y48" s="4">
        <v>0</v>
      </c>
      <c r="Z48" s="4">
        <v>0</v>
      </c>
      <c r="AA48" s="4">
        <v>1.99</v>
      </c>
      <c r="AB48" s="4">
        <v>1.3</v>
      </c>
      <c r="AC48" s="4">
        <v>1.03</v>
      </c>
      <c r="AD48" s="4">
        <v>11.44</v>
      </c>
      <c r="AE48" s="4">
        <v>0.38</v>
      </c>
      <c r="AF48" s="4">
        <v>0</v>
      </c>
      <c r="AG48" s="4">
        <v>0</v>
      </c>
      <c r="AH48" s="4">
        <v>1.99</v>
      </c>
      <c r="AI48" s="4">
        <v>2.75</v>
      </c>
      <c r="AJ48" s="4">
        <v>0</v>
      </c>
      <c r="AK48" s="4">
        <v>6.33</v>
      </c>
      <c r="AL48" s="4">
        <v>2.63</v>
      </c>
      <c r="AM48" s="4">
        <v>0.39</v>
      </c>
      <c r="AN48" s="4">
        <v>0.27</v>
      </c>
      <c r="AO48" s="4">
        <v>0.11</v>
      </c>
      <c r="AP48" s="4">
        <v>2.74</v>
      </c>
      <c r="AQ48" s="4">
        <v>0</v>
      </c>
      <c r="AR48" s="4">
        <v>0</v>
      </c>
      <c r="AS48" s="4">
        <v>2.1800000000000002</v>
      </c>
    </row>
    <row r="49" spans="1:45" ht="43.5" x14ac:dyDescent="0.35">
      <c r="A49" s="3"/>
      <c r="B49" s="3"/>
      <c r="C49" s="3" t="s">
        <v>24</v>
      </c>
      <c r="D49" s="4">
        <v>38.119999999999997</v>
      </c>
      <c r="E49" s="4">
        <v>0.52</v>
      </c>
      <c r="F49" s="4">
        <v>0.26</v>
      </c>
      <c r="G49" s="4">
        <v>3.8</v>
      </c>
      <c r="H49" s="4">
        <v>21.23</v>
      </c>
      <c r="I49" s="4">
        <v>0.06</v>
      </c>
      <c r="J49" s="4">
        <v>21.29</v>
      </c>
      <c r="K49" s="4">
        <v>12.26</v>
      </c>
      <c r="L49" s="4">
        <v>21.27</v>
      </c>
      <c r="M49" s="4">
        <v>0</v>
      </c>
      <c r="N49" s="4">
        <v>0.59</v>
      </c>
      <c r="O49" s="4">
        <v>0.94</v>
      </c>
      <c r="P49" s="4">
        <v>0.87</v>
      </c>
      <c r="Q49" s="4">
        <v>5.62</v>
      </c>
      <c r="R49" s="4">
        <v>7.44</v>
      </c>
      <c r="S49" s="4">
        <v>0.39</v>
      </c>
      <c r="T49" s="4">
        <v>0.72</v>
      </c>
      <c r="U49" s="4">
        <v>12.12</v>
      </c>
      <c r="V49" s="4">
        <v>16.850000000000001</v>
      </c>
      <c r="W49" s="4">
        <v>18.41</v>
      </c>
      <c r="X49" s="4">
        <v>4.05</v>
      </c>
      <c r="Y49" s="4">
        <v>0</v>
      </c>
      <c r="Z49" s="4">
        <v>0</v>
      </c>
      <c r="AA49" s="4">
        <v>10.93</v>
      </c>
      <c r="AB49" s="4">
        <v>1.28</v>
      </c>
      <c r="AC49" s="4">
        <v>2.16</v>
      </c>
      <c r="AD49" s="4">
        <v>28.31</v>
      </c>
      <c r="AE49" s="4">
        <v>4.01</v>
      </c>
      <c r="AF49" s="4">
        <v>0</v>
      </c>
      <c r="AG49" s="4">
        <v>0</v>
      </c>
      <c r="AH49" s="4">
        <v>8.5500000000000007</v>
      </c>
      <c r="AI49" s="4">
        <v>6.8</v>
      </c>
      <c r="AJ49" s="4">
        <v>0.2</v>
      </c>
      <c r="AK49" s="4">
        <v>8.74</v>
      </c>
      <c r="AL49" s="4">
        <v>6.96</v>
      </c>
      <c r="AM49" s="4">
        <v>1.97</v>
      </c>
      <c r="AN49" s="4">
        <v>4.0199999999999996</v>
      </c>
      <c r="AO49" s="4">
        <v>-2.06</v>
      </c>
      <c r="AP49" s="4">
        <v>4.9000000000000004</v>
      </c>
      <c r="AQ49" s="4">
        <v>0</v>
      </c>
      <c r="AR49" s="4">
        <v>0</v>
      </c>
      <c r="AS49" s="4">
        <v>3.83</v>
      </c>
    </row>
    <row r="50" spans="1:45" ht="130.5" x14ac:dyDescent="0.35">
      <c r="A50" s="3"/>
      <c r="B50" s="3"/>
      <c r="C50" s="3" t="s">
        <v>25</v>
      </c>
      <c r="D50" s="4">
        <v>12.27</v>
      </c>
      <c r="E50" s="4">
        <v>0.61</v>
      </c>
      <c r="F50" s="4">
        <v>0.79</v>
      </c>
      <c r="G50" s="4">
        <v>3.51</v>
      </c>
      <c r="H50" s="4">
        <v>4.9000000000000004</v>
      </c>
      <c r="I50" s="4">
        <v>0.59</v>
      </c>
      <c r="J50" s="4">
        <v>5.49</v>
      </c>
      <c r="K50" s="4">
        <v>1.87</v>
      </c>
      <c r="L50" s="4">
        <v>4.1500000000000004</v>
      </c>
      <c r="M50" s="4">
        <v>0</v>
      </c>
      <c r="N50" s="4">
        <v>0.35</v>
      </c>
      <c r="O50" s="4">
        <v>1</v>
      </c>
      <c r="P50" s="4">
        <v>0.08</v>
      </c>
      <c r="Q50" s="4">
        <v>0.72</v>
      </c>
      <c r="R50" s="4">
        <v>1.79</v>
      </c>
      <c r="S50" s="4">
        <v>0.19</v>
      </c>
      <c r="T50" s="4">
        <v>0</v>
      </c>
      <c r="U50" s="4">
        <v>1.82</v>
      </c>
      <c r="V50" s="4">
        <v>8.1300000000000008</v>
      </c>
      <c r="W50" s="4">
        <v>122.29</v>
      </c>
      <c r="X50" s="4">
        <v>0.68</v>
      </c>
      <c r="Y50" s="4">
        <v>0.02</v>
      </c>
      <c r="Z50" s="4">
        <v>0.03</v>
      </c>
      <c r="AA50" s="4">
        <v>120.54</v>
      </c>
      <c r="AB50" s="4">
        <v>0.88</v>
      </c>
      <c r="AC50" s="4">
        <v>0.16</v>
      </c>
      <c r="AD50" s="4">
        <v>126.12</v>
      </c>
      <c r="AE50" s="4">
        <v>0.63</v>
      </c>
      <c r="AF50" s="4">
        <v>0.27</v>
      </c>
      <c r="AG50" s="4">
        <v>0.04</v>
      </c>
      <c r="AH50" s="4">
        <v>120.19</v>
      </c>
      <c r="AI50" s="4">
        <v>0.84</v>
      </c>
      <c r="AJ50" s="4">
        <v>0.43</v>
      </c>
      <c r="AK50" s="4">
        <v>3.73</v>
      </c>
      <c r="AL50" s="4">
        <v>4.29</v>
      </c>
      <c r="AM50" s="4">
        <v>2.29</v>
      </c>
      <c r="AN50" s="4">
        <v>0.44</v>
      </c>
      <c r="AO50" s="4">
        <v>1.85</v>
      </c>
      <c r="AP50" s="4">
        <v>6.14</v>
      </c>
      <c r="AQ50" s="4">
        <v>-0.09</v>
      </c>
      <c r="AR50" s="4">
        <v>-0.09</v>
      </c>
      <c r="AS50" s="4">
        <v>4.62</v>
      </c>
    </row>
    <row r="51" spans="1:45" ht="29" x14ac:dyDescent="0.35">
      <c r="A51" s="3"/>
      <c r="B51" s="3" t="s">
        <v>19</v>
      </c>
      <c r="C51" s="3" t="s">
        <v>18</v>
      </c>
      <c r="D51" s="4">
        <v>32.19</v>
      </c>
      <c r="E51" s="4">
        <v>0.3</v>
      </c>
      <c r="F51" s="4">
        <v>0.01</v>
      </c>
      <c r="G51" s="4">
        <v>1.6</v>
      </c>
      <c r="H51" s="4">
        <v>21.77</v>
      </c>
      <c r="I51" s="4">
        <v>0.16</v>
      </c>
      <c r="J51" s="4">
        <v>21.94</v>
      </c>
      <c r="K51" s="4">
        <v>8.34</v>
      </c>
      <c r="L51" s="4">
        <v>17.39</v>
      </c>
      <c r="M51" s="4">
        <v>0.03</v>
      </c>
      <c r="N51" s="4">
        <v>0.02</v>
      </c>
      <c r="O51" s="4">
        <v>1.52</v>
      </c>
      <c r="P51" s="4">
        <v>0.36</v>
      </c>
      <c r="Q51" s="4">
        <v>6.09</v>
      </c>
      <c r="R51" s="4">
        <v>7.96</v>
      </c>
      <c r="S51" s="4">
        <v>0.27</v>
      </c>
      <c r="T51" s="4">
        <v>0.8</v>
      </c>
      <c r="U51" s="4">
        <v>8.31</v>
      </c>
      <c r="V51" s="4">
        <v>14.81</v>
      </c>
      <c r="W51" s="4">
        <v>34.54</v>
      </c>
      <c r="X51" s="4">
        <v>1</v>
      </c>
      <c r="Y51" s="4">
        <v>0</v>
      </c>
      <c r="Z51" s="4">
        <v>0</v>
      </c>
      <c r="AA51" s="4">
        <v>29.57</v>
      </c>
      <c r="AB51" s="4">
        <v>2.04</v>
      </c>
      <c r="AC51" s="4">
        <v>1.94</v>
      </c>
      <c r="AD51" s="4">
        <v>43.02</v>
      </c>
      <c r="AE51" s="4">
        <v>0.1</v>
      </c>
      <c r="AF51" s="4">
        <v>0</v>
      </c>
      <c r="AG51" s="4">
        <v>0</v>
      </c>
      <c r="AH51" s="4">
        <v>29.45</v>
      </c>
      <c r="AI51" s="4">
        <v>4.5199999999999996</v>
      </c>
      <c r="AJ51" s="4">
        <v>0.06</v>
      </c>
      <c r="AK51" s="4">
        <v>8.89</v>
      </c>
      <c r="AL51" s="4">
        <v>6.32</v>
      </c>
      <c r="AM51" s="4">
        <v>7.0000000000000007E-2</v>
      </c>
      <c r="AN51" s="4">
        <v>0.18</v>
      </c>
      <c r="AO51" s="4">
        <v>-0.11</v>
      </c>
      <c r="AP51" s="4">
        <v>6.21</v>
      </c>
      <c r="AQ51" s="4">
        <v>0</v>
      </c>
      <c r="AR51" s="4">
        <v>0</v>
      </c>
      <c r="AS51" s="4">
        <v>4.88</v>
      </c>
    </row>
    <row r="52" spans="1:45" ht="43.5" x14ac:dyDescent="0.35">
      <c r="A52" s="3"/>
      <c r="B52" s="3"/>
      <c r="C52" s="3" t="s">
        <v>24</v>
      </c>
      <c r="D52" s="4">
        <v>96.06</v>
      </c>
      <c r="E52" s="4">
        <v>1.06</v>
      </c>
      <c r="F52" s="4">
        <v>0.46</v>
      </c>
      <c r="G52" s="4">
        <v>14.58</v>
      </c>
      <c r="H52" s="4">
        <v>48.02</v>
      </c>
      <c r="I52" s="4">
        <v>0.54</v>
      </c>
      <c r="J52" s="4">
        <v>48.56</v>
      </c>
      <c r="K52" s="4">
        <v>31.4</v>
      </c>
      <c r="L52" s="4">
        <v>58.82</v>
      </c>
      <c r="M52" s="4">
        <v>0.01</v>
      </c>
      <c r="N52" s="4">
        <v>0.72</v>
      </c>
      <c r="O52" s="4">
        <v>5.75</v>
      </c>
      <c r="P52" s="4">
        <v>2.75</v>
      </c>
      <c r="Q52" s="4">
        <v>16.84</v>
      </c>
      <c r="R52" s="4">
        <v>25.34</v>
      </c>
      <c r="S52" s="4">
        <v>0.65</v>
      </c>
      <c r="T52" s="4">
        <v>1.72</v>
      </c>
      <c r="U52" s="4">
        <v>30.37</v>
      </c>
      <c r="V52" s="4">
        <v>37.24</v>
      </c>
      <c r="W52" s="4">
        <v>58.34</v>
      </c>
      <c r="X52" s="4">
        <v>2.16</v>
      </c>
      <c r="Y52" s="4">
        <v>0</v>
      </c>
      <c r="Z52" s="4">
        <v>0.08</v>
      </c>
      <c r="AA52" s="4">
        <v>41.34</v>
      </c>
      <c r="AB52" s="4">
        <v>8.5</v>
      </c>
      <c r="AC52" s="4">
        <v>6.26</v>
      </c>
      <c r="AD52" s="4">
        <v>76.69</v>
      </c>
      <c r="AE52" s="4">
        <v>1.45</v>
      </c>
      <c r="AF52" s="4">
        <v>0</v>
      </c>
      <c r="AG52" s="4">
        <v>0.02</v>
      </c>
      <c r="AH52" s="4">
        <v>37.89</v>
      </c>
      <c r="AI52" s="4">
        <v>11.42</v>
      </c>
      <c r="AJ52" s="4">
        <v>1.35</v>
      </c>
      <c r="AK52" s="4">
        <v>24.54</v>
      </c>
      <c r="AL52" s="4">
        <v>18.89</v>
      </c>
      <c r="AM52" s="4">
        <v>40.49</v>
      </c>
      <c r="AN52" s="4">
        <v>41.78</v>
      </c>
      <c r="AO52" s="4">
        <v>-1.29</v>
      </c>
      <c r="AP52" s="4">
        <v>17.59</v>
      </c>
      <c r="AQ52" s="4">
        <v>0</v>
      </c>
      <c r="AR52" s="4">
        <v>0</v>
      </c>
      <c r="AS52" s="4">
        <v>14.02</v>
      </c>
    </row>
    <row r="53" spans="1:45" ht="29" x14ac:dyDescent="0.35">
      <c r="A53" s="3"/>
      <c r="B53" s="3" t="s">
        <v>20</v>
      </c>
      <c r="C53" s="3" t="s">
        <v>18</v>
      </c>
      <c r="D53" s="4">
        <v>152.86000000000001</v>
      </c>
      <c r="E53" s="4">
        <v>1.45</v>
      </c>
      <c r="F53" s="4">
        <v>2.83</v>
      </c>
      <c r="G53" s="4">
        <v>15.03</v>
      </c>
      <c r="H53" s="4">
        <v>129.1</v>
      </c>
      <c r="I53" s="4">
        <v>1.1499999999999999</v>
      </c>
      <c r="J53" s="4">
        <v>130.26</v>
      </c>
      <c r="K53" s="4">
        <v>3.29</v>
      </c>
      <c r="L53" s="4">
        <v>51.37</v>
      </c>
      <c r="M53" s="4">
        <v>0</v>
      </c>
      <c r="N53" s="4">
        <v>0.98</v>
      </c>
      <c r="O53" s="4">
        <v>14.26</v>
      </c>
      <c r="P53" s="4">
        <v>2.86</v>
      </c>
      <c r="Q53" s="4">
        <v>21.69</v>
      </c>
      <c r="R53" s="4">
        <v>38.81</v>
      </c>
      <c r="S53" s="4">
        <v>3.29</v>
      </c>
      <c r="T53" s="4">
        <v>3.92</v>
      </c>
      <c r="U53" s="4">
        <v>4.37</v>
      </c>
      <c r="V53" s="4">
        <v>101.49</v>
      </c>
      <c r="W53" s="4">
        <v>374.35</v>
      </c>
      <c r="X53" s="4">
        <v>4.1900000000000004</v>
      </c>
      <c r="Y53" s="4">
        <v>0</v>
      </c>
      <c r="Z53" s="4">
        <v>0</v>
      </c>
      <c r="AA53" s="4">
        <v>304.11</v>
      </c>
      <c r="AB53" s="4">
        <v>28.69</v>
      </c>
      <c r="AC53" s="4">
        <v>37.36</v>
      </c>
      <c r="AD53" s="4">
        <v>411.06</v>
      </c>
      <c r="AE53" s="4">
        <v>0.74</v>
      </c>
      <c r="AF53" s="4">
        <v>0</v>
      </c>
      <c r="AG53" s="4">
        <v>0</v>
      </c>
      <c r="AH53" s="4">
        <v>301.74</v>
      </c>
      <c r="AI53" s="4">
        <v>53.58</v>
      </c>
      <c r="AJ53" s="4">
        <v>1.1399999999999999</v>
      </c>
      <c r="AK53" s="4">
        <v>53.85</v>
      </c>
      <c r="AL53" s="4">
        <v>64.78</v>
      </c>
      <c r="AM53" s="4">
        <v>0.48</v>
      </c>
      <c r="AN53" s="4">
        <v>0.28000000000000003</v>
      </c>
      <c r="AO53" s="4">
        <v>0.2</v>
      </c>
      <c r="AP53" s="4">
        <v>64.98</v>
      </c>
      <c r="AQ53" s="4">
        <v>0</v>
      </c>
      <c r="AR53" s="4">
        <v>0</v>
      </c>
      <c r="AS53" s="4">
        <v>52.79</v>
      </c>
    </row>
    <row r="54" spans="1:45" ht="43.5" x14ac:dyDescent="0.35">
      <c r="A54" s="3"/>
      <c r="B54" s="3"/>
      <c r="C54" s="3" t="s">
        <v>24</v>
      </c>
      <c r="D54" s="4">
        <v>46.34</v>
      </c>
      <c r="E54" s="4">
        <v>0.21</v>
      </c>
      <c r="F54" s="4">
        <v>0.24</v>
      </c>
      <c r="G54" s="4">
        <v>10.26</v>
      </c>
      <c r="H54" s="4">
        <v>26.83</v>
      </c>
      <c r="I54" s="4">
        <v>0.59</v>
      </c>
      <c r="J54" s="4">
        <v>27.42</v>
      </c>
      <c r="K54" s="4">
        <v>8.2200000000000006</v>
      </c>
      <c r="L54" s="4">
        <v>12.33</v>
      </c>
      <c r="M54" s="4">
        <v>0</v>
      </c>
      <c r="N54" s="4">
        <v>0.04</v>
      </c>
      <c r="O54" s="4">
        <v>1.98</v>
      </c>
      <c r="P54" s="4">
        <v>0.18</v>
      </c>
      <c r="Q54" s="4">
        <v>2.12</v>
      </c>
      <c r="R54" s="4">
        <v>4.2699999999999996</v>
      </c>
      <c r="S54" s="4">
        <v>0</v>
      </c>
      <c r="T54" s="4">
        <v>0</v>
      </c>
      <c r="U54" s="4">
        <v>8.01</v>
      </c>
      <c r="V54" s="4">
        <v>34.020000000000003</v>
      </c>
      <c r="W54" s="4">
        <v>16.13</v>
      </c>
      <c r="X54" s="4">
        <v>1.22</v>
      </c>
      <c r="Y54" s="4">
        <v>0</v>
      </c>
      <c r="Z54" s="4">
        <v>0</v>
      </c>
      <c r="AA54" s="4">
        <v>1.55</v>
      </c>
      <c r="AB54" s="4">
        <v>10.73</v>
      </c>
      <c r="AC54" s="4">
        <v>2.63</v>
      </c>
      <c r="AD54" s="4">
        <v>18.5</v>
      </c>
      <c r="AE54" s="4">
        <v>0.09</v>
      </c>
      <c r="AF54" s="4">
        <v>0</v>
      </c>
      <c r="AG54" s="4">
        <v>0</v>
      </c>
      <c r="AH54" s="4">
        <v>0.68</v>
      </c>
      <c r="AI54" s="4">
        <v>4.43</v>
      </c>
      <c r="AJ54" s="4">
        <v>0</v>
      </c>
      <c r="AK54" s="4">
        <v>13.3</v>
      </c>
      <c r="AL54" s="4">
        <v>31.64</v>
      </c>
      <c r="AM54" s="4">
        <v>0.12</v>
      </c>
      <c r="AN54" s="4">
        <v>0.57999999999999996</v>
      </c>
      <c r="AO54" s="4">
        <v>-0.45</v>
      </c>
      <c r="AP54" s="4">
        <v>31.19</v>
      </c>
      <c r="AQ54" s="4">
        <v>0</v>
      </c>
      <c r="AR54" s="4">
        <v>0</v>
      </c>
      <c r="AS54" s="4">
        <v>25.68</v>
      </c>
    </row>
    <row r="55" spans="1:45" x14ac:dyDescent="0.35">
      <c r="A55" s="3" t="s">
        <v>30</v>
      </c>
      <c r="B55" s="3" t="s">
        <v>22</v>
      </c>
      <c r="C55" s="3" t="s">
        <v>21</v>
      </c>
      <c r="D55" s="4">
        <v>26.6</v>
      </c>
      <c r="E55" s="4">
        <v>0.23</v>
      </c>
      <c r="F55" s="4">
        <v>0.38</v>
      </c>
      <c r="G55" s="4">
        <v>2.34</v>
      </c>
      <c r="H55" s="4">
        <v>16.54</v>
      </c>
      <c r="I55" s="4">
        <v>0.03</v>
      </c>
      <c r="J55" s="4">
        <v>16.559999999999999</v>
      </c>
      <c r="K55" s="4">
        <v>7.09</v>
      </c>
      <c r="L55" s="4">
        <v>12.87</v>
      </c>
      <c r="M55" s="4">
        <v>0.01</v>
      </c>
      <c r="N55" s="4">
        <v>0.28000000000000003</v>
      </c>
      <c r="O55" s="4">
        <v>0.65</v>
      </c>
      <c r="P55" s="4">
        <v>0.4</v>
      </c>
      <c r="Q55" s="4">
        <v>3.96</v>
      </c>
      <c r="R55" s="4">
        <v>5.01</v>
      </c>
      <c r="S55" s="4">
        <v>7.0000000000000007E-2</v>
      </c>
      <c r="T55" s="4">
        <v>0.4</v>
      </c>
      <c r="U55" s="4">
        <v>7.09</v>
      </c>
      <c r="V55" s="4">
        <v>13.72</v>
      </c>
      <c r="W55" s="4">
        <v>2.1800000000000002</v>
      </c>
      <c r="X55" s="4">
        <v>0.06</v>
      </c>
      <c r="Y55" s="4">
        <v>0</v>
      </c>
      <c r="Z55" s="4">
        <v>0</v>
      </c>
      <c r="AA55" s="4">
        <v>0.03</v>
      </c>
      <c r="AB55" s="4">
        <v>1.1499999999999999</v>
      </c>
      <c r="AC55" s="4">
        <v>0.94</v>
      </c>
      <c r="AD55" s="4">
        <v>10.85</v>
      </c>
      <c r="AE55" s="4">
        <v>0.02</v>
      </c>
      <c r="AF55" s="4">
        <v>0</v>
      </c>
      <c r="AG55" s="4">
        <v>0</v>
      </c>
      <c r="AH55" s="4">
        <v>0.03</v>
      </c>
      <c r="AI55" s="4">
        <v>1.79</v>
      </c>
      <c r="AJ55" s="4">
        <v>0.05</v>
      </c>
      <c r="AK55" s="4">
        <v>8.9600000000000009</v>
      </c>
      <c r="AL55" s="4">
        <v>5.05</v>
      </c>
      <c r="AM55" s="4">
        <v>2.99</v>
      </c>
      <c r="AN55" s="4">
        <v>3.06</v>
      </c>
      <c r="AO55" s="4">
        <v>-7.0000000000000007E-2</v>
      </c>
      <c r="AP55" s="4">
        <v>4.9800000000000004</v>
      </c>
      <c r="AQ55" s="4">
        <v>0</v>
      </c>
      <c r="AR55" s="4">
        <v>0</v>
      </c>
      <c r="AS55" s="4">
        <v>4.07</v>
      </c>
    </row>
    <row r="56" spans="1:45" ht="43.5" x14ac:dyDescent="0.35">
      <c r="A56" s="3"/>
      <c r="B56" s="3"/>
      <c r="C56" s="3" t="s">
        <v>24</v>
      </c>
      <c r="D56" s="4">
        <v>50.8</v>
      </c>
      <c r="E56" s="4">
        <v>0.4</v>
      </c>
      <c r="F56" s="4">
        <v>0.31</v>
      </c>
      <c r="G56" s="4">
        <v>5.13</v>
      </c>
      <c r="H56" s="4">
        <v>18.84</v>
      </c>
      <c r="I56" s="4">
        <v>0.03</v>
      </c>
      <c r="J56" s="4">
        <v>18.87</v>
      </c>
      <c r="K56" s="4">
        <v>26.1</v>
      </c>
      <c r="L56" s="4">
        <v>37.53</v>
      </c>
      <c r="M56" s="4">
        <v>0.02</v>
      </c>
      <c r="N56" s="4">
        <v>0.47</v>
      </c>
      <c r="O56" s="4">
        <v>0.9</v>
      </c>
      <c r="P56" s="4">
        <v>0.93</v>
      </c>
      <c r="Q56" s="4">
        <v>8.25</v>
      </c>
      <c r="R56" s="4">
        <v>10.07</v>
      </c>
      <c r="S56" s="4">
        <v>0.51</v>
      </c>
      <c r="T56" s="4">
        <v>0.23</v>
      </c>
      <c r="U56" s="4">
        <v>26.22</v>
      </c>
      <c r="V56" s="4">
        <v>13.27</v>
      </c>
      <c r="W56" s="4">
        <v>5.55</v>
      </c>
      <c r="X56" s="4">
        <v>0.19</v>
      </c>
      <c r="Y56" s="4">
        <v>0</v>
      </c>
      <c r="Z56" s="4">
        <v>0.04</v>
      </c>
      <c r="AA56" s="4">
        <v>0.44</v>
      </c>
      <c r="AB56" s="4">
        <v>2.0099999999999998</v>
      </c>
      <c r="AC56" s="4">
        <v>2.87</v>
      </c>
      <c r="AD56" s="4">
        <v>15.28</v>
      </c>
      <c r="AE56" s="4">
        <v>0.1</v>
      </c>
      <c r="AF56" s="4">
        <v>0.53</v>
      </c>
      <c r="AG56" s="4">
        <v>0</v>
      </c>
      <c r="AH56" s="4">
        <v>0.37</v>
      </c>
      <c r="AI56" s="4">
        <v>4.78</v>
      </c>
      <c r="AJ56" s="4">
        <v>0.2</v>
      </c>
      <c r="AK56" s="4">
        <v>9.3000000000000007</v>
      </c>
      <c r="AL56" s="4">
        <v>3.54</v>
      </c>
      <c r="AM56" s="4">
        <v>1.94</v>
      </c>
      <c r="AN56" s="4">
        <v>1.92</v>
      </c>
      <c r="AO56" s="4">
        <v>0.03</v>
      </c>
      <c r="AP56" s="4">
        <v>3.56</v>
      </c>
      <c r="AQ56" s="4">
        <v>0</v>
      </c>
      <c r="AR56" s="4">
        <v>0</v>
      </c>
      <c r="AS56" s="4">
        <v>2.89</v>
      </c>
    </row>
    <row r="57" spans="1:45" ht="130.5" x14ac:dyDescent="0.35">
      <c r="A57" s="3"/>
      <c r="B57" s="3"/>
      <c r="C57" s="3" t="s">
        <v>25</v>
      </c>
      <c r="D57" s="4">
        <v>1.41</v>
      </c>
      <c r="E57" s="4">
        <v>0.17</v>
      </c>
      <c r="F57" s="4">
        <v>0.11</v>
      </c>
      <c r="G57" s="4">
        <v>0.67</v>
      </c>
      <c r="H57" s="4">
        <v>0.32</v>
      </c>
      <c r="I57" s="4">
        <v>7.0000000000000007E-2</v>
      </c>
      <c r="J57" s="4">
        <v>0.4</v>
      </c>
      <c r="K57" s="4">
        <v>0.06</v>
      </c>
      <c r="L57" s="4">
        <v>0.73</v>
      </c>
      <c r="M57" s="4">
        <v>0.01</v>
      </c>
      <c r="N57" s="4">
        <v>0.22</v>
      </c>
      <c r="O57" s="4">
        <v>0.15</v>
      </c>
      <c r="P57" s="4">
        <v>0</v>
      </c>
      <c r="Q57" s="4">
        <v>7.0000000000000007E-2</v>
      </c>
      <c r="R57" s="4">
        <v>0.22</v>
      </c>
      <c r="S57" s="4">
        <v>0</v>
      </c>
      <c r="T57" s="4">
        <v>0</v>
      </c>
      <c r="U57" s="4">
        <v>0.27</v>
      </c>
      <c r="V57" s="4">
        <v>0.68</v>
      </c>
      <c r="W57" s="4">
        <v>19.95</v>
      </c>
      <c r="X57" s="4">
        <v>0.21</v>
      </c>
      <c r="Y57" s="4">
        <v>0</v>
      </c>
      <c r="Z57" s="4">
        <v>0.02</v>
      </c>
      <c r="AA57" s="4">
        <v>19.579999999999998</v>
      </c>
      <c r="AB57" s="4">
        <v>7.0000000000000007E-2</v>
      </c>
      <c r="AC57" s="4">
        <v>0.08</v>
      </c>
      <c r="AD57" s="4">
        <v>20.57</v>
      </c>
      <c r="AE57" s="4">
        <v>0.46</v>
      </c>
      <c r="AF57" s="4">
        <v>0</v>
      </c>
      <c r="AG57" s="4">
        <v>0.04</v>
      </c>
      <c r="AH57" s="4">
        <v>19.54</v>
      </c>
      <c r="AI57" s="4">
        <v>0.08</v>
      </c>
      <c r="AJ57" s="4">
        <v>0.02</v>
      </c>
      <c r="AK57" s="4">
        <v>0.44</v>
      </c>
      <c r="AL57" s="4">
        <v>0.06</v>
      </c>
      <c r="AM57" s="4">
        <v>0.03</v>
      </c>
      <c r="AN57" s="4">
        <v>0</v>
      </c>
      <c r="AO57" s="4">
        <v>0.03</v>
      </c>
      <c r="AP57" s="4">
        <v>0.09</v>
      </c>
      <c r="AQ57" s="4">
        <v>0</v>
      </c>
      <c r="AR57" s="4">
        <v>0</v>
      </c>
      <c r="AS57" s="4">
        <v>0.06</v>
      </c>
    </row>
    <row r="58" spans="1:45" x14ac:dyDescent="0.35">
      <c r="A58" s="3"/>
      <c r="B58" s="3" t="s">
        <v>23</v>
      </c>
      <c r="C58" s="3" t="s">
        <v>21</v>
      </c>
      <c r="D58" s="4">
        <v>36.630000000000003</v>
      </c>
      <c r="E58" s="4">
        <v>0.21</v>
      </c>
      <c r="F58" s="4">
        <v>0.28000000000000003</v>
      </c>
      <c r="G58" s="4">
        <v>3.08</v>
      </c>
      <c r="H58" s="4">
        <v>15.94</v>
      </c>
      <c r="I58" s="4">
        <v>0.16</v>
      </c>
      <c r="J58" s="4">
        <v>16.100000000000001</v>
      </c>
      <c r="K58" s="4">
        <v>16.97</v>
      </c>
      <c r="L58" s="4">
        <v>24.3</v>
      </c>
      <c r="M58" s="4">
        <v>0.01</v>
      </c>
      <c r="N58" s="4">
        <v>0.3</v>
      </c>
      <c r="O58" s="4">
        <v>0.66</v>
      </c>
      <c r="P58" s="4">
        <v>0.67</v>
      </c>
      <c r="Q58" s="4">
        <v>4.55</v>
      </c>
      <c r="R58" s="4">
        <v>5.88</v>
      </c>
      <c r="S58" s="4">
        <v>0.35</v>
      </c>
      <c r="T58" s="4">
        <v>0.54</v>
      </c>
      <c r="U58" s="4">
        <v>17.22</v>
      </c>
      <c r="V58" s="4">
        <v>12.33</v>
      </c>
      <c r="W58" s="4">
        <v>6.6</v>
      </c>
      <c r="X58" s="4">
        <v>0.55000000000000004</v>
      </c>
      <c r="Y58" s="4">
        <v>0</v>
      </c>
      <c r="Z58" s="4">
        <v>0</v>
      </c>
      <c r="AA58" s="4">
        <v>2.93</v>
      </c>
      <c r="AB58" s="4">
        <v>1.61</v>
      </c>
      <c r="AC58" s="4">
        <v>1.52</v>
      </c>
      <c r="AD58" s="4">
        <v>14.84</v>
      </c>
      <c r="AE58" s="4">
        <v>0.53</v>
      </c>
      <c r="AF58" s="4">
        <v>0</v>
      </c>
      <c r="AG58" s="4">
        <v>0</v>
      </c>
      <c r="AH58" s="4">
        <v>2.93</v>
      </c>
      <c r="AI58" s="4">
        <v>3.17</v>
      </c>
      <c r="AJ58" s="4">
        <v>0</v>
      </c>
      <c r="AK58" s="4">
        <v>8.2100000000000009</v>
      </c>
      <c r="AL58" s="4">
        <v>4.0999999999999996</v>
      </c>
      <c r="AM58" s="4">
        <v>0.5</v>
      </c>
      <c r="AN58" s="4">
        <v>0.38</v>
      </c>
      <c r="AO58" s="4">
        <v>0.11</v>
      </c>
      <c r="AP58" s="4">
        <v>4.21</v>
      </c>
      <c r="AQ58" s="4">
        <v>0</v>
      </c>
      <c r="AR58" s="4">
        <v>0</v>
      </c>
      <c r="AS58" s="4">
        <v>3.37</v>
      </c>
    </row>
    <row r="59" spans="1:45" ht="43.5" x14ac:dyDescent="0.35">
      <c r="A59" s="3"/>
      <c r="B59" s="3"/>
      <c r="C59" s="3" t="s">
        <v>24</v>
      </c>
      <c r="D59" s="4">
        <v>46.38</v>
      </c>
      <c r="E59" s="4">
        <v>0.59</v>
      </c>
      <c r="F59" s="4">
        <v>0.33</v>
      </c>
      <c r="G59" s="4">
        <v>4.6100000000000003</v>
      </c>
      <c r="H59" s="4">
        <v>25.66</v>
      </c>
      <c r="I59" s="4">
        <v>7.0000000000000007E-2</v>
      </c>
      <c r="J59" s="4">
        <v>25.72</v>
      </c>
      <c r="K59" s="4">
        <v>15.13</v>
      </c>
      <c r="L59" s="4">
        <v>25.97</v>
      </c>
      <c r="M59" s="4">
        <v>0.01</v>
      </c>
      <c r="N59" s="4">
        <v>0.71</v>
      </c>
      <c r="O59" s="4">
        <v>1.1399999999999999</v>
      </c>
      <c r="P59" s="4">
        <v>1.05</v>
      </c>
      <c r="Q59" s="4">
        <v>6.67</v>
      </c>
      <c r="R59" s="4">
        <v>8.86</v>
      </c>
      <c r="S59" s="4">
        <v>0.49</v>
      </c>
      <c r="T59" s="4">
        <v>0.89</v>
      </c>
      <c r="U59" s="4">
        <v>15.02</v>
      </c>
      <c r="V59" s="4">
        <v>20.41</v>
      </c>
      <c r="W59" s="4">
        <v>20.309999999999999</v>
      </c>
      <c r="X59" s="4">
        <v>4.49</v>
      </c>
      <c r="Y59" s="4">
        <v>0</v>
      </c>
      <c r="Z59" s="4">
        <v>0</v>
      </c>
      <c r="AA59" s="4">
        <v>11.59</v>
      </c>
      <c r="AB59" s="4">
        <v>1.56</v>
      </c>
      <c r="AC59" s="4">
        <v>2.67</v>
      </c>
      <c r="AD59" s="4">
        <v>34.44</v>
      </c>
      <c r="AE59" s="4">
        <v>4.5</v>
      </c>
      <c r="AF59" s="4">
        <v>0</v>
      </c>
      <c r="AG59" s="4">
        <v>0</v>
      </c>
      <c r="AH59" s="4">
        <v>10.89</v>
      </c>
      <c r="AI59" s="4">
        <v>8.2899999999999991</v>
      </c>
      <c r="AJ59" s="4">
        <v>0.23</v>
      </c>
      <c r="AK59" s="4">
        <v>10.53</v>
      </c>
      <c r="AL59" s="4">
        <v>6.28</v>
      </c>
      <c r="AM59" s="4">
        <v>3.3</v>
      </c>
      <c r="AN59" s="4">
        <v>3.58</v>
      </c>
      <c r="AO59" s="4">
        <v>-0.28000000000000003</v>
      </c>
      <c r="AP59" s="4">
        <v>6</v>
      </c>
      <c r="AQ59" s="4">
        <v>0</v>
      </c>
      <c r="AR59" s="4">
        <v>0</v>
      </c>
      <c r="AS59" s="4">
        <v>5.04</v>
      </c>
    </row>
    <row r="60" spans="1:45" ht="130.5" x14ac:dyDescent="0.35">
      <c r="A60" s="3"/>
      <c r="B60" s="3"/>
      <c r="C60" s="3" t="s">
        <v>25</v>
      </c>
      <c r="D60" s="4">
        <v>12.76</v>
      </c>
      <c r="E60" s="4">
        <v>0.72</v>
      </c>
      <c r="F60" s="4">
        <v>1.06</v>
      </c>
      <c r="G60" s="4">
        <v>4.0999999999999996</v>
      </c>
      <c r="H60" s="4">
        <v>6.02</v>
      </c>
      <c r="I60" s="4">
        <v>0.71</v>
      </c>
      <c r="J60" s="4">
        <v>6.74</v>
      </c>
      <c r="K60" s="4">
        <v>0.15</v>
      </c>
      <c r="L60" s="4">
        <v>2.84</v>
      </c>
      <c r="M60" s="4">
        <v>0</v>
      </c>
      <c r="N60" s="4">
        <v>0.31</v>
      </c>
      <c r="O60" s="4">
        <v>1.2</v>
      </c>
      <c r="P60" s="4">
        <v>0.09</v>
      </c>
      <c r="Q60" s="4">
        <v>0.93</v>
      </c>
      <c r="R60" s="4">
        <v>2.2200000000000002</v>
      </c>
      <c r="S60" s="4">
        <v>0.23</v>
      </c>
      <c r="T60" s="4">
        <v>0</v>
      </c>
      <c r="U60" s="4">
        <v>0.08</v>
      </c>
      <c r="V60" s="4">
        <v>9.92</v>
      </c>
      <c r="W60" s="4">
        <v>147.78</v>
      </c>
      <c r="X60" s="4">
        <v>0.86</v>
      </c>
      <c r="Y60" s="4">
        <v>0.03</v>
      </c>
      <c r="Z60" s="4">
        <v>0.03</v>
      </c>
      <c r="AA60" s="4">
        <v>145.53</v>
      </c>
      <c r="AB60" s="4">
        <v>1.1399999999999999</v>
      </c>
      <c r="AC60" s="4">
        <v>0.2</v>
      </c>
      <c r="AD60" s="4">
        <v>152.5</v>
      </c>
      <c r="AE60" s="4">
        <v>1.03</v>
      </c>
      <c r="AF60" s="4">
        <v>0.28999999999999998</v>
      </c>
      <c r="AG60" s="4">
        <v>0.06</v>
      </c>
      <c r="AH60" s="4">
        <v>145.03</v>
      </c>
      <c r="AI60" s="4">
        <v>1.05</v>
      </c>
      <c r="AJ60" s="4">
        <v>0.52</v>
      </c>
      <c r="AK60" s="4">
        <v>4.5199999999999996</v>
      </c>
      <c r="AL60" s="4">
        <v>5.2</v>
      </c>
      <c r="AM60" s="4">
        <v>2.29</v>
      </c>
      <c r="AN60" s="4">
        <v>0.23</v>
      </c>
      <c r="AO60" s="4">
        <v>2.06</v>
      </c>
      <c r="AP60" s="4">
        <v>7.26</v>
      </c>
      <c r="AQ60" s="4">
        <v>-0.08</v>
      </c>
      <c r="AR60" s="4">
        <v>-0.08</v>
      </c>
      <c r="AS60" s="4">
        <v>5.48</v>
      </c>
    </row>
    <row r="61" spans="1:45" ht="29" x14ac:dyDescent="0.35">
      <c r="A61" s="3"/>
      <c r="B61" s="3" t="s">
        <v>19</v>
      </c>
      <c r="C61" s="3" t="s">
        <v>18</v>
      </c>
      <c r="D61" s="4">
        <v>39.01</v>
      </c>
      <c r="E61" s="4">
        <v>0.33</v>
      </c>
      <c r="F61" s="4">
        <v>0.02</v>
      </c>
      <c r="G61" s="4">
        <v>1.93</v>
      </c>
      <c r="H61" s="4">
        <v>26.47</v>
      </c>
      <c r="I61" s="4">
        <v>0.19</v>
      </c>
      <c r="J61" s="4">
        <v>26.66</v>
      </c>
      <c r="K61" s="4">
        <v>10.06</v>
      </c>
      <c r="L61" s="4">
        <v>21.08</v>
      </c>
      <c r="M61" s="4">
        <v>0.03</v>
      </c>
      <c r="N61" s="4">
        <v>0.02</v>
      </c>
      <c r="O61" s="4">
        <v>1.87</v>
      </c>
      <c r="P61" s="4">
        <v>0.44</v>
      </c>
      <c r="Q61" s="4">
        <v>7.39</v>
      </c>
      <c r="R61" s="4">
        <v>9.6999999999999993</v>
      </c>
      <c r="S61" s="4">
        <v>0.32</v>
      </c>
      <c r="T61" s="4">
        <v>0.98</v>
      </c>
      <c r="U61" s="4">
        <v>10.029999999999999</v>
      </c>
      <c r="V61" s="4">
        <v>17.920000000000002</v>
      </c>
      <c r="W61" s="4">
        <v>38.130000000000003</v>
      </c>
      <c r="X61" s="4">
        <v>1.1399999999999999</v>
      </c>
      <c r="Y61" s="4">
        <v>0</v>
      </c>
      <c r="Z61" s="4">
        <v>0</v>
      </c>
      <c r="AA61" s="4">
        <v>32.369999999999997</v>
      </c>
      <c r="AB61" s="4">
        <v>2.4</v>
      </c>
      <c r="AC61" s="4">
        <v>2.2200000000000002</v>
      </c>
      <c r="AD61" s="4">
        <v>48.14</v>
      </c>
      <c r="AE61" s="4">
        <v>0.2</v>
      </c>
      <c r="AF61" s="4">
        <v>0</v>
      </c>
      <c r="AG61" s="4">
        <v>0</v>
      </c>
      <c r="AH61" s="4">
        <v>32.25</v>
      </c>
      <c r="AI61" s="4">
        <v>4.9800000000000004</v>
      </c>
      <c r="AJ61" s="4">
        <v>0.08</v>
      </c>
      <c r="AK61" s="4">
        <v>10.64</v>
      </c>
      <c r="AL61" s="4">
        <v>7.91</v>
      </c>
      <c r="AM61" s="4">
        <v>7.0000000000000007E-2</v>
      </c>
      <c r="AN61" s="4">
        <v>0.22</v>
      </c>
      <c r="AO61" s="4">
        <v>-0.14000000000000001</v>
      </c>
      <c r="AP61" s="4">
        <v>7.76</v>
      </c>
      <c r="AQ61" s="4">
        <v>0</v>
      </c>
      <c r="AR61" s="4">
        <v>0</v>
      </c>
      <c r="AS61" s="4">
        <v>6.11</v>
      </c>
    </row>
    <row r="62" spans="1:45" ht="43.5" x14ac:dyDescent="0.35">
      <c r="A62" s="3"/>
      <c r="B62" s="3"/>
      <c r="C62" s="3" t="s">
        <v>24</v>
      </c>
      <c r="D62" s="4">
        <v>122.86</v>
      </c>
      <c r="E62" s="4">
        <v>1.28</v>
      </c>
      <c r="F62" s="4">
        <v>0.56000000000000005</v>
      </c>
      <c r="G62" s="4">
        <v>17.64</v>
      </c>
      <c r="H62" s="4">
        <v>58.03</v>
      </c>
      <c r="I62" s="4">
        <v>0.65</v>
      </c>
      <c r="J62" s="4">
        <v>58.67</v>
      </c>
      <c r="K62" s="4">
        <v>44.71</v>
      </c>
      <c r="L62" s="4">
        <v>77.98</v>
      </c>
      <c r="M62" s="4">
        <v>0.06</v>
      </c>
      <c r="N62" s="4">
        <v>0.88</v>
      </c>
      <c r="O62" s="4">
        <v>6.92</v>
      </c>
      <c r="P62" s="4">
        <v>3.25</v>
      </c>
      <c r="Q62" s="4">
        <v>20.239999999999998</v>
      </c>
      <c r="R62" s="4">
        <v>30.41</v>
      </c>
      <c r="S62" s="4">
        <v>0.87</v>
      </c>
      <c r="T62" s="4">
        <v>2.0499999999999998</v>
      </c>
      <c r="U62" s="4">
        <v>43.71</v>
      </c>
      <c r="V62" s="4">
        <v>44.87</v>
      </c>
      <c r="W62" s="4">
        <v>69.38</v>
      </c>
      <c r="X62" s="4">
        <v>2.4900000000000002</v>
      </c>
      <c r="Y62" s="4">
        <v>0</v>
      </c>
      <c r="Z62" s="4">
        <v>0.09</v>
      </c>
      <c r="AA62" s="4">
        <v>48.34</v>
      </c>
      <c r="AB62" s="4">
        <v>10.47</v>
      </c>
      <c r="AC62" s="4">
        <v>7.98</v>
      </c>
      <c r="AD62" s="4">
        <v>92.7</v>
      </c>
      <c r="AE62" s="4">
        <v>2.38</v>
      </c>
      <c r="AF62" s="4">
        <v>0</v>
      </c>
      <c r="AG62" s="4">
        <v>0.04</v>
      </c>
      <c r="AH62" s="4">
        <v>45.21</v>
      </c>
      <c r="AI62" s="4">
        <v>13.54</v>
      </c>
      <c r="AJ62" s="4">
        <v>1.64</v>
      </c>
      <c r="AK62" s="4">
        <v>29.9</v>
      </c>
      <c r="AL62" s="4">
        <v>21.56</v>
      </c>
      <c r="AM62" s="4">
        <v>46.07</v>
      </c>
      <c r="AN62" s="4">
        <v>46.01</v>
      </c>
      <c r="AO62" s="4">
        <v>0.06</v>
      </c>
      <c r="AP62" s="4">
        <v>21.62</v>
      </c>
      <c r="AQ62" s="4">
        <v>0</v>
      </c>
      <c r="AR62" s="4">
        <v>0</v>
      </c>
      <c r="AS62" s="4">
        <v>17.22</v>
      </c>
    </row>
    <row r="63" spans="1:45" ht="29" x14ac:dyDescent="0.35">
      <c r="A63" s="3"/>
      <c r="B63" s="3" t="s">
        <v>20</v>
      </c>
      <c r="C63" s="3" t="s">
        <v>18</v>
      </c>
      <c r="D63" s="4">
        <v>183.88</v>
      </c>
      <c r="E63" s="4">
        <v>1.66</v>
      </c>
      <c r="F63" s="4">
        <v>3.48</v>
      </c>
      <c r="G63" s="4">
        <v>18.05</v>
      </c>
      <c r="H63" s="4">
        <v>155.69</v>
      </c>
      <c r="I63" s="4">
        <v>1.23</v>
      </c>
      <c r="J63" s="4">
        <v>156.91999999999999</v>
      </c>
      <c r="K63" s="4">
        <v>3.77</v>
      </c>
      <c r="L63" s="4">
        <v>62.62</v>
      </c>
      <c r="M63" s="4">
        <v>0</v>
      </c>
      <c r="N63" s="4">
        <v>1.21</v>
      </c>
      <c r="O63" s="4">
        <v>17.28</v>
      </c>
      <c r="P63" s="4">
        <v>3.45</v>
      </c>
      <c r="Q63" s="4">
        <v>26.28</v>
      </c>
      <c r="R63" s="4">
        <v>47.01</v>
      </c>
      <c r="S63" s="4">
        <v>4.3</v>
      </c>
      <c r="T63" s="4">
        <v>4.79</v>
      </c>
      <c r="U63" s="4">
        <v>5.3</v>
      </c>
      <c r="V63" s="4">
        <v>121.26</v>
      </c>
      <c r="W63" s="4">
        <v>459.81</v>
      </c>
      <c r="X63" s="4">
        <v>4.67</v>
      </c>
      <c r="Y63" s="4">
        <v>0</v>
      </c>
      <c r="Z63" s="4">
        <v>0</v>
      </c>
      <c r="AA63" s="4">
        <v>372.93</v>
      </c>
      <c r="AB63" s="4">
        <v>34.82</v>
      </c>
      <c r="AC63" s="4">
        <v>47.39</v>
      </c>
      <c r="AD63" s="4">
        <v>500.91</v>
      </c>
      <c r="AE63" s="4">
        <v>0.7</v>
      </c>
      <c r="AF63" s="4">
        <v>0</v>
      </c>
      <c r="AG63" s="4">
        <v>0</v>
      </c>
      <c r="AH63" s="4">
        <v>370.02</v>
      </c>
      <c r="AI63" s="4">
        <v>64.89</v>
      </c>
      <c r="AJ63" s="4">
        <v>1.51</v>
      </c>
      <c r="AK63" s="4">
        <v>63.79</v>
      </c>
      <c r="AL63" s="4">
        <v>80.17</v>
      </c>
      <c r="AM63" s="4">
        <v>0.35</v>
      </c>
      <c r="AN63" s="4">
        <v>0.41</v>
      </c>
      <c r="AO63" s="4">
        <v>-0.06</v>
      </c>
      <c r="AP63" s="4">
        <v>80.099999999999994</v>
      </c>
      <c r="AQ63" s="4">
        <v>0</v>
      </c>
      <c r="AR63" s="4">
        <v>0</v>
      </c>
      <c r="AS63" s="4">
        <v>65.19</v>
      </c>
    </row>
    <row r="64" spans="1:45" ht="43.5" x14ac:dyDescent="0.35">
      <c r="A64" s="3"/>
      <c r="B64" s="3"/>
      <c r="C64" s="3" t="s">
        <v>24</v>
      </c>
      <c r="D64" s="4">
        <v>55.85</v>
      </c>
      <c r="E64" s="4">
        <v>0.24</v>
      </c>
      <c r="F64" s="4">
        <v>0.3</v>
      </c>
      <c r="G64" s="4">
        <v>12.39</v>
      </c>
      <c r="H64" s="4">
        <v>32.4</v>
      </c>
      <c r="I64" s="4">
        <v>0.67</v>
      </c>
      <c r="J64" s="4">
        <v>33.07</v>
      </c>
      <c r="K64" s="4">
        <v>9.85</v>
      </c>
      <c r="L64" s="4">
        <v>14.95</v>
      </c>
      <c r="M64" s="4">
        <v>0</v>
      </c>
      <c r="N64" s="4">
        <v>0.04</v>
      </c>
      <c r="O64" s="4">
        <v>2.4</v>
      </c>
      <c r="P64" s="4">
        <v>0.21</v>
      </c>
      <c r="Q64" s="4">
        <v>2.54</v>
      </c>
      <c r="R64" s="4">
        <v>5.15</v>
      </c>
      <c r="S64" s="4">
        <v>0</v>
      </c>
      <c r="T64" s="4">
        <v>0</v>
      </c>
      <c r="U64" s="4">
        <v>9.75</v>
      </c>
      <c r="V64" s="4">
        <v>40.9</v>
      </c>
      <c r="W64" s="4">
        <v>18.43</v>
      </c>
      <c r="X64" s="4">
        <v>1.4</v>
      </c>
      <c r="Y64" s="4">
        <v>0</v>
      </c>
      <c r="Z64" s="4">
        <v>0</v>
      </c>
      <c r="AA64" s="4">
        <v>1.53</v>
      </c>
      <c r="AB64" s="4">
        <v>12.54</v>
      </c>
      <c r="AC64" s="4">
        <v>2.95</v>
      </c>
      <c r="AD64" s="4">
        <v>22.34</v>
      </c>
      <c r="AE64" s="4">
        <v>0.16</v>
      </c>
      <c r="AF64" s="4">
        <v>0</v>
      </c>
      <c r="AG64" s="4">
        <v>0</v>
      </c>
      <c r="AH64" s="4">
        <v>0.76</v>
      </c>
      <c r="AI64" s="4">
        <v>5.35</v>
      </c>
      <c r="AJ64" s="4">
        <v>0</v>
      </c>
      <c r="AK64" s="4">
        <v>16.07</v>
      </c>
      <c r="AL64" s="4">
        <v>37</v>
      </c>
      <c r="AM64" s="4">
        <v>0.18</v>
      </c>
      <c r="AN64" s="4">
        <v>0.41</v>
      </c>
      <c r="AO64" s="4">
        <v>-0.23</v>
      </c>
      <c r="AP64" s="4">
        <v>36.770000000000003</v>
      </c>
      <c r="AQ64" s="4">
        <v>0</v>
      </c>
      <c r="AR64" s="4">
        <v>0</v>
      </c>
      <c r="AS64" s="4">
        <v>30.19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3A03-9134-455A-B23A-6286661B206C}">
  <dimension ref="A1:I138"/>
  <sheetViews>
    <sheetView topLeftCell="A117" zoomScale="80" zoomScaleNormal="80" workbookViewId="0">
      <selection activeCell="C130" sqref="C130"/>
    </sheetView>
  </sheetViews>
  <sheetFormatPr defaultRowHeight="14.5" x14ac:dyDescent="0.35"/>
  <cols>
    <col min="1" max="1" width="14.6328125" bestFit="1" customWidth="1"/>
    <col min="2" max="2" width="49.453125" bestFit="1" customWidth="1"/>
    <col min="3" max="3" width="36.453125" bestFit="1" customWidth="1"/>
    <col min="4" max="4" width="30.54296875" bestFit="1" customWidth="1"/>
    <col min="5" max="5" width="27.453125" bestFit="1" customWidth="1"/>
    <col min="6" max="6" width="30.54296875" bestFit="1" customWidth="1"/>
    <col min="7" max="7" width="27.453125" bestFit="1" customWidth="1"/>
    <col min="8" max="8" width="22.6328125" bestFit="1" customWidth="1"/>
    <col min="9" max="9" width="20.36328125" bestFit="1" customWidth="1"/>
    <col min="10" max="10" width="40" bestFit="1" customWidth="1"/>
    <col min="11" max="11" width="47.453125" bestFit="1" customWidth="1"/>
    <col min="12" max="12" width="25.81640625" bestFit="1" customWidth="1"/>
    <col min="13" max="13" width="29.90625" bestFit="1" customWidth="1"/>
    <col min="14" max="14" width="15.36328125" bestFit="1" customWidth="1"/>
    <col min="15" max="15" width="10.81640625" bestFit="1" customWidth="1"/>
    <col min="16" max="16" width="15.6328125" bestFit="1" customWidth="1"/>
    <col min="17" max="17" width="24.6328125" bestFit="1" customWidth="1"/>
    <col min="18" max="18" width="33.6328125" bestFit="1" customWidth="1"/>
    <col min="19" max="19" width="18.6328125" bestFit="1" customWidth="1"/>
    <col min="20" max="20" width="26.08984375" bestFit="1" customWidth="1"/>
    <col min="21" max="21" width="11.90625" bestFit="1" customWidth="1"/>
    <col min="22" max="22" width="28.54296875" bestFit="1" customWidth="1"/>
    <col min="23" max="23" width="35.26953125" bestFit="1" customWidth="1"/>
    <col min="24" max="24" width="34.90625" bestFit="1" customWidth="1"/>
    <col min="25" max="25" width="33.54296875" bestFit="1" customWidth="1"/>
    <col min="26" max="26" width="27.1796875" bestFit="1" customWidth="1"/>
    <col min="27" max="27" width="63.1796875" bestFit="1" customWidth="1"/>
    <col min="28" max="28" width="80.08984375" bestFit="1" customWidth="1"/>
    <col min="29" max="29" width="49" bestFit="1" customWidth="1"/>
    <col min="30" max="30" width="69.90625" bestFit="1" customWidth="1"/>
    <col min="31" max="31" width="40.7265625" bestFit="1" customWidth="1"/>
    <col min="32" max="32" width="64.1796875" bestFit="1" customWidth="1"/>
    <col min="33" max="33" width="11.90625" bestFit="1" customWidth="1"/>
    <col min="34" max="34" width="45.6328125" bestFit="1" customWidth="1"/>
    <col min="35" max="35" width="17" bestFit="1" customWidth="1"/>
    <col min="36" max="36" width="58.90625" bestFit="1" customWidth="1"/>
    <col min="37" max="37" width="75.81640625" bestFit="1" customWidth="1"/>
    <col min="38" max="38" width="37.54296875" bestFit="1" customWidth="1"/>
    <col min="39" max="39" width="65.08984375" bestFit="1" customWidth="1"/>
    <col min="40" max="40" width="37.90625" bestFit="1" customWidth="1"/>
    <col min="41" max="41" width="25.90625" bestFit="1" customWidth="1"/>
    <col min="42" max="42" width="64" bestFit="1" customWidth="1"/>
    <col min="43" max="43" width="12.1796875" bestFit="1" customWidth="1"/>
    <col min="44" max="44" width="29.7265625" bestFit="1" customWidth="1"/>
    <col min="45" max="45" width="14.08984375" bestFit="1" customWidth="1"/>
    <col min="46" max="46" width="36.90625" bestFit="1" customWidth="1"/>
    <col min="47" max="47" width="18.6328125" bestFit="1" customWidth="1"/>
    <col min="48" max="48" width="12.08984375" bestFit="1" customWidth="1"/>
    <col min="49" max="49" width="54.453125" bestFit="1" customWidth="1"/>
    <col min="50" max="50" width="23.453125" bestFit="1" customWidth="1"/>
    <col min="51" max="51" width="26.7265625" bestFit="1" customWidth="1"/>
    <col min="52" max="52" width="29.6328125" bestFit="1" customWidth="1"/>
    <col min="53" max="53" width="21.81640625" bestFit="1" customWidth="1"/>
    <col min="54" max="54" width="26.81640625" bestFit="1" customWidth="1"/>
    <col min="55" max="55" width="24.54296875" bestFit="1" customWidth="1"/>
    <col min="56" max="56" width="17.90625" bestFit="1" customWidth="1"/>
    <col min="57" max="57" width="33.7265625" bestFit="1" customWidth="1"/>
    <col min="58" max="58" width="38.6328125" bestFit="1" customWidth="1"/>
    <col min="59" max="59" width="47.36328125" bestFit="1" customWidth="1"/>
    <col min="60" max="60" width="27.81640625" bestFit="1" customWidth="1"/>
    <col min="61" max="61" width="32.26953125" bestFit="1" customWidth="1"/>
    <col min="62" max="62" width="37.1796875" bestFit="1" customWidth="1"/>
    <col min="63" max="63" width="46" bestFit="1" customWidth="1"/>
    <col min="64" max="64" width="26.453125" bestFit="1" customWidth="1"/>
    <col min="65" max="65" width="19.6328125" bestFit="1" customWidth="1"/>
    <col min="66" max="66" width="27.6328125" bestFit="1" customWidth="1"/>
    <col min="67" max="67" width="33.54296875" bestFit="1" customWidth="1"/>
    <col min="68" max="68" width="38.7265625" bestFit="1" customWidth="1"/>
    <col min="69" max="69" width="28.1796875" bestFit="1" customWidth="1"/>
    <col min="70" max="70" width="31.08984375" bestFit="1" customWidth="1"/>
    <col min="71" max="71" width="31.453125" bestFit="1" customWidth="1"/>
    <col min="72" max="72" width="34.453125" bestFit="1" customWidth="1"/>
    <col min="73" max="73" width="11.7265625" bestFit="1" customWidth="1"/>
    <col min="74" max="74" width="10.453125" bestFit="1" customWidth="1"/>
    <col min="75" max="75" width="56.26953125" bestFit="1" customWidth="1"/>
    <col min="76" max="76" width="24.6328125" bestFit="1" customWidth="1"/>
    <col min="77" max="77" width="29" bestFit="1" customWidth="1"/>
    <col min="78" max="78" width="20.08984375" bestFit="1" customWidth="1"/>
    <col min="79" max="79" width="18.453125" bestFit="1" customWidth="1"/>
    <col min="80" max="80" width="16.36328125" bestFit="1" customWidth="1"/>
    <col min="81" max="81" width="12.6328125" bestFit="1" customWidth="1"/>
    <col min="82" max="82" width="17.90625" bestFit="1" customWidth="1"/>
    <col min="83" max="83" width="34.6328125" bestFit="1" customWidth="1"/>
    <col min="84" max="84" width="25.7265625" bestFit="1" customWidth="1"/>
    <col min="85" max="85" width="18.26953125" bestFit="1" customWidth="1"/>
    <col min="86" max="86" width="10.7265625" bestFit="1" customWidth="1"/>
  </cols>
  <sheetData>
    <row r="1" spans="1:8" ht="18.5" x14ac:dyDescent="0.45">
      <c r="A1" s="9" t="s">
        <v>122</v>
      </c>
      <c r="B1" t="s" vm="1">
        <v>4</v>
      </c>
      <c r="C1" s="13" t="s">
        <v>125</v>
      </c>
    </row>
    <row r="3" spans="1:8" x14ac:dyDescent="0.35">
      <c r="A3" s="9" t="s">
        <v>123</v>
      </c>
      <c r="B3" s="9" t="s">
        <v>120</v>
      </c>
    </row>
    <row r="4" spans="1:8" x14ac:dyDescent="0.35">
      <c r="A4" s="9" t="s">
        <v>112</v>
      </c>
      <c r="B4" t="s">
        <v>16</v>
      </c>
      <c r="C4" t="s">
        <v>15</v>
      </c>
      <c r="D4" t="s">
        <v>14</v>
      </c>
      <c r="E4" t="s">
        <v>13</v>
      </c>
      <c r="F4" t="s">
        <v>12</v>
      </c>
      <c r="G4" t="s">
        <v>11</v>
      </c>
      <c r="H4" t="s">
        <v>10</v>
      </c>
    </row>
    <row r="5" spans="1:8" x14ac:dyDescent="0.35">
      <c r="A5" s="10" t="s">
        <v>114</v>
      </c>
      <c r="B5" s="11">
        <v>340.84</v>
      </c>
      <c r="C5" s="11">
        <v>325.22000000000003</v>
      </c>
      <c r="D5" s="11">
        <v>24.54</v>
      </c>
      <c r="E5" s="11">
        <v>848.46</v>
      </c>
      <c r="F5" s="11">
        <v>49.04</v>
      </c>
      <c r="G5" s="11">
        <v>871.13</v>
      </c>
      <c r="H5" s="11">
        <v>217.79</v>
      </c>
    </row>
    <row r="6" spans="1:8" x14ac:dyDescent="0.35">
      <c r="A6" s="10" t="s">
        <v>115</v>
      </c>
      <c r="B6" s="11">
        <v>333.78</v>
      </c>
      <c r="C6" s="11">
        <v>318.36</v>
      </c>
      <c r="D6" s="11">
        <v>22.15</v>
      </c>
      <c r="E6" s="11">
        <v>832.26</v>
      </c>
      <c r="F6" s="11">
        <v>47.9</v>
      </c>
      <c r="G6" s="11">
        <v>881.9</v>
      </c>
      <c r="H6" s="11">
        <v>185.03</v>
      </c>
    </row>
    <row r="7" spans="1:8" x14ac:dyDescent="0.35">
      <c r="A7" s="10" t="s">
        <v>116</v>
      </c>
      <c r="B7" s="11">
        <v>329.02</v>
      </c>
      <c r="C7" s="11">
        <v>313.64999999999998</v>
      </c>
      <c r="D7" s="11">
        <v>21.95</v>
      </c>
      <c r="E7" s="11">
        <v>841.1</v>
      </c>
      <c r="F7" s="11">
        <v>48.69</v>
      </c>
      <c r="G7" s="11">
        <v>878.29</v>
      </c>
      <c r="H7" s="11">
        <v>188.55</v>
      </c>
    </row>
    <row r="8" spans="1:8" x14ac:dyDescent="0.35">
      <c r="A8" s="10" t="s">
        <v>117</v>
      </c>
      <c r="B8" s="11">
        <v>304.93</v>
      </c>
      <c r="C8" s="11">
        <v>292.24</v>
      </c>
      <c r="D8" s="11">
        <v>19.68</v>
      </c>
      <c r="E8" s="11">
        <v>767.74</v>
      </c>
      <c r="F8" s="11">
        <v>44.72</v>
      </c>
      <c r="G8" s="11">
        <v>807.13</v>
      </c>
      <c r="H8" s="11">
        <v>173.87</v>
      </c>
    </row>
    <row r="9" spans="1:8" x14ac:dyDescent="0.35">
      <c r="A9" s="10" t="s">
        <v>118</v>
      </c>
      <c r="B9" s="11">
        <v>291.70999999999998</v>
      </c>
      <c r="C9" s="11">
        <v>279.08</v>
      </c>
      <c r="D9" s="11">
        <v>19.899999999999999</v>
      </c>
      <c r="E9" s="11">
        <v>778.65</v>
      </c>
      <c r="F9" s="11">
        <v>44.66</v>
      </c>
      <c r="G9" s="11">
        <v>812.32</v>
      </c>
      <c r="H9" s="11">
        <v>178.01</v>
      </c>
    </row>
    <row r="10" spans="1:8" x14ac:dyDescent="0.35">
      <c r="A10" s="10" t="s">
        <v>119</v>
      </c>
      <c r="B10" s="11">
        <v>290.73</v>
      </c>
      <c r="C10" s="11">
        <v>278.14999999999998</v>
      </c>
      <c r="D10" s="11">
        <v>19.850000000000001</v>
      </c>
      <c r="E10" s="11">
        <v>767.17</v>
      </c>
      <c r="F10" s="11">
        <v>44.6</v>
      </c>
      <c r="G10" s="11">
        <v>853.48</v>
      </c>
      <c r="H10" s="11">
        <v>164.97</v>
      </c>
    </row>
    <row r="11" spans="1:8" x14ac:dyDescent="0.35">
      <c r="A11" s="10" t="s">
        <v>113</v>
      </c>
      <c r="B11" s="11">
        <v>1891.01</v>
      </c>
      <c r="C11" s="11">
        <v>1806.7</v>
      </c>
      <c r="D11" s="11">
        <v>128.07</v>
      </c>
      <c r="E11" s="11">
        <v>4835.38</v>
      </c>
      <c r="F11" s="11">
        <v>279.61</v>
      </c>
      <c r="G11" s="11">
        <v>5104.25</v>
      </c>
      <c r="H11" s="11">
        <v>1108.22</v>
      </c>
    </row>
    <row r="12" spans="1:8" s="15" customFormat="1" x14ac:dyDescent="0.35"/>
    <row r="13" spans="1:8" ht="18.5" x14ac:dyDescent="0.45">
      <c r="A13" s="9" t="s">
        <v>122</v>
      </c>
      <c r="B13" t="s" vm="1">
        <v>4</v>
      </c>
      <c r="C13" s="13" t="s">
        <v>126</v>
      </c>
    </row>
    <row r="15" spans="1:8" x14ac:dyDescent="0.35">
      <c r="B15" s="9" t="s">
        <v>120</v>
      </c>
    </row>
    <row r="16" spans="1:8" x14ac:dyDescent="0.35">
      <c r="B16" t="s">
        <v>14</v>
      </c>
      <c r="C16" t="s">
        <v>13</v>
      </c>
      <c r="D16" t="s">
        <v>12</v>
      </c>
      <c r="E16" t="s">
        <v>11</v>
      </c>
    </row>
    <row r="17" spans="1:9" x14ac:dyDescent="0.35">
      <c r="A17" t="s">
        <v>124</v>
      </c>
      <c r="B17" s="11">
        <v>2.0328571428571429</v>
      </c>
      <c r="C17" s="11">
        <v>76.752063492063499</v>
      </c>
      <c r="D17" s="11">
        <v>4.4382539682539681</v>
      </c>
      <c r="E17" s="11">
        <v>81.019841269841265</v>
      </c>
    </row>
    <row r="19" spans="1:9" ht="18.5" x14ac:dyDescent="0.45">
      <c r="A19" s="9" t="s">
        <v>122</v>
      </c>
      <c r="B19" t="s" vm="2">
        <v>121</v>
      </c>
      <c r="C19" s="13" t="s">
        <v>127</v>
      </c>
      <c r="D19" s="16" t="s">
        <v>131</v>
      </c>
    </row>
    <row r="21" spans="1:9" x14ac:dyDescent="0.35">
      <c r="A21" s="9" t="s">
        <v>123</v>
      </c>
      <c r="B21" s="9" t="s">
        <v>120</v>
      </c>
    </row>
    <row r="22" spans="1:9" x14ac:dyDescent="0.35">
      <c r="A22" s="9" t="s">
        <v>112</v>
      </c>
      <c r="B22" t="s">
        <v>65</v>
      </c>
      <c r="C22" t="s">
        <v>64</v>
      </c>
      <c r="D22" t="s">
        <v>63</v>
      </c>
      <c r="E22" t="s">
        <v>62</v>
      </c>
      <c r="F22" t="s">
        <v>61</v>
      </c>
      <c r="G22" t="s">
        <v>60</v>
      </c>
      <c r="H22" t="s">
        <v>56</v>
      </c>
      <c r="I22" t="s">
        <v>55</v>
      </c>
    </row>
    <row r="23" spans="1:9" x14ac:dyDescent="0.35">
      <c r="A23" s="10" t="s">
        <v>114</v>
      </c>
      <c r="B23" s="11"/>
      <c r="C23" s="11"/>
      <c r="D23" s="11"/>
      <c r="E23" s="11"/>
      <c r="F23" s="11"/>
      <c r="G23" s="11"/>
      <c r="H23" s="11"/>
      <c r="I23" s="11"/>
    </row>
    <row r="24" spans="1:9" x14ac:dyDescent="0.35">
      <c r="A24" s="14" t="s">
        <v>18</v>
      </c>
      <c r="B24" s="11">
        <v>4423.42</v>
      </c>
      <c r="C24" s="11">
        <v>141.84</v>
      </c>
      <c r="D24" s="11">
        <v>374.1</v>
      </c>
      <c r="E24" s="11">
        <v>971.62</v>
      </c>
      <c r="F24" s="11">
        <v>94.04</v>
      </c>
      <c r="G24" s="11">
        <v>-174.97</v>
      </c>
      <c r="H24" s="11">
        <v>14.93</v>
      </c>
      <c r="I24" s="11">
        <v>143.4</v>
      </c>
    </row>
    <row r="25" spans="1:9" x14ac:dyDescent="0.35">
      <c r="A25" s="14" t="s">
        <v>21</v>
      </c>
      <c r="B25" s="11">
        <v>661.9</v>
      </c>
      <c r="C25" s="11">
        <v>35.549999999999997</v>
      </c>
      <c r="D25" s="11">
        <v>70.86</v>
      </c>
      <c r="E25" s="11">
        <v>198.56</v>
      </c>
      <c r="F25" s="11">
        <v>3.02</v>
      </c>
      <c r="G25" s="11">
        <v>-21.16</v>
      </c>
      <c r="H25" s="11">
        <v>0</v>
      </c>
      <c r="I25" s="11">
        <v>27.19</v>
      </c>
    </row>
    <row r="26" spans="1:9" x14ac:dyDescent="0.35">
      <c r="A26" s="14" t="s">
        <v>24</v>
      </c>
      <c r="B26" s="11">
        <v>3349.58</v>
      </c>
      <c r="C26" s="11">
        <v>98.49</v>
      </c>
      <c r="D26" s="11">
        <v>356.5</v>
      </c>
      <c r="E26" s="11">
        <v>1356.39</v>
      </c>
      <c r="F26" s="11">
        <v>29.48</v>
      </c>
      <c r="G26" s="11">
        <v>-113.72</v>
      </c>
      <c r="H26" s="11">
        <v>13.53</v>
      </c>
      <c r="I26" s="11">
        <v>164.53</v>
      </c>
    </row>
    <row r="27" spans="1:9" x14ac:dyDescent="0.35">
      <c r="A27" s="14" t="s">
        <v>25</v>
      </c>
      <c r="B27" s="11">
        <v>226.63</v>
      </c>
      <c r="C27" s="11">
        <v>51.96</v>
      </c>
      <c r="D27" s="11">
        <v>79.819999999999993</v>
      </c>
      <c r="E27" s="11">
        <v>154.15</v>
      </c>
      <c r="F27" s="11">
        <v>0.02</v>
      </c>
      <c r="G27" s="11">
        <v>-2.37</v>
      </c>
      <c r="H27" s="11">
        <v>5.74</v>
      </c>
      <c r="I27" s="11">
        <v>45.16</v>
      </c>
    </row>
    <row r="28" spans="1:9" x14ac:dyDescent="0.35">
      <c r="A28" s="10" t="s">
        <v>115</v>
      </c>
      <c r="B28" s="11"/>
      <c r="C28" s="11"/>
      <c r="D28" s="11"/>
      <c r="E28" s="11"/>
      <c r="F28" s="11"/>
      <c r="G28" s="11"/>
      <c r="H28" s="11"/>
      <c r="I28" s="11"/>
    </row>
    <row r="29" spans="1:9" x14ac:dyDescent="0.35">
      <c r="A29" s="14" t="s">
        <v>18</v>
      </c>
      <c r="B29" s="11">
        <v>4405.0600000000004</v>
      </c>
      <c r="C29" s="11">
        <v>166.02</v>
      </c>
      <c r="D29" s="11">
        <v>413.93</v>
      </c>
      <c r="E29" s="11">
        <v>979.87</v>
      </c>
      <c r="F29" s="11">
        <v>94.14</v>
      </c>
      <c r="G29" s="11">
        <v>-176.7</v>
      </c>
      <c r="H29" s="11">
        <v>14.61</v>
      </c>
      <c r="I29" s="11">
        <v>166.33</v>
      </c>
    </row>
    <row r="30" spans="1:9" x14ac:dyDescent="0.35">
      <c r="A30" s="14" t="s">
        <v>21</v>
      </c>
      <c r="B30" s="11">
        <v>662.09</v>
      </c>
      <c r="C30" s="11">
        <v>35.880000000000003</v>
      </c>
      <c r="D30" s="11">
        <v>76.650000000000006</v>
      </c>
      <c r="E30" s="11">
        <v>193.21</v>
      </c>
      <c r="F30" s="11">
        <v>3.02</v>
      </c>
      <c r="G30" s="11">
        <v>-21.65</v>
      </c>
      <c r="H30" s="11">
        <v>0</v>
      </c>
      <c r="I30" s="11">
        <v>27.29</v>
      </c>
    </row>
    <row r="31" spans="1:9" x14ac:dyDescent="0.35">
      <c r="A31" s="14" t="s">
        <v>24</v>
      </c>
      <c r="B31" s="11">
        <v>3367.45</v>
      </c>
      <c r="C31" s="11">
        <v>105.51</v>
      </c>
      <c r="D31" s="11">
        <v>339.12</v>
      </c>
      <c r="E31" s="11">
        <v>1348.19</v>
      </c>
      <c r="F31" s="11">
        <v>29.47</v>
      </c>
      <c r="G31" s="11">
        <v>-114.83</v>
      </c>
      <c r="H31" s="11">
        <v>11.99</v>
      </c>
      <c r="I31" s="11">
        <v>194.06</v>
      </c>
    </row>
    <row r="32" spans="1:9" x14ac:dyDescent="0.35">
      <c r="A32" s="14" t="s">
        <v>25</v>
      </c>
      <c r="B32" s="11">
        <v>228.4</v>
      </c>
      <c r="C32" s="11">
        <v>48.12</v>
      </c>
      <c r="D32" s="11">
        <v>67.8</v>
      </c>
      <c r="E32" s="11">
        <v>175.71</v>
      </c>
      <c r="F32" s="11">
        <v>0.02</v>
      </c>
      <c r="G32" s="11">
        <v>-2.42</v>
      </c>
      <c r="H32" s="11">
        <v>5.5</v>
      </c>
      <c r="I32" s="11">
        <v>41.02</v>
      </c>
    </row>
    <row r="33" spans="1:9" x14ac:dyDescent="0.35">
      <c r="A33" s="10" t="s">
        <v>116</v>
      </c>
      <c r="B33" s="11"/>
      <c r="C33" s="11"/>
      <c r="D33" s="11"/>
      <c r="E33" s="11"/>
      <c r="F33" s="11"/>
      <c r="G33" s="11"/>
      <c r="H33" s="11"/>
      <c r="I33" s="11"/>
    </row>
    <row r="34" spans="1:9" x14ac:dyDescent="0.35">
      <c r="A34" s="14" t="s">
        <v>18</v>
      </c>
      <c r="B34" s="11">
        <v>4462.57</v>
      </c>
      <c r="C34" s="11">
        <v>195.82</v>
      </c>
      <c r="D34" s="11">
        <v>426.64</v>
      </c>
      <c r="E34" s="11">
        <v>969.94</v>
      </c>
      <c r="F34" s="11">
        <v>94.38</v>
      </c>
      <c r="G34" s="11">
        <v>-175.2</v>
      </c>
      <c r="H34" s="11">
        <v>17.670000000000002</v>
      </c>
      <c r="I34" s="11">
        <v>131.75</v>
      </c>
    </row>
    <row r="35" spans="1:9" x14ac:dyDescent="0.35">
      <c r="A35" s="14" t="s">
        <v>21</v>
      </c>
      <c r="B35" s="11">
        <v>663.84</v>
      </c>
      <c r="C35" s="11">
        <v>33.69</v>
      </c>
      <c r="D35" s="11">
        <v>77.930000000000007</v>
      </c>
      <c r="E35" s="11">
        <v>188.09</v>
      </c>
      <c r="F35" s="11">
        <v>3.02</v>
      </c>
      <c r="G35" s="11">
        <v>-22.08</v>
      </c>
      <c r="H35" s="11">
        <v>0</v>
      </c>
      <c r="I35" s="11">
        <v>28.77</v>
      </c>
    </row>
    <row r="36" spans="1:9" x14ac:dyDescent="0.35">
      <c r="A36" s="14" t="s">
        <v>24</v>
      </c>
      <c r="B36" s="11">
        <v>3411.11</v>
      </c>
      <c r="C36" s="11">
        <v>118.21</v>
      </c>
      <c r="D36" s="11">
        <v>333.69</v>
      </c>
      <c r="E36" s="11">
        <v>1354.02</v>
      </c>
      <c r="F36" s="11">
        <v>29.61</v>
      </c>
      <c r="G36" s="11">
        <v>-115.27</v>
      </c>
      <c r="H36" s="11">
        <v>15.12</v>
      </c>
      <c r="I36" s="11">
        <v>191.07</v>
      </c>
    </row>
    <row r="37" spans="1:9" x14ac:dyDescent="0.35">
      <c r="A37" s="14" t="s">
        <v>25</v>
      </c>
      <c r="B37" s="11">
        <v>231.23</v>
      </c>
      <c r="C37" s="11">
        <v>50.28</v>
      </c>
      <c r="D37" s="11">
        <v>74.25</v>
      </c>
      <c r="E37" s="11">
        <v>177.16</v>
      </c>
      <c r="F37" s="11">
        <v>0.02</v>
      </c>
      <c r="G37" s="11">
        <v>-2.38</v>
      </c>
      <c r="H37" s="11">
        <v>9.08</v>
      </c>
      <c r="I37" s="11">
        <v>40.9</v>
      </c>
    </row>
    <row r="38" spans="1:9" x14ac:dyDescent="0.35">
      <c r="A38" s="10" t="s">
        <v>117</v>
      </c>
      <c r="B38" s="11"/>
      <c r="C38" s="11"/>
      <c r="D38" s="11"/>
      <c r="E38" s="11"/>
      <c r="F38" s="11"/>
      <c r="G38" s="11"/>
      <c r="H38" s="11"/>
      <c r="I38" s="11"/>
    </row>
    <row r="39" spans="1:9" x14ac:dyDescent="0.35">
      <c r="A39" s="14" t="s">
        <v>18</v>
      </c>
      <c r="B39" s="11">
        <v>4521.79</v>
      </c>
      <c r="C39" s="11">
        <v>195.38</v>
      </c>
      <c r="D39" s="11">
        <v>346.59</v>
      </c>
      <c r="E39" s="11">
        <v>887.61</v>
      </c>
      <c r="F39" s="11">
        <v>94.81</v>
      </c>
      <c r="G39" s="11">
        <v>-180.81</v>
      </c>
      <c r="H39" s="11">
        <v>22.24</v>
      </c>
      <c r="I39" s="11">
        <v>232.38</v>
      </c>
    </row>
    <row r="40" spans="1:9" x14ac:dyDescent="0.35">
      <c r="A40" s="14" t="s">
        <v>21</v>
      </c>
      <c r="B40" s="11">
        <v>664.17</v>
      </c>
      <c r="C40" s="11">
        <v>38.479999999999997</v>
      </c>
      <c r="D40" s="11">
        <v>58.88</v>
      </c>
      <c r="E40" s="11">
        <v>192.68</v>
      </c>
      <c r="F40" s="11">
        <v>3.01</v>
      </c>
      <c r="G40" s="11">
        <v>-22.29</v>
      </c>
      <c r="H40" s="11">
        <v>0</v>
      </c>
      <c r="I40" s="11">
        <v>36.700000000000003</v>
      </c>
    </row>
    <row r="41" spans="1:9" x14ac:dyDescent="0.35">
      <c r="A41" s="14" t="s">
        <v>24</v>
      </c>
      <c r="B41" s="11">
        <v>3449.18</v>
      </c>
      <c r="C41" s="11">
        <v>117.42</v>
      </c>
      <c r="D41" s="11">
        <v>299.3</v>
      </c>
      <c r="E41" s="11">
        <v>1316.02</v>
      </c>
      <c r="F41" s="11">
        <v>29.81</v>
      </c>
      <c r="G41" s="11">
        <v>-113.82</v>
      </c>
      <c r="H41" s="11">
        <v>25.61</v>
      </c>
      <c r="I41" s="11">
        <v>220.31</v>
      </c>
    </row>
    <row r="42" spans="1:9" x14ac:dyDescent="0.35">
      <c r="A42" s="14" t="s">
        <v>25</v>
      </c>
      <c r="B42" s="11">
        <v>229.82</v>
      </c>
      <c r="C42" s="11">
        <v>49.31</v>
      </c>
      <c r="D42" s="11">
        <v>67.430000000000007</v>
      </c>
      <c r="E42" s="11">
        <v>187.31</v>
      </c>
      <c r="F42" s="11">
        <v>0.02</v>
      </c>
      <c r="G42" s="11">
        <v>-2.39</v>
      </c>
      <c r="H42" s="11">
        <v>17.29</v>
      </c>
      <c r="I42" s="11">
        <v>39.24</v>
      </c>
    </row>
    <row r="43" spans="1:9" x14ac:dyDescent="0.35">
      <c r="A43" s="10" t="s">
        <v>118</v>
      </c>
      <c r="B43" s="11"/>
      <c r="C43" s="11"/>
      <c r="D43" s="11"/>
      <c r="E43" s="11"/>
      <c r="F43" s="11"/>
      <c r="G43" s="11"/>
      <c r="H43" s="11"/>
      <c r="I43" s="11"/>
    </row>
    <row r="44" spans="1:9" x14ac:dyDescent="0.35">
      <c r="A44" s="14" t="s">
        <v>18</v>
      </c>
      <c r="B44" s="11">
        <v>4616.7700000000004</v>
      </c>
      <c r="C44" s="11">
        <v>179.43</v>
      </c>
      <c r="D44" s="11">
        <v>315.98</v>
      </c>
      <c r="E44" s="11">
        <v>930.8</v>
      </c>
      <c r="F44" s="11">
        <v>94.68</v>
      </c>
      <c r="G44" s="11">
        <v>-181.62</v>
      </c>
      <c r="H44" s="11">
        <v>34.159999999999997</v>
      </c>
      <c r="I44" s="11">
        <v>211.72</v>
      </c>
    </row>
    <row r="45" spans="1:9" x14ac:dyDescent="0.35">
      <c r="A45" s="14" t="s">
        <v>21</v>
      </c>
      <c r="B45" s="11">
        <v>669</v>
      </c>
      <c r="C45" s="11">
        <v>37.21</v>
      </c>
      <c r="D45" s="11">
        <v>68.34</v>
      </c>
      <c r="E45" s="11">
        <v>187.6</v>
      </c>
      <c r="F45" s="11">
        <v>3.01</v>
      </c>
      <c r="G45" s="11">
        <v>-22.67</v>
      </c>
      <c r="H45" s="11">
        <v>0</v>
      </c>
      <c r="I45" s="11">
        <v>38.17</v>
      </c>
    </row>
    <row r="46" spans="1:9" x14ac:dyDescent="0.35">
      <c r="A46" s="14" t="s">
        <v>24</v>
      </c>
      <c r="B46" s="11">
        <v>3497.39</v>
      </c>
      <c r="C46" s="11">
        <v>122.89</v>
      </c>
      <c r="D46" s="11">
        <v>335.8</v>
      </c>
      <c r="E46" s="11">
        <v>1305.2</v>
      </c>
      <c r="F46" s="11">
        <v>29.79</v>
      </c>
      <c r="G46" s="11">
        <v>-115.95</v>
      </c>
      <c r="H46" s="11">
        <v>45.03</v>
      </c>
      <c r="I46" s="11">
        <v>219.26</v>
      </c>
    </row>
    <row r="47" spans="1:9" x14ac:dyDescent="0.35">
      <c r="A47" s="14" t="s">
        <v>25</v>
      </c>
      <c r="B47" s="11">
        <v>236.03</v>
      </c>
      <c r="C47" s="11">
        <v>64.69</v>
      </c>
      <c r="D47" s="11">
        <v>74.78</v>
      </c>
      <c r="E47" s="11">
        <v>192.67</v>
      </c>
      <c r="F47" s="11">
        <v>0.02</v>
      </c>
      <c r="G47" s="11">
        <v>-2.42</v>
      </c>
      <c r="H47" s="11">
        <v>32.32</v>
      </c>
      <c r="I47" s="11">
        <v>35.130000000000003</v>
      </c>
    </row>
    <row r="48" spans="1:9" x14ac:dyDescent="0.35">
      <c r="A48" s="10" t="s">
        <v>119</v>
      </c>
      <c r="B48" s="11"/>
      <c r="C48" s="11"/>
      <c r="D48" s="11"/>
      <c r="E48" s="11"/>
      <c r="F48" s="11"/>
      <c r="G48" s="11"/>
      <c r="H48" s="11"/>
      <c r="I48" s="11"/>
    </row>
    <row r="49" spans="1:9" x14ac:dyDescent="0.35">
      <c r="A49" s="14" t="s">
        <v>18</v>
      </c>
      <c r="B49" s="11">
        <v>4678.79</v>
      </c>
      <c r="C49" s="11">
        <v>216.74</v>
      </c>
      <c r="D49" s="11">
        <v>408.54</v>
      </c>
      <c r="E49" s="11">
        <v>844.56</v>
      </c>
      <c r="F49" s="11">
        <v>94.54</v>
      </c>
      <c r="G49" s="11">
        <v>-180.5</v>
      </c>
      <c r="H49" s="11">
        <v>31.97</v>
      </c>
      <c r="I49" s="11">
        <v>287.57</v>
      </c>
    </row>
    <row r="50" spans="1:9" x14ac:dyDescent="0.35">
      <c r="A50" s="14" t="s">
        <v>21</v>
      </c>
      <c r="B50" s="11">
        <v>673.14</v>
      </c>
      <c r="C50" s="11">
        <v>28.5</v>
      </c>
      <c r="D50" s="11">
        <v>85.03</v>
      </c>
      <c r="E50" s="11">
        <v>161.04</v>
      </c>
      <c r="F50" s="11">
        <v>3</v>
      </c>
      <c r="G50" s="11">
        <v>-22.28</v>
      </c>
      <c r="H50" s="11">
        <v>0.01</v>
      </c>
      <c r="I50" s="11">
        <v>52.97</v>
      </c>
    </row>
    <row r="51" spans="1:9" x14ac:dyDescent="0.35">
      <c r="A51" s="14" t="s">
        <v>24</v>
      </c>
      <c r="B51" s="11">
        <v>3585.82</v>
      </c>
      <c r="C51" s="11">
        <v>129.86000000000001</v>
      </c>
      <c r="D51" s="11">
        <v>296.20999999999998</v>
      </c>
      <c r="E51" s="11">
        <v>1207.3800000000001</v>
      </c>
      <c r="F51" s="11">
        <v>30.17</v>
      </c>
      <c r="G51" s="11">
        <v>-115.68</v>
      </c>
      <c r="H51" s="11">
        <v>39.049999999999997</v>
      </c>
      <c r="I51" s="11">
        <v>336.52</v>
      </c>
    </row>
    <row r="52" spans="1:9" x14ac:dyDescent="0.35">
      <c r="A52" s="14" t="s">
        <v>25</v>
      </c>
      <c r="B52" s="11">
        <v>250.22</v>
      </c>
      <c r="C52" s="11">
        <v>44.02</v>
      </c>
      <c r="D52" s="11">
        <v>54.96</v>
      </c>
      <c r="E52" s="11">
        <v>190.27</v>
      </c>
      <c r="F52" s="11">
        <v>0.02</v>
      </c>
      <c r="G52" s="11">
        <v>-2.4300000000000002</v>
      </c>
      <c r="H52" s="11">
        <v>27.46</v>
      </c>
      <c r="I52" s="11">
        <v>40.54</v>
      </c>
    </row>
    <row r="53" spans="1:9" x14ac:dyDescent="0.35">
      <c r="A53" s="10" t="s">
        <v>113</v>
      </c>
      <c r="B53" s="11">
        <v>53165.4</v>
      </c>
      <c r="C53" s="11">
        <v>2305.3000000000002</v>
      </c>
      <c r="D53" s="11">
        <v>5103.13</v>
      </c>
      <c r="E53" s="11">
        <v>15670.05</v>
      </c>
      <c r="F53" s="11">
        <v>763.12</v>
      </c>
      <c r="G53" s="11">
        <v>-1905.61</v>
      </c>
      <c r="H53" s="11">
        <v>383.31</v>
      </c>
      <c r="I53" s="11">
        <v>2951.98</v>
      </c>
    </row>
    <row r="55" spans="1:9" ht="18.5" x14ac:dyDescent="0.45">
      <c r="A55" s="9" t="s">
        <v>122</v>
      </c>
      <c r="B55" t="s" vm="1">
        <v>4</v>
      </c>
      <c r="C55" s="13" t="s">
        <v>128</v>
      </c>
    </row>
    <row r="57" spans="1:9" x14ac:dyDescent="0.35">
      <c r="B57" s="9" t="s">
        <v>120</v>
      </c>
    </row>
    <row r="58" spans="1:9" x14ac:dyDescent="0.35">
      <c r="B58" t="s">
        <v>16</v>
      </c>
      <c r="C58" t="s">
        <v>13</v>
      </c>
    </row>
    <row r="59" spans="1:9" x14ac:dyDescent="0.35">
      <c r="A59" t="s">
        <v>124</v>
      </c>
      <c r="B59" s="11">
        <v>30.016031746031747</v>
      </c>
      <c r="C59" s="11">
        <v>76.752063492063499</v>
      </c>
    </row>
    <row r="61" spans="1:9" s="15" customFormat="1" x14ac:dyDescent="0.35"/>
    <row r="62" spans="1:9" x14ac:dyDescent="0.35">
      <c r="A62" t="s">
        <v>129</v>
      </c>
    </row>
    <row r="63" spans="1:9" x14ac:dyDescent="0.35">
      <c r="A63" s="9" t="s">
        <v>122</v>
      </c>
      <c r="B63" t="s" vm="2">
        <v>121</v>
      </c>
    </row>
    <row r="65" spans="1:4" ht="18.5" x14ac:dyDescent="0.45">
      <c r="A65" s="9" t="s">
        <v>112</v>
      </c>
      <c r="B65" t="s">
        <v>123</v>
      </c>
      <c r="C65" s="13" t="s">
        <v>130</v>
      </c>
    </row>
    <row r="66" spans="1:4" x14ac:dyDescent="0.35">
      <c r="A66" s="10" t="s">
        <v>65</v>
      </c>
      <c r="B66" s="11">
        <v>53165.4</v>
      </c>
      <c r="C66" s="17">
        <f>SUM(B66:B73)</f>
        <v>78436.679999999993</v>
      </c>
    </row>
    <row r="67" spans="1:4" x14ac:dyDescent="0.35">
      <c r="A67" s="10" t="s">
        <v>64</v>
      </c>
      <c r="B67" s="11">
        <v>2305.3000000000002</v>
      </c>
    </row>
    <row r="68" spans="1:4" x14ac:dyDescent="0.35">
      <c r="A68" s="10" t="s">
        <v>63</v>
      </c>
      <c r="B68" s="11">
        <v>5103.13</v>
      </c>
    </row>
    <row r="69" spans="1:4" x14ac:dyDescent="0.35">
      <c r="A69" s="10" t="s">
        <v>62</v>
      </c>
      <c r="B69" s="11">
        <v>15670.05</v>
      </c>
    </row>
    <row r="70" spans="1:4" x14ac:dyDescent="0.35">
      <c r="A70" s="10" t="s">
        <v>61</v>
      </c>
      <c r="B70" s="11">
        <v>763.12</v>
      </c>
    </row>
    <row r="71" spans="1:4" x14ac:dyDescent="0.35">
      <c r="A71" s="10" t="s">
        <v>60</v>
      </c>
      <c r="B71" s="11">
        <v>-1905.61</v>
      </c>
    </row>
    <row r="72" spans="1:4" x14ac:dyDescent="0.35">
      <c r="A72" s="10" t="s">
        <v>56</v>
      </c>
      <c r="B72" s="11">
        <v>383.31</v>
      </c>
    </row>
    <row r="73" spans="1:4" x14ac:dyDescent="0.35">
      <c r="A73" s="10" t="s">
        <v>55</v>
      </c>
      <c r="B73" s="11">
        <v>2951.98</v>
      </c>
    </row>
    <row r="74" spans="1:4" x14ac:dyDescent="0.35">
      <c r="A74" s="10" t="s">
        <v>113</v>
      </c>
      <c r="B74" s="11">
        <v>78436.679999999993</v>
      </c>
    </row>
    <row r="76" spans="1:4" x14ac:dyDescent="0.35">
      <c r="A76" s="9" t="s">
        <v>122</v>
      </c>
      <c r="B76" t="s" vm="2">
        <v>121</v>
      </c>
    </row>
    <row r="78" spans="1:4" ht="18.5" x14ac:dyDescent="0.45">
      <c r="A78" s="9" t="s">
        <v>112</v>
      </c>
      <c r="B78" t="s">
        <v>123</v>
      </c>
      <c r="C78" s="13" t="s">
        <v>132</v>
      </c>
    </row>
    <row r="79" spans="1:4" ht="15.5" x14ac:dyDescent="0.35">
      <c r="A79" s="10" t="s">
        <v>65</v>
      </c>
      <c r="B79" s="11">
        <v>53165.4</v>
      </c>
      <c r="C79" s="17">
        <f>SUM(GETPIVOTDATA("[Measures].[Sum of Nilai]",$A$78,"[Append1].[Akun]","[Append1].[Akun].&amp;[001.Kredit / Pembiayaan Yang Diberikan]"))</f>
        <v>53165.4</v>
      </c>
      <c r="D79" s="12" t="s">
        <v>143</v>
      </c>
    </row>
    <row r="80" spans="1:4" x14ac:dyDescent="0.35">
      <c r="A80" s="10" t="s">
        <v>113</v>
      </c>
      <c r="B80" s="11">
        <v>53165.4</v>
      </c>
    </row>
    <row r="82" spans="1:4" x14ac:dyDescent="0.35">
      <c r="A82" s="9" t="s">
        <v>122</v>
      </c>
      <c r="B82" t="s" vm="2">
        <v>121</v>
      </c>
    </row>
    <row r="84" spans="1:4" ht="18.5" x14ac:dyDescent="0.45">
      <c r="A84" s="9" t="s">
        <v>112</v>
      </c>
      <c r="B84" t="s">
        <v>123</v>
      </c>
      <c r="C84" s="13" t="s">
        <v>133</v>
      </c>
    </row>
    <row r="85" spans="1:4" ht="15.5" x14ac:dyDescent="0.35">
      <c r="A85" s="10" t="s">
        <v>46</v>
      </c>
      <c r="B85" s="11">
        <v>61060.28</v>
      </c>
      <c r="C85" s="17">
        <f>SUM(GETPIVOTDATA("[Measures].[Sum of Nilai]",$A$84,"[Append1].[Akun]","[Append1].[Akun].&amp;[009.Dana Pihak Ketiga]"))</f>
        <v>61060.28</v>
      </c>
      <c r="D85" s="12" t="s">
        <v>144</v>
      </c>
    </row>
    <row r="86" spans="1:4" x14ac:dyDescent="0.35">
      <c r="A86" s="10" t="s">
        <v>113</v>
      </c>
      <c r="B86" s="11">
        <v>61060.28</v>
      </c>
    </row>
    <row r="88" spans="1:4" x14ac:dyDescent="0.35">
      <c r="A88" s="9" t="s">
        <v>122</v>
      </c>
      <c r="B88" t="s" vm="1">
        <v>4</v>
      </c>
    </row>
    <row r="90" spans="1:4" ht="18.5" x14ac:dyDescent="0.45">
      <c r="A90" s="9" t="s">
        <v>112</v>
      </c>
      <c r="B90" t="s">
        <v>124</v>
      </c>
      <c r="C90" s="13" t="s">
        <v>135</v>
      </c>
    </row>
    <row r="91" spans="1:4" ht="15.5" x14ac:dyDescent="0.35">
      <c r="A91" s="10" t="s">
        <v>16</v>
      </c>
      <c r="B91" s="11">
        <v>30.016031746031747</v>
      </c>
      <c r="C91" s="19">
        <f>SUM(GETPIVOTDATA("[Measures].[Average of Nilai]",$A$90,"[Append1].[Akun]","[Append1].[Akun].&amp;[001.Rasio Pemenuhan Kecukupan Modal Minimum (%)]")/100)</f>
        <v>0.30016031746031746</v>
      </c>
      <c r="D91" s="12" t="s">
        <v>142</v>
      </c>
    </row>
    <row r="92" spans="1:4" x14ac:dyDescent="0.35">
      <c r="A92" s="10" t="s">
        <v>113</v>
      </c>
      <c r="B92" s="11">
        <v>30.016031746031747</v>
      </c>
    </row>
    <row r="94" spans="1:4" x14ac:dyDescent="0.35">
      <c r="A94" s="9" t="s">
        <v>122</v>
      </c>
      <c r="B94" t="s" vm="1">
        <v>4</v>
      </c>
    </row>
    <row r="96" spans="1:4" ht="18.5" x14ac:dyDescent="0.45">
      <c r="A96" s="9" t="s">
        <v>112</v>
      </c>
      <c r="B96" t="s">
        <v>124</v>
      </c>
      <c r="C96" s="13" t="s">
        <v>134</v>
      </c>
    </row>
    <row r="97" spans="1:4" x14ac:dyDescent="0.35">
      <c r="A97" s="10" t="s">
        <v>14</v>
      </c>
      <c r="B97" s="11">
        <v>2.0328571428571429</v>
      </c>
      <c r="C97" s="18">
        <f>ROUND(GETPIVOTDATA("[Measures].[Average of Nilai]",$A$96,"[Append1].[Akun]","[Append1].[Akun].&amp;[003.Return On Assets Ratio (%)]"),3)/100</f>
        <v>2.0330000000000001E-2</v>
      </c>
    </row>
    <row r="98" spans="1:4" x14ac:dyDescent="0.35">
      <c r="A98" s="10" t="s">
        <v>113</v>
      </c>
      <c r="B98" s="11">
        <v>2.0328571428571429</v>
      </c>
    </row>
    <row r="100" spans="1:4" s="15" customFormat="1" x14ac:dyDescent="0.35"/>
    <row r="101" spans="1:4" x14ac:dyDescent="0.35">
      <c r="A101" t="s">
        <v>138</v>
      </c>
    </row>
    <row r="102" spans="1:4" x14ac:dyDescent="0.35">
      <c r="A102" s="9" t="s">
        <v>122</v>
      </c>
      <c r="B102" t="s" vm="2">
        <v>121</v>
      </c>
    </row>
    <row r="104" spans="1:4" ht="18.5" x14ac:dyDescent="0.45">
      <c r="A104" s="9" t="s">
        <v>123</v>
      </c>
      <c r="B104" s="9" t="s">
        <v>120</v>
      </c>
      <c r="D104" s="13" t="s">
        <v>136</v>
      </c>
    </row>
    <row r="105" spans="1:4" ht="15.5" x14ac:dyDescent="0.35">
      <c r="A105" s="9" t="s">
        <v>112</v>
      </c>
      <c r="B105" t="s">
        <v>65</v>
      </c>
      <c r="C105" t="s">
        <v>46</v>
      </c>
      <c r="D105" s="12" t="s">
        <v>137</v>
      </c>
    </row>
    <row r="106" spans="1:4" x14ac:dyDescent="0.35">
      <c r="A106" s="10" t="s">
        <v>114</v>
      </c>
      <c r="B106" s="11">
        <v>8661.5300000000007</v>
      </c>
      <c r="C106" s="11">
        <v>10074.56</v>
      </c>
    </row>
    <row r="107" spans="1:4" x14ac:dyDescent="0.35">
      <c r="A107" s="10" t="s">
        <v>115</v>
      </c>
      <c r="B107" s="11">
        <v>8663</v>
      </c>
      <c r="C107" s="11">
        <v>10102.290000000001</v>
      </c>
    </row>
    <row r="108" spans="1:4" x14ac:dyDescent="0.35">
      <c r="A108" s="10" t="s">
        <v>116</v>
      </c>
      <c r="B108" s="11">
        <v>8768.75</v>
      </c>
      <c r="C108" s="11">
        <v>10230.799999999999</v>
      </c>
    </row>
    <row r="109" spans="1:4" x14ac:dyDescent="0.35">
      <c r="A109" s="10" t="s">
        <v>117</v>
      </c>
      <c r="B109" s="11">
        <v>8864.9599999999991</v>
      </c>
      <c r="C109" s="11">
        <v>10076.51</v>
      </c>
    </row>
    <row r="110" spans="1:4" x14ac:dyDescent="0.35">
      <c r="A110" s="10" t="s">
        <v>118</v>
      </c>
      <c r="B110" s="11">
        <v>9019.19</v>
      </c>
      <c r="C110" s="11">
        <v>10294.32</v>
      </c>
    </row>
    <row r="111" spans="1:4" x14ac:dyDescent="0.35">
      <c r="A111" s="10" t="s">
        <v>119</v>
      </c>
      <c r="B111" s="11">
        <v>9187.9699999999993</v>
      </c>
      <c r="C111" s="11">
        <v>10281.799999999999</v>
      </c>
    </row>
    <row r="112" spans="1:4" x14ac:dyDescent="0.35">
      <c r="A112" s="10" t="s">
        <v>113</v>
      </c>
      <c r="B112" s="11">
        <v>53165.4</v>
      </c>
      <c r="C112" s="11">
        <v>61060.28</v>
      </c>
    </row>
    <row r="114" spans="1:4" x14ac:dyDescent="0.35">
      <c r="A114" s="9" t="s">
        <v>122</v>
      </c>
      <c r="B114" t="s" vm="1">
        <v>4</v>
      </c>
    </row>
    <row r="116" spans="1:4" ht="18.5" x14ac:dyDescent="0.45">
      <c r="A116" s="9" t="s">
        <v>124</v>
      </c>
      <c r="B116" s="9" t="s">
        <v>120</v>
      </c>
      <c r="D116" s="13" t="s">
        <v>139</v>
      </c>
    </row>
    <row r="117" spans="1:4" ht="15.5" x14ac:dyDescent="0.35">
      <c r="A117" s="9" t="s">
        <v>112</v>
      </c>
      <c r="B117" t="s">
        <v>12</v>
      </c>
      <c r="C117" t="s">
        <v>11</v>
      </c>
      <c r="D117" s="12" t="s">
        <v>140</v>
      </c>
    </row>
    <row r="118" spans="1:4" x14ac:dyDescent="0.35">
      <c r="A118" s="10" t="s">
        <v>114</v>
      </c>
      <c r="B118" s="11">
        <v>4.458181818181818</v>
      </c>
      <c r="C118" s="11">
        <v>79.193636363636358</v>
      </c>
    </row>
    <row r="119" spans="1:4" x14ac:dyDescent="0.35">
      <c r="A119" s="10" t="s">
        <v>115</v>
      </c>
      <c r="B119" s="11">
        <v>4.3545454545454545</v>
      </c>
      <c r="C119" s="11">
        <v>80.172727272727272</v>
      </c>
    </row>
    <row r="120" spans="1:4" x14ac:dyDescent="0.35">
      <c r="A120" s="10" t="s">
        <v>116</v>
      </c>
      <c r="B120" s="11">
        <v>4.4263636363636358</v>
      </c>
      <c r="C120" s="11">
        <v>79.844545454545454</v>
      </c>
    </row>
    <row r="121" spans="1:4" x14ac:dyDescent="0.35">
      <c r="A121" s="10" t="s">
        <v>117</v>
      </c>
      <c r="B121" s="11">
        <v>4.4719999999999995</v>
      </c>
      <c r="C121" s="11">
        <v>80.712999999999994</v>
      </c>
    </row>
    <row r="122" spans="1:4" x14ac:dyDescent="0.35">
      <c r="A122" s="10" t="s">
        <v>118</v>
      </c>
      <c r="B122" s="11">
        <v>4.4659999999999993</v>
      </c>
      <c r="C122" s="11">
        <v>81.231999999999999</v>
      </c>
    </row>
    <row r="123" spans="1:4" x14ac:dyDescent="0.35">
      <c r="A123" s="10" t="s">
        <v>119</v>
      </c>
      <c r="B123" s="11">
        <v>4.46</v>
      </c>
      <c r="C123" s="11">
        <v>85.347999999999999</v>
      </c>
    </row>
    <row r="124" spans="1:4" x14ac:dyDescent="0.35">
      <c r="A124" s="10" t="s">
        <v>113</v>
      </c>
      <c r="B124" s="11">
        <v>4.4382539682539681</v>
      </c>
      <c r="C124" s="11">
        <v>81.019841269841265</v>
      </c>
    </row>
    <row r="126" spans="1:4" s="21" customFormat="1" x14ac:dyDescent="0.35"/>
    <row r="127" spans="1:4" x14ac:dyDescent="0.35">
      <c r="A127" s="10" t="s">
        <v>141</v>
      </c>
    </row>
    <row r="128" spans="1:4" x14ac:dyDescent="0.35">
      <c r="A128" s="9" t="s">
        <v>122</v>
      </c>
      <c r="B128" t="s" vm="1">
        <v>4</v>
      </c>
    </row>
    <row r="130" spans="1:4" ht="18.5" x14ac:dyDescent="0.45">
      <c r="A130" s="9" t="s">
        <v>124</v>
      </c>
      <c r="B130" s="9" t="s">
        <v>120</v>
      </c>
      <c r="D130" s="13" t="s">
        <v>145</v>
      </c>
    </row>
    <row r="131" spans="1:4" x14ac:dyDescent="0.35">
      <c r="A131" s="9" t="s">
        <v>112</v>
      </c>
      <c r="B131" t="s">
        <v>16</v>
      </c>
      <c r="C131" t="s">
        <v>15</v>
      </c>
    </row>
    <row r="132" spans="1:4" x14ac:dyDescent="0.35">
      <c r="A132" s="10" t="s">
        <v>114</v>
      </c>
      <c r="B132" s="11">
        <v>30.985454545454544</v>
      </c>
      <c r="C132" s="11">
        <v>29.565454545454546</v>
      </c>
    </row>
    <row r="133" spans="1:4" x14ac:dyDescent="0.35">
      <c r="A133" s="10" t="s">
        <v>115</v>
      </c>
      <c r="B133" s="11">
        <v>30.34363636363636</v>
      </c>
      <c r="C133" s="11">
        <v>28.941818181818181</v>
      </c>
    </row>
    <row r="134" spans="1:4" x14ac:dyDescent="0.35">
      <c r="A134" s="10" t="s">
        <v>116</v>
      </c>
      <c r="B134" s="11">
        <v>29.91090909090909</v>
      </c>
      <c r="C134" s="11">
        <v>28.513636363636362</v>
      </c>
    </row>
    <row r="135" spans="1:4" x14ac:dyDescent="0.35">
      <c r="A135" s="10" t="s">
        <v>117</v>
      </c>
      <c r="B135" s="11">
        <v>30.493000000000002</v>
      </c>
      <c r="C135" s="11">
        <v>29.224</v>
      </c>
    </row>
    <row r="136" spans="1:4" x14ac:dyDescent="0.35">
      <c r="A136" s="10" t="s">
        <v>118</v>
      </c>
      <c r="B136" s="11">
        <v>29.170999999999999</v>
      </c>
      <c r="C136" s="11">
        <v>27.907999999999998</v>
      </c>
    </row>
    <row r="137" spans="1:4" x14ac:dyDescent="0.35">
      <c r="A137" s="10" t="s">
        <v>119</v>
      </c>
      <c r="B137" s="11">
        <v>29.073</v>
      </c>
      <c r="C137" s="11">
        <v>27.814999999999998</v>
      </c>
    </row>
    <row r="138" spans="1:4" x14ac:dyDescent="0.35">
      <c r="A138" s="10" t="s">
        <v>113</v>
      </c>
      <c r="B138" s="11">
        <v>30.016031746031747</v>
      </c>
      <c r="C138" s="11">
        <v>28.677777777777777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F4C1-EA5B-48CB-8552-97D5F5A75308}">
  <dimension ref="A1"/>
  <sheetViews>
    <sheetView showGridLines="0" tabSelected="1" zoomScale="80" zoomScaleNormal="80" workbookViewId="0">
      <selection activeCell="W10" sqref="W10"/>
    </sheetView>
  </sheetViews>
  <sheetFormatPr defaultRowHeight="14.5" x14ac:dyDescent="0.35"/>
  <cols>
    <col min="1" max="16384" width="8.7265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033B47-79D6-4E40-9B9C-A9C4308FF2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 (P&amp;L)</vt:lpstr>
      <vt:lpstr>Disclaimer (Rasio Keu)</vt:lpstr>
      <vt:lpstr>Disclaimer (Posisi Keu)</vt:lpstr>
      <vt:lpstr>Kinerja Keu (Rasio Keu)</vt:lpstr>
      <vt:lpstr>Kinerja Keu (Rasio Keu)_Table</vt:lpstr>
      <vt:lpstr>Laporan Posisis Keu</vt:lpstr>
      <vt:lpstr>Laporan Posisi Keu_Table</vt:lpstr>
      <vt:lpstr>Laporan P&amp;L</vt:lpstr>
      <vt:lpstr>Laporan P&amp;L_Table</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2026-09-04T06:48:22Z</dcterms:created>
  <dcterms:modified xsi:type="dcterms:W3CDTF">2026-09-05T16:13:19Z</dcterms:modified>
</cp:coreProperties>
</file>