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rober\Downloads\"/>
    </mc:Choice>
  </mc:AlternateContent>
  <xr:revisionPtr revIDLastSave="0" documentId="8_{A96B4EBC-3505-4AB4-90CF-15D3F71A55A2}" xr6:coauthVersionLast="47" xr6:coauthVersionMax="47" xr10:uidLastSave="{00000000-0000-0000-0000-000000000000}"/>
  <bookViews>
    <workbookView xWindow="-110" yWindow="-110" windowWidth="19420" windowHeight="11500" activeTab="2" xr2:uid="{F7294AC1-38D8-4EEC-A4F3-9A4471B626A9}"/>
  </bookViews>
  <sheets>
    <sheet name="Data" sheetId="1" r:id="rId1"/>
    <sheet name="breakdown" sheetId="3" r:id="rId2"/>
    <sheet name="Dashboard" sheetId="2" r:id="rId3"/>
  </sheets>
  <definedNames>
    <definedName name="avgage">breakdown!$B$21</definedName>
    <definedName name="avgcust">breakdown!$A$21</definedName>
    <definedName name="items">breakdown!$E$21</definedName>
    <definedName name="maxproduct">breakdown!$I$2</definedName>
    <definedName name="maxproductrev">breakdown!$I$3</definedName>
    <definedName name="revenue">breakdown!$C$21</definedName>
    <definedName name="Slicer_Region">#N/A</definedName>
    <definedName name="Slicer_Sales_Channel">#N/A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I3" i="3"/>
  <c r="E21" i="3"/>
  <c r="C21" i="3"/>
  <c r="B21" i="3"/>
  <c r="A21" i="3"/>
</calcChain>
</file>

<file path=xl/sharedStrings.xml><?xml version="1.0" encoding="utf-8"?>
<sst xmlns="http://schemas.openxmlformats.org/spreadsheetml/2006/main" count="126" uniqueCount="63">
  <si>
    <t>Order ID</t>
  </si>
  <si>
    <t>Order Date</t>
  </si>
  <si>
    <t>Region</t>
  </si>
  <si>
    <t>Customer Age</t>
  </si>
  <si>
    <t>Customer Segment</t>
  </si>
  <si>
    <t>Product Category</t>
  </si>
  <si>
    <t>Product Subcategory</t>
  </si>
  <si>
    <t>Sales Channel</t>
  </si>
  <si>
    <t>Midwest</t>
  </si>
  <si>
    <t>Professional</t>
  </si>
  <si>
    <t>Electronics</t>
  </si>
  <si>
    <t>Laptops</t>
  </si>
  <si>
    <t>Online</t>
  </si>
  <si>
    <t>South</t>
  </si>
  <si>
    <t>Retiree</t>
  </si>
  <si>
    <t>Home Appliances</t>
  </si>
  <si>
    <t>Air Purifiers</t>
  </si>
  <si>
    <t>In-Store</t>
  </si>
  <si>
    <t>West</t>
  </si>
  <si>
    <t>Student</t>
  </si>
  <si>
    <t>Tablets</t>
  </si>
  <si>
    <t>Northeast</t>
  </si>
  <si>
    <t>Furniture</t>
  </si>
  <si>
    <t>Office Chairs</t>
  </si>
  <si>
    <t>Small Business Owner</t>
  </si>
  <si>
    <t>Office Supplies</t>
  </si>
  <si>
    <t>Printers</t>
  </si>
  <si>
    <t>Smartphones</t>
  </si>
  <si>
    <t>Notebooks</t>
  </si>
  <si>
    <t>Microwaves</t>
  </si>
  <si>
    <t>Desks</t>
  </si>
  <si>
    <t>Monitors</t>
  </si>
  <si>
    <t>Headphones</t>
  </si>
  <si>
    <t>Bookshelves</t>
  </si>
  <si>
    <t>Refrigerators</t>
  </si>
  <si>
    <t>Gaming Consoles</t>
  </si>
  <si>
    <t>Shredders</t>
  </si>
  <si>
    <t>Sales Volume (000)</t>
  </si>
  <si>
    <t>Revenue 
($ 000)</t>
  </si>
  <si>
    <t>Sales Dataset</t>
  </si>
  <si>
    <t>Row Labels</t>
  </si>
  <si>
    <t>Grand Total</t>
  </si>
  <si>
    <t>Sum of Revenue 
($ 000)</t>
  </si>
  <si>
    <t>TOTAL CUSTOMER</t>
  </si>
  <si>
    <t>AVERAGE AGE CUSTOMER</t>
  </si>
  <si>
    <t>AVERAGE REVENUE</t>
  </si>
  <si>
    <t>TOTAL ITEMS</t>
  </si>
  <si>
    <t>03/01/</t>
  </si>
  <si>
    <t>05/01/</t>
  </si>
  <si>
    <t>06/01/</t>
  </si>
  <si>
    <t>08/01/</t>
  </si>
  <si>
    <t>10/01/</t>
  </si>
  <si>
    <t>12/01/</t>
  </si>
  <si>
    <t>14/01/</t>
  </si>
  <si>
    <t>16/01/</t>
  </si>
  <si>
    <t>18/01/</t>
  </si>
  <si>
    <t>20/01/</t>
  </si>
  <si>
    <t>22/01/</t>
  </si>
  <si>
    <t>24/01/</t>
  </si>
  <si>
    <t>26/01/</t>
  </si>
  <si>
    <t>28/01/</t>
  </si>
  <si>
    <t>30/01/</t>
  </si>
  <si>
    <t>SALES DASHBOARD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</si>
</sst>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rial"/>
      <family val="2"/>
    </font>
    <font>
      <b/>
      <sz val="12"/>
      <color theme="1"/>
      <name val="Arial"/>
      <family val="2"/>
    </font>
    <font>
      <b/>
      <sz val="18"/>
      <color theme="1"/>
      <name val="Arial"/>
      <family val="2"/>
    </font>
    <font>
      <b/>
      <sz val="24"/>
      <color theme="1"/>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0" xfId="0"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14" fontId="0" fillId="0" borderId="0" xfId="0" applyNumberFormat="1" applyAlignment="1">
      <alignment horizontal="left"/>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[Submission9.xlsx]breakdown!PivotTable1</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aseline="0"/>
              <a:t>The Region Who Dominates the Revenue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outerShdw blurRad="57150" dist="19050" dir="5400000" algn="ctr" rotWithShape="0">
              <a:srgbClr val="000000">
                <a:alpha val="63000"/>
              </a:srgbClr>
            </a:outerShdw>
          </a:effectLst>
        </c:spPr>
      </c:pivotFmt>
      <c:pivotFmt>
        <c:idx val="2"/>
        <c:spPr>
          <a:solidFill>
            <a:schemeClr val="accent1"/>
          </a:solidFill>
          <a:ln>
            <a:noFill/>
          </a:ln>
          <a:effectLst>
            <a:outerShdw blurRad="57150" dist="19050" dir="5400000" algn="ctr" rotWithShape="0">
              <a:srgbClr val="000000">
                <a:alpha val="63000"/>
              </a:srgbClr>
            </a:outerShdw>
          </a:effectLst>
        </c:spPr>
      </c:pivotFmt>
      <c:pivotFmt>
        <c:idx val="3"/>
        <c:spPr>
          <a:solidFill>
            <a:schemeClr val="accent5"/>
          </a:solidFill>
          <a:ln>
            <a:noFill/>
          </a:ln>
          <a:effectLst>
            <a:outerShdw blurRad="57150" dist="19050" dir="5400000" algn="ctr" rotWithShape="0">
              <a:srgbClr val="000000">
                <a:alpha val="63000"/>
              </a:srgbClr>
            </a:outerShdw>
          </a:effectLst>
        </c:spPr>
      </c:pivotFmt>
      <c:pivotFmt>
        <c:idx val="4"/>
        <c:spPr>
          <a:solidFill>
            <a:schemeClr val="accent3"/>
          </a:solidFill>
          <a:ln>
            <a:noFill/>
          </a:ln>
          <a:effectLst>
            <a:outerShdw blurRad="57150" dist="19050" dir="5400000" algn="ctr" rotWithShape="0">
              <a:srgbClr val="000000">
                <a:alpha val="63000"/>
              </a:srgbClr>
            </a:outerShdw>
          </a:effectLst>
        </c:spPr>
      </c:pivotFmt>
      <c:pivotFmt>
        <c:idx val="5"/>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outerShdw blurRad="57150" dist="19050" dir="5400000" algn="ctr" rotWithShape="0">
              <a:srgbClr val="000000">
                <a:alpha val="63000"/>
              </a:srgbClr>
            </a:outerShdw>
          </a:effectLst>
        </c:spPr>
      </c:pivotFmt>
      <c:pivotFmt>
        <c:idx val="7"/>
        <c:spPr>
          <a:solidFill>
            <a:schemeClr val="accent1"/>
          </a:solidFill>
          <a:ln>
            <a:noFill/>
          </a:ln>
          <a:effectLst>
            <a:outerShdw blurRad="57150" dist="19050" dir="5400000" algn="ctr" rotWithShape="0">
              <a:srgbClr val="000000">
                <a:alpha val="63000"/>
              </a:srgbClr>
            </a:outerShdw>
          </a:effectLst>
        </c:spPr>
      </c:pivotFmt>
      <c:pivotFmt>
        <c:idx val="8"/>
        <c:spPr>
          <a:solidFill>
            <a:schemeClr val="accent3"/>
          </a:solidFill>
          <a:ln>
            <a:noFill/>
          </a:ln>
          <a:effectLst>
            <a:outerShdw blurRad="57150" dist="19050" dir="5400000" algn="ctr" rotWithShape="0">
              <a:srgbClr val="000000">
                <a:alpha val="63000"/>
              </a:srgbClr>
            </a:outerShdw>
          </a:effectLst>
        </c:spPr>
      </c:pivotFmt>
      <c:pivotFmt>
        <c:idx val="9"/>
        <c:spPr>
          <a:solidFill>
            <a:schemeClr val="accent5"/>
          </a:solidFill>
          <a:ln>
            <a:noFill/>
          </a:ln>
          <a:effectLst>
            <a:outerShdw blurRad="57150" dist="19050" dir="5400000" algn="ctr" rotWithShape="0">
              <a:srgbClr val="000000">
                <a:alpha val="63000"/>
              </a:srgbClr>
            </a:outerShdw>
          </a:effectLst>
        </c:spPr>
      </c:pivotFmt>
      <c:pivotFmt>
        <c:idx val="10"/>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outerShdw blurRad="57150" dist="19050" dir="5400000" algn="ctr" rotWithShape="0">
              <a:srgbClr val="000000">
                <a:alpha val="63000"/>
              </a:srgbClr>
            </a:outerShdw>
          </a:effectLst>
        </c:spPr>
      </c:pivotFmt>
      <c:pivotFmt>
        <c:idx val="12"/>
        <c:spPr>
          <a:solidFill>
            <a:schemeClr val="accent1"/>
          </a:solidFill>
          <a:ln>
            <a:noFill/>
          </a:ln>
          <a:effectLst>
            <a:outerShdw blurRad="57150" dist="19050" dir="5400000" algn="ctr" rotWithShape="0">
              <a:srgbClr val="000000">
                <a:alpha val="63000"/>
              </a:srgbClr>
            </a:outerShdw>
          </a:effectLst>
        </c:spPr>
      </c:pivotFmt>
      <c:pivotFmt>
        <c:idx val="13"/>
        <c:spPr>
          <a:solidFill>
            <a:schemeClr val="accent3"/>
          </a:solidFill>
          <a:ln>
            <a:noFill/>
          </a:ln>
          <a:effectLst>
            <a:outerShdw blurRad="57150" dist="19050" dir="5400000" algn="ctr" rotWithShape="0">
              <a:srgbClr val="000000">
                <a:alpha val="63000"/>
              </a:srgbClr>
            </a:outerShdw>
          </a:effectLst>
        </c:spPr>
      </c:pivotFmt>
      <c:pivotFmt>
        <c:idx val="14"/>
        <c:spPr>
          <a:solidFill>
            <a:schemeClr val="accent5"/>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breakdown!$B$1</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dPt>
            <c:idx val="0"/>
            <c:invertIfNegative val="0"/>
            <c:bubble3D val="0"/>
            <c:spPr>
              <a:solidFill>
                <a:schemeClr val="accent2"/>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4B7-4BF2-A576-FEFDE6B894CA}"/>
              </c:ext>
            </c:extLst>
          </c:dPt>
          <c:dPt>
            <c:idx val="1"/>
            <c:invertIfNegative val="0"/>
            <c:bubble3D val="0"/>
            <c:extLst>
              <c:ext xmlns:c16="http://schemas.microsoft.com/office/drawing/2014/chart" uri="{C3380CC4-5D6E-409C-BE32-E72D297353CC}">
                <c16:uniqueId val="{00000003-14B7-4BF2-A576-FEFDE6B894CA}"/>
              </c:ext>
            </c:extLst>
          </c:dPt>
          <c:dPt>
            <c:idx val="2"/>
            <c:invertIfNegative val="0"/>
            <c:bubble3D val="0"/>
            <c:extLst>
              <c:ext xmlns:c16="http://schemas.microsoft.com/office/drawing/2014/chart" uri="{C3380CC4-5D6E-409C-BE32-E72D297353CC}">
                <c16:uniqueId val="{00000005-14B7-4BF2-A576-FEFDE6B894CA}"/>
              </c:ext>
            </c:extLst>
          </c:dPt>
          <c:dPt>
            <c:idx val="3"/>
            <c:invertIfNegative val="0"/>
            <c:bubble3D val="0"/>
            <c:extLst>
              <c:ext xmlns:c16="http://schemas.microsoft.com/office/drawing/2014/chart" uri="{C3380CC4-5D6E-409C-BE32-E72D297353CC}">
                <c16:uniqueId val="{00000007-14B7-4BF2-A576-FEFDE6B894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breakdown!$A$2:$A$3</c:f>
              <c:strCache>
                <c:ptCount val="1"/>
                <c:pt idx="0">
                  <c:v>Midwest</c:v>
                </c:pt>
              </c:strCache>
            </c:strRef>
          </c:cat>
          <c:val>
            <c:numRef>
              <c:f>breakdown!$B$2:$B$3</c:f>
              <c:numCache>
                <c:formatCode>General</c:formatCode>
                <c:ptCount val="1"/>
                <c:pt idx="0">
                  <c:v>5600</c:v>
                </c:pt>
              </c:numCache>
            </c:numRef>
          </c:val>
          <c:extLst>
            <c:ext xmlns:c16="http://schemas.microsoft.com/office/drawing/2014/chart" uri="{C3380CC4-5D6E-409C-BE32-E72D297353CC}">
              <c16:uniqueId val="{00000008-14B7-4BF2-A576-FEFDE6B894CA}"/>
            </c:ext>
          </c:extLst>
        </c:ser>
        <c:dLbls>
          <c:dLblPos val="outEnd"/>
          <c:showLegendKey val="0"/>
          <c:showVal val="1"/>
          <c:showCatName val="0"/>
          <c:showSerName val="0"/>
          <c:showPercent val="0"/>
          <c:showBubbleSize val="0"/>
        </c:dLbls>
        <c:gapWidth val="100"/>
        <c:overlap val="-24"/>
        <c:axId val="1262661904"/>
        <c:axId val="1262664784"/>
      </c:barChart>
      <c:catAx>
        <c:axId val="1262661904"/>
        <c:scaling>
          <c:orientation val="minMax"/>
        </c:scaling>
        <c:delete val="1"/>
        <c:axPos val="b"/>
        <c:numFmt formatCode="General" sourceLinked="1"/>
        <c:majorTickMark val="none"/>
        <c:minorTickMark val="none"/>
        <c:tickLblPos val="nextTo"/>
        <c:crossAx val="1262664784"/>
        <c:crosses val="autoZero"/>
        <c:auto val="1"/>
        <c:lblAlgn val="ctr"/>
        <c:lblOffset val="100"/>
        <c:noMultiLvlLbl val="0"/>
      </c:catAx>
      <c:valAx>
        <c:axId val="1262664784"/>
        <c:scaling>
          <c:orientation val="minMax"/>
        </c:scaling>
        <c:delete val="1"/>
        <c:axPos val="l"/>
        <c:numFmt formatCode="General" sourceLinked="1"/>
        <c:majorTickMark val="none"/>
        <c:minorTickMark val="none"/>
        <c:tickLblPos val="nextTo"/>
        <c:crossAx val="1262661904"/>
        <c:crosses val="autoZero"/>
        <c:crossBetween val="between"/>
      </c:valAx>
      <c:spPr>
        <a:noFill/>
        <a:ln>
          <a:noFill/>
        </a:ln>
        <a:effectLst/>
      </c:spPr>
    </c:plotArea>
    <c:legend>
      <c:legendPos val="tr"/>
      <c:layout>
        <c:manualLayout>
          <c:xMode val="edge"/>
          <c:yMode val="edge"/>
          <c:x val="0.68155074365704282"/>
          <c:y val="0.16451407115777195"/>
          <c:w val="0.30178258967629046"/>
          <c:h val="0.155094779819189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[Submission9.xlsx]breakdown!PivotTable7</c:name>
    <c:fmtId val="14"/>
  </c:pivotSource>
  <c:chart>
    <c:title>
      <c:tx>
        <c:rich>
          <a:bodyPr rot="0" spcFirstLastPara="1" vertOverflow="ellipsis" vert="horz" wrap="square" anchor="ctr" anchorCtr="1"/>
          <a:lstStyle/>
          <a:p>
            <a:pPr>
              <a:defRPr sz="1800" b="1" i="0" u="none" strike="noStrike" kern="1200" cap="none" spc="20" baseline="0">
                <a:solidFill>
                  <a:schemeClr val="dk1">
                    <a:lumMod val="50000"/>
                    <a:lumOff val="50000"/>
                  </a:schemeClr>
                </a:solidFill>
                <a:latin typeface="+mn-lt"/>
                <a:ea typeface="+mn-ea"/>
                <a:cs typeface="+mn-cs"/>
              </a:defRPr>
            </a:pPr>
            <a:r>
              <a:rPr lang="en-US" sz="1800" b="1"/>
              <a:t>Trend Revenue Over January 2026</a:t>
            </a:r>
          </a:p>
        </c:rich>
      </c:tx>
      <c:overlay val="0"/>
      <c:spPr>
        <a:noFill/>
        <a:ln>
          <a:noFill/>
        </a:ln>
        <a:effectLst/>
      </c:spPr>
      <c:txPr>
        <a:bodyPr rot="0" spcFirstLastPara="1" vertOverflow="ellipsis" vert="horz" wrap="square" anchor="ctr" anchorCtr="1"/>
        <a:lstStyle/>
        <a:p>
          <a:pPr>
            <a:defRPr sz="18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breakdown!$E$1</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breakdown!$D$2:$D$6</c:f>
              <c:strCache>
                <c:ptCount val="4"/>
                <c:pt idx="0">
                  <c:v>03/01/2026</c:v>
                </c:pt>
                <c:pt idx="1">
                  <c:v>10/01/2026</c:v>
                </c:pt>
                <c:pt idx="2">
                  <c:v>18/01/2026</c:v>
                </c:pt>
                <c:pt idx="3">
                  <c:v>26/01/2026</c:v>
                </c:pt>
              </c:strCache>
            </c:strRef>
          </c:cat>
          <c:val>
            <c:numRef>
              <c:f>breakdown!$E$2:$E$6</c:f>
              <c:numCache>
                <c:formatCode>General</c:formatCode>
                <c:ptCount val="4"/>
                <c:pt idx="0">
                  <c:v>2400</c:v>
                </c:pt>
                <c:pt idx="1">
                  <c:v>600</c:v>
                </c:pt>
                <c:pt idx="2">
                  <c:v>1400</c:v>
                </c:pt>
                <c:pt idx="3">
                  <c:v>1200</c:v>
                </c:pt>
              </c:numCache>
            </c:numRef>
          </c:val>
          <c:smooth val="1"/>
          <c:extLst>
            <c:ext xmlns:c16="http://schemas.microsoft.com/office/drawing/2014/chart" uri="{C3380CC4-5D6E-409C-BE32-E72D297353CC}">
              <c16:uniqueId val="{00000000-D8FD-4533-B502-24026A9B1565}"/>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49101696"/>
        <c:axId val="1249099776"/>
      </c:lineChart>
      <c:catAx>
        <c:axId val="124910169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49099776"/>
        <c:crosses val="autoZero"/>
        <c:auto val="1"/>
        <c:lblAlgn val="ctr"/>
        <c:lblOffset val="100"/>
        <c:tickLblSkip val="2"/>
        <c:tickMarkSkip val="1"/>
        <c:noMultiLvlLbl val="0"/>
      </c:catAx>
      <c:valAx>
        <c:axId val="1249099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4910169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[Submission9.xlsx]breakdown!PivotTable4</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by Profile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a:outerShdw blurRad="57150" dist="19050" dir="5400000" algn="ctr" rotWithShape="0">
              <a:srgbClr val="000000">
                <a:alpha val="63000"/>
              </a:srgbClr>
            </a:outerShdw>
          </a:effectLst>
        </c:spPr>
      </c:pivotFmt>
      <c:pivotFmt>
        <c:idx val="2"/>
        <c:spPr>
          <a:solidFill>
            <a:schemeClr val="accent5"/>
          </a:solidFill>
          <a:ln>
            <a:noFill/>
          </a:ln>
          <a:effectLst>
            <a:outerShdw blurRad="57150" dist="19050" dir="5400000" algn="ctr" rotWithShape="0">
              <a:srgbClr val="000000">
                <a:alpha val="63000"/>
              </a:srgbClr>
            </a:outerShdw>
          </a:effectLst>
        </c:spPr>
      </c:pivotFmt>
      <c:pivotFmt>
        <c:idx val="3"/>
        <c:spPr>
          <a:solidFill>
            <a:schemeClr val="accent2"/>
          </a:soli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outerShdw blurRad="57150" dist="19050" dir="5400000" algn="ctr" rotWithShape="0">
              <a:srgbClr val="000000">
                <a:alpha val="63000"/>
              </a:srgbClr>
            </a:outerShdw>
          </a:effectLst>
        </c:spPr>
      </c:pivotFmt>
      <c:pivotFmt>
        <c:idx val="6"/>
        <c:spPr>
          <a:solidFill>
            <a:schemeClr val="accent5"/>
          </a:solidFill>
          <a:ln>
            <a:noFill/>
          </a:ln>
          <a:effectLst>
            <a:outerShdw blurRad="57150" dist="19050" dir="5400000" algn="ctr" rotWithShape="0">
              <a:srgbClr val="000000">
                <a:alpha val="63000"/>
              </a:srgbClr>
            </a:outerShdw>
          </a:effectLst>
        </c:spPr>
      </c:pivotFmt>
      <c:pivotFmt>
        <c:idx val="7"/>
        <c:spPr>
          <a:solidFill>
            <a:schemeClr val="accent2"/>
          </a:soli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a:outerShdw blurRad="57150" dist="19050" dir="5400000" algn="ctr" rotWithShape="0">
              <a:srgbClr val="000000">
                <a:alpha val="63000"/>
              </a:srgbClr>
            </a:outerShdw>
          </a:effectLst>
        </c:spPr>
      </c:pivotFmt>
      <c:pivotFmt>
        <c:idx val="10"/>
        <c:spPr>
          <a:solidFill>
            <a:schemeClr val="accent5"/>
          </a:solidFill>
          <a:ln>
            <a:noFill/>
          </a:ln>
          <a:effectLst>
            <a:outerShdw blurRad="57150" dist="19050" dir="5400000" algn="ctr" rotWithShape="0">
              <a:srgbClr val="000000">
                <a:alpha val="63000"/>
              </a:srgbClr>
            </a:outerShdw>
          </a:effectLst>
        </c:spPr>
      </c:pivotFmt>
      <c:pivotFmt>
        <c:idx val="11"/>
        <c:spPr>
          <a:solidFill>
            <a:schemeClr val="accent2"/>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0555555555555555E-2"/>
          <c:y val="0.21081036745406825"/>
          <c:w val="0.77825831146106739"/>
          <c:h val="0.73826370662000584"/>
        </c:manualLayout>
      </c:layout>
      <c:barChart>
        <c:barDir val="col"/>
        <c:grouping val="clustered"/>
        <c:varyColors val="0"/>
        <c:ser>
          <c:idx val="0"/>
          <c:order val="0"/>
          <c:tx>
            <c:strRef>
              <c:f>breakdown!$B$8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1"/>
            <c:invertIfNegative val="0"/>
            <c:bubble3D val="0"/>
            <c:spPr>
              <a:solidFill>
                <a:schemeClr val="accent3"/>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B2E-4740-B196-03B868424887}"/>
              </c:ext>
            </c:extLst>
          </c:dPt>
          <c:dPt>
            <c:idx val="2"/>
            <c:invertIfNegative val="0"/>
            <c:bubble3D val="0"/>
            <c:spPr>
              <a:solidFill>
                <a:schemeClr val="accent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B2E-4740-B196-03B868424887}"/>
              </c:ext>
            </c:extLst>
          </c:dPt>
          <c:dPt>
            <c:idx val="3"/>
            <c:invertIfNegative val="0"/>
            <c:bubble3D val="0"/>
            <c:extLst>
              <c:ext xmlns:c16="http://schemas.microsoft.com/office/drawing/2014/chart" uri="{C3380CC4-5D6E-409C-BE32-E72D297353CC}">
                <c16:uniqueId val="{00000005-FB2E-4740-B196-03B86842488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breakdown!$A$9:$A$12</c:f>
              <c:strCache>
                <c:ptCount val="3"/>
                <c:pt idx="0">
                  <c:v>Professional</c:v>
                </c:pt>
                <c:pt idx="1">
                  <c:v>Retiree</c:v>
                </c:pt>
                <c:pt idx="2">
                  <c:v>Small Business Owner</c:v>
                </c:pt>
              </c:strCache>
            </c:strRef>
          </c:cat>
          <c:val>
            <c:numRef>
              <c:f>breakdown!$B$9:$B$12</c:f>
              <c:numCache>
                <c:formatCode>General</c:formatCode>
                <c:ptCount val="3"/>
                <c:pt idx="0">
                  <c:v>3800</c:v>
                </c:pt>
                <c:pt idx="1">
                  <c:v>1200</c:v>
                </c:pt>
                <c:pt idx="2">
                  <c:v>600</c:v>
                </c:pt>
              </c:numCache>
            </c:numRef>
          </c:val>
          <c:extLst>
            <c:ext xmlns:c16="http://schemas.microsoft.com/office/drawing/2014/chart" uri="{C3380CC4-5D6E-409C-BE32-E72D297353CC}">
              <c16:uniqueId val="{00000006-FB2E-4740-B196-03B868424887}"/>
            </c:ext>
          </c:extLst>
        </c:ser>
        <c:dLbls>
          <c:dLblPos val="outEnd"/>
          <c:showLegendKey val="0"/>
          <c:showVal val="1"/>
          <c:showCatName val="0"/>
          <c:showSerName val="0"/>
          <c:showPercent val="0"/>
          <c:showBubbleSize val="0"/>
        </c:dLbls>
        <c:gapWidth val="66"/>
        <c:overlap val="-3"/>
        <c:axId val="1478860224"/>
        <c:axId val="1478861664"/>
      </c:barChart>
      <c:catAx>
        <c:axId val="1478860224"/>
        <c:scaling>
          <c:orientation val="minMax"/>
        </c:scaling>
        <c:delete val="1"/>
        <c:axPos val="b"/>
        <c:numFmt formatCode="General" sourceLinked="1"/>
        <c:majorTickMark val="none"/>
        <c:minorTickMark val="none"/>
        <c:tickLblPos val="nextTo"/>
        <c:crossAx val="1478861664"/>
        <c:crosses val="autoZero"/>
        <c:auto val="1"/>
        <c:lblAlgn val="ctr"/>
        <c:lblOffset val="100"/>
        <c:noMultiLvlLbl val="0"/>
      </c:catAx>
      <c:valAx>
        <c:axId val="1478861664"/>
        <c:scaling>
          <c:orientation val="minMax"/>
        </c:scaling>
        <c:delete val="1"/>
        <c:axPos val="l"/>
        <c:numFmt formatCode="General" sourceLinked="1"/>
        <c:majorTickMark val="none"/>
        <c:minorTickMark val="none"/>
        <c:tickLblPos val="nextTo"/>
        <c:crossAx val="1478860224"/>
        <c:crosses val="autoZero"/>
        <c:crossBetween val="between"/>
      </c:valAx>
      <c:spPr>
        <a:noFill/>
        <a:ln>
          <a:noFill/>
        </a:ln>
        <a:effectLst/>
      </c:spPr>
    </c:plotArea>
    <c:legend>
      <c:legendPos val="tr"/>
      <c:layout>
        <c:manualLayout>
          <c:xMode val="edge"/>
          <c:yMode val="edge"/>
          <c:x val="0.71992497812773404"/>
          <c:y val="8.1180737824438617E-2"/>
          <c:w val="0.27729724409448819"/>
          <c:h val="0.409724409448818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[Submission9.xlsx]breakdown!PivotTable3</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Product</a:t>
            </a:r>
            <a:r>
              <a:rPr lang="en-US" b="1" baseline="0"/>
              <a:t> Category Who Dominate the Revenue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12232605404598347"/>
          <c:y val="0.27951852452163822"/>
          <c:w val="0.44193885441903152"/>
          <c:h val="0.66373168275525318"/>
        </c:manualLayout>
      </c:layout>
      <c:doughnutChart>
        <c:varyColors val="1"/>
        <c:ser>
          <c:idx val="0"/>
          <c:order val="0"/>
          <c:tx>
            <c:strRef>
              <c:f>breakdown!$H$1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E3-4ACA-BA8E-641F2BE5F1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E3-4ACA-BA8E-641F2BE5F1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E3-4ACA-BA8E-641F2BE5F1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E3-4ACA-BA8E-641F2BE5F1E3}"/>
              </c:ext>
            </c:extLst>
          </c:dPt>
          <c:cat>
            <c:strRef>
              <c:f>breakdown!$G$2:$G$6</c:f>
              <c:strCache>
                <c:ptCount val="4"/>
                <c:pt idx="0">
                  <c:v>Electronics</c:v>
                </c:pt>
                <c:pt idx="1">
                  <c:v>Furniture</c:v>
                </c:pt>
                <c:pt idx="2">
                  <c:v>Home Appliances</c:v>
                </c:pt>
                <c:pt idx="3">
                  <c:v>Office Supplies</c:v>
                </c:pt>
              </c:strCache>
            </c:strRef>
          </c:cat>
          <c:val>
            <c:numRef>
              <c:f>breakdown!$H$2:$H$6</c:f>
              <c:numCache>
                <c:formatCode>General</c:formatCode>
                <c:ptCount val="4"/>
                <c:pt idx="0">
                  <c:v>2400</c:v>
                </c:pt>
                <c:pt idx="1">
                  <c:v>1400</c:v>
                </c:pt>
                <c:pt idx="2">
                  <c:v>1200</c:v>
                </c:pt>
                <c:pt idx="3">
                  <c:v>600</c:v>
                </c:pt>
              </c:numCache>
            </c:numRef>
          </c:val>
          <c:extLst>
            <c:ext xmlns:c16="http://schemas.microsoft.com/office/drawing/2014/chart" uri="{C3380CC4-5D6E-409C-BE32-E72D297353CC}">
              <c16:uniqueId val="{00000008-53E3-4ACA-BA8E-641F2BE5F1E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469900</xdr:colOff>
      <xdr:row>34</xdr:row>
      <xdr:rowOff>71437</xdr:rowOff>
    </xdr:from>
    <xdr:to>
      <xdr:col>18</xdr:col>
      <xdr:colOff>635000</xdr:colOff>
      <xdr:row>49</xdr:row>
      <xdr:rowOff>23814</xdr:rowOff>
    </xdr:to>
    <xdr:graphicFrame macro="">
      <xdr:nvGraphicFramePr>
        <xdr:cNvPr id="2" name="Chart 1">
          <a:extLst>
            <a:ext uri="{FF2B5EF4-FFF2-40B4-BE49-F238E27FC236}">
              <a16:creationId xmlns:a16="http://schemas.microsoft.com/office/drawing/2014/main" id="{08602CB5-F967-4F1B-B77B-A3A08FB4A7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230188</xdr:colOff>
      <xdr:row>17</xdr:row>
      <xdr:rowOff>150813</xdr:rowOff>
    </xdr:from>
    <xdr:to>
      <xdr:col>18</xdr:col>
      <xdr:colOff>722313</xdr:colOff>
      <xdr:row>33</xdr:row>
      <xdr:rowOff>103188</xdr:rowOff>
    </xdr:to>
    <xdr:graphicFrame macro="">
      <xdr:nvGraphicFramePr>
        <xdr:cNvPr id="3" name="Chart 2">
          <a:extLst>
            <a:ext uri="{FF2B5EF4-FFF2-40B4-BE49-F238E27FC236}">
              <a16:creationId xmlns:a16="http://schemas.microsoft.com/office/drawing/2014/main" id="{AAE51DD3-006D-4026-9A3D-280030129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34</xdr:row>
      <xdr:rowOff>15873</xdr:rowOff>
    </xdr:from>
    <xdr:to>
      <xdr:col>6</xdr:col>
      <xdr:colOff>420688</xdr:colOff>
      <xdr:row>48</xdr:row>
      <xdr:rowOff>174625</xdr:rowOff>
    </xdr:to>
    <xdr:graphicFrame macro="">
      <xdr:nvGraphicFramePr>
        <xdr:cNvPr id="4" name="Chart 3">
          <a:extLst>
            <a:ext uri="{FF2B5EF4-FFF2-40B4-BE49-F238E27FC236}">
              <a16:creationId xmlns:a16="http://schemas.microsoft.com/office/drawing/2014/main" id="{781DF217-30F1-485A-B73E-48CDF266D7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611187</xdr:colOff>
      <xdr:row>34</xdr:row>
      <xdr:rowOff>39685</xdr:rowOff>
    </xdr:from>
    <xdr:to>
      <xdr:col>12</xdr:col>
      <xdr:colOff>357188</xdr:colOff>
      <xdr:row>49</xdr:row>
      <xdr:rowOff>23813</xdr:rowOff>
    </xdr:to>
    <xdr:graphicFrame macro="">
      <xdr:nvGraphicFramePr>
        <xdr:cNvPr id="5" name="Chart 4">
          <a:extLst>
            <a:ext uri="{FF2B5EF4-FFF2-40B4-BE49-F238E27FC236}">
              <a16:creationId xmlns:a16="http://schemas.microsoft.com/office/drawing/2014/main" id="{1BB2CBBF-670A-4E05-AF65-DDC1C98CA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698501</xdr:colOff>
      <xdr:row>41</xdr:row>
      <xdr:rowOff>1</xdr:rowOff>
    </xdr:from>
    <xdr:to>
      <xdr:col>9</xdr:col>
      <xdr:colOff>428626</xdr:colOff>
      <xdr:row>44</xdr:row>
      <xdr:rowOff>15875</xdr:rowOff>
    </xdr:to>
    <xdr:sp macro="" textlink="maxproductrev">
      <xdr:nvSpPr>
        <xdr:cNvPr id="9" name="TextBox 8">
          <a:extLst>
            <a:ext uri="{FF2B5EF4-FFF2-40B4-BE49-F238E27FC236}">
              <a16:creationId xmlns:a16="http://schemas.microsoft.com/office/drawing/2014/main" id="{59080065-246C-A270-531B-6DC0D707FA05}"/>
            </a:ext>
          </a:extLst>
        </xdr:cNvPr>
        <xdr:cNvSpPr txBox="1"/>
      </xdr:nvSpPr>
      <xdr:spPr>
        <a:xfrm>
          <a:off x="6032501" y="8318501"/>
          <a:ext cx="1254125" cy="611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06755A-386F-4750-BB67-04560769AA49}" type="TxLink">
            <a:rPr lang="en-US" sz="3200" b="1" i="0" u="none" strike="noStrike">
              <a:solidFill>
                <a:srgbClr val="000000"/>
              </a:solidFill>
              <a:latin typeface="Arial"/>
              <a:cs typeface="Arial"/>
            </a:rPr>
            <a:pPr algn="ctr"/>
            <a:t>2400</a:t>
          </a:fld>
          <a:endParaRPr lang="en-ID" sz="2800" b="1"/>
        </a:p>
      </xdr:txBody>
    </xdr:sp>
    <xdr:clientData/>
  </xdr:twoCellAnchor>
  <xdr:twoCellAnchor>
    <xdr:from>
      <xdr:col>8</xdr:col>
      <xdr:colOff>7938</xdr:colOff>
      <xdr:row>43</xdr:row>
      <xdr:rowOff>134940</xdr:rowOff>
    </xdr:from>
    <xdr:to>
      <xdr:col>9</xdr:col>
      <xdr:colOff>396876</xdr:colOff>
      <xdr:row>45</xdr:row>
      <xdr:rowOff>150813</xdr:rowOff>
    </xdr:to>
    <xdr:sp macro="" textlink="maxproduct">
      <xdr:nvSpPr>
        <xdr:cNvPr id="10" name="TextBox 9">
          <a:extLst>
            <a:ext uri="{FF2B5EF4-FFF2-40B4-BE49-F238E27FC236}">
              <a16:creationId xmlns:a16="http://schemas.microsoft.com/office/drawing/2014/main" id="{74DB0784-2DE4-00BE-0121-739DE9348A00}"/>
            </a:ext>
          </a:extLst>
        </xdr:cNvPr>
        <xdr:cNvSpPr txBox="1"/>
      </xdr:nvSpPr>
      <xdr:spPr>
        <a:xfrm>
          <a:off x="6103938" y="8850315"/>
          <a:ext cx="1150938" cy="4127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DA75A8D-F137-4A44-B128-C17B3BF8AF5A}" type="TxLink">
            <a:rPr lang="en-US" sz="1200" b="0" i="0" u="none" strike="noStrike">
              <a:solidFill>
                <a:srgbClr val="000000"/>
              </a:solidFill>
              <a:latin typeface="Arial"/>
              <a:cs typeface="Arial"/>
            </a:rPr>
            <a:pPr algn="ctr"/>
            <a:t>Electronics</a:t>
          </a:fld>
          <a:endParaRPr lang="en-ID" sz="1100"/>
        </a:p>
      </xdr:txBody>
    </xdr:sp>
    <xdr:clientData/>
  </xdr:twoCellAnchor>
  <xdr:twoCellAnchor>
    <xdr:from>
      <xdr:col>0</xdr:col>
      <xdr:colOff>158750</xdr:colOff>
      <xdr:row>8</xdr:row>
      <xdr:rowOff>31749</xdr:rowOff>
    </xdr:from>
    <xdr:to>
      <xdr:col>19</xdr:col>
      <xdr:colOff>71438</xdr:colOff>
      <xdr:row>17</xdr:row>
      <xdr:rowOff>55561</xdr:rowOff>
    </xdr:to>
    <xdr:sp macro="" textlink="">
      <xdr:nvSpPr>
        <xdr:cNvPr id="12" name="Rectangle: Rounded Corners 11">
          <a:extLst>
            <a:ext uri="{FF2B5EF4-FFF2-40B4-BE49-F238E27FC236}">
              <a16:creationId xmlns:a16="http://schemas.microsoft.com/office/drawing/2014/main" id="{ECFC3724-3CB9-0308-975E-0C777854E4E7}"/>
            </a:ext>
          </a:extLst>
        </xdr:cNvPr>
        <xdr:cNvSpPr/>
      </xdr:nvSpPr>
      <xdr:spPr>
        <a:xfrm>
          <a:off x="158750" y="1801812"/>
          <a:ext cx="14390688" cy="1809749"/>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333375</xdr:colOff>
      <xdr:row>8</xdr:row>
      <xdr:rowOff>150811</xdr:rowOff>
    </xdr:from>
    <xdr:to>
      <xdr:col>4</xdr:col>
      <xdr:colOff>349250</xdr:colOff>
      <xdr:row>16</xdr:row>
      <xdr:rowOff>119061</xdr:rowOff>
    </xdr:to>
    <xdr:sp macro="" textlink="">
      <xdr:nvSpPr>
        <xdr:cNvPr id="15" name="Rectangle: Rounded Corners 14">
          <a:extLst>
            <a:ext uri="{FF2B5EF4-FFF2-40B4-BE49-F238E27FC236}">
              <a16:creationId xmlns:a16="http://schemas.microsoft.com/office/drawing/2014/main" id="{A2708E0F-C90F-4828-8934-15D5C2FF3B2F}"/>
            </a:ext>
          </a:extLst>
        </xdr:cNvPr>
        <xdr:cNvSpPr/>
      </xdr:nvSpPr>
      <xdr:spPr>
        <a:xfrm>
          <a:off x="333375" y="1920874"/>
          <a:ext cx="3063875" cy="1555750"/>
        </a:xfrm>
        <a:prstGeom prst="roundRect">
          <a:avLst/>
        </a:prstGeom>
        <a:ln>
          <a:solidFill>
            <a:schemeClr val="accent5">
              <a:lumMod val="50000"/>
            </a:schemeClr>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0</xdr:col>
      <xdr:colOff>587373</xdr:colOff>
      <xdr:row>11</xdr:row>
      <xdr:rowOff>20783</xdr:rowOff>
    </xdr:from>
    <xdr:to>
      <xdr:col>1</xdr:col>
      <xdr:colOff>388936</xdr:colOff>
      <xdr:row>14</xdr:row>
      <xdr:rowOff>15318</xdr:rowOff>
    </xdr:to>
    <xdr:pic>
      <xdr:nvPicPr>
        <xdr:cNvPr id="17" name="Picture 16">
          <a:extLst>
            <a:ext uri="{FF2B5EF4-FFF2-40B4-BE49-F238E27FC236}">
              <a16:creationId xmlns:a16="http://schemas.microsoft.com/office/drawing/2014/main" id="{460AE288-E3C7-4FE4-A2C5-B53EF1ABF06A}"/>
            </a:ext>
          </a:extLst>
        </xdr:cNvPr>
        <xdr:cNvPicPr>
          <a:picLocks noChangeAspect="1"/>
        </xdr:cNvPicPr>
      </xdr:nvPicPr>
      <xdr:blipFill>
        <a:blip xmlns:r="http://schemas.openxmlformats.org/officeDocument/2006/relationships" r:embed="rId5" cstate="print">
          <a:alphaModFix amt="70000"/>
          <a:extLst>
            <a:ext uri="{28A0092B-C50C-407E-A947-70E740481C1C}">
              <a14:useLocalDpi xmlns:a14="http://schemas.microsoft.com/office/drawing/2010/main" val="0"/>
            </a:ext>
          </a:extLst>
        </a:blip>
        <a:stretch>
          <a:fillRect/>
        </a:stretch>
      </xdr:blipFill>
      <xdr:spPr>
        <a:xfrm>
          <a:off x="587373" y="2386158"/>
          <a:ext cx="563563" cy="589848"/>
        </a:xfrm>
        <a:prstGeom prst="rect">
          <a:avLst/>
        </a:prstGeom>
      </xdr:spPr>
    </xdr:pic>
    <xdr:clientData/>
  </xdr:twoCellAnchor>
  <xdr:twoCellAnchor>
    <xdr:from>
      <xdr:col>1</xdr:col>
      <xdr:colOff>595314</xdr:colOff>
      <xdr:row>10</xdr:row>
      <xdr:rowOff>63499</xdr:rowOff>
    </xdr:from>
    <xdr:to>
      <xdr:col>2</xdr:col>
      <xdr:colOff>468314</xdr:colOff>
      <xdr:row>13</xdr:row>
      <xdr:rowOff>23812</xdr:rowOff>
    </xdr:to>
    <xdr:sp macro="" textlink="avgcust">
      <xdr:nvSpPr>
        <xdr:cNvPr id="18" name="TextBox 17">
          <a:extLst>
            <a:ext uri="{FF2B5EF4-FFF2-40B4-BE49-F238E27FC236}">
              <a16:creationId xmlns:a16="http://schemas.microsoft.com/office/drawing/2014/main" id="{6F66B15C-A9FF-742D-058B-2D7AEBA51448}"/>
            </a:ext>
          </a:extLst>
        </xdr:cNvPr>
        <xdr:cNvSpPr txBox="1"/>
      </xdr:nvSpPr>
      <xdr:spPr>
        <a:xfrm>
          <a:off x="1357314" y="2230437"/>
          <a:ext cx="635000"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214904-2937-40FB-BD34-C420587D74D3}" type="TxLink">
            <a:rPr lang="en-US" sz="3200" b="0" i="0" u="none" strike="noStrike">
              <a:solidFill>
                <a:schemeClr val="bg1"/>
              </a:solidFill>
              <a:latin typeface="Arial"/>
              <a:cs typeface="Arial"/>
            </a:rPr>
            <a:pPr algn="ctr"/>
            <a:t>15</a:t>
          </a:fld>
          <a:endParaRPr lang="en-ID" sz="2800">
            <a:solidFill>
              <a:schemeClr val="bg1"/>
            </a:solidFill>
          </a:endParaRPr>
        </a:p>
      </xdr:txBody>
    </xdr:sp>
    <xdr:clientData/>
  </xdr:twoCellAnchor>
  <xdr:twoCellAnchor>
    <xdr:from>
      <xdr:col>1</xdr:col>
      <xdr:colOff>531813</xdr:colOff>
      <xdr:row>12</xdr:row>
      <xdr:rowOff>190500</xdr:rowOff>
    </xdr:from>
    <xdr:to>
      <xdr:col>3</xdr:col>
      <xdr:colOff>396876</xdr:colOff>
      <xdr:row>14</xdr:row>
      <xdr:rowOff>166687</xdr:rowOff>
    </xdr:to>
    <xdr:sp macro="" textlink="">
      <xdr:nvSpPr>
        <xdr:cNvPr id="19" name="TextBox 18">
          <a:extLst>
            <a:ext uri="{FF2B5EF4-FFF2-40B4-BE49-F238E27FC236}">
              <a16:creationId xmlns:a16="http://schemas.microsoft.com/office/drawing/2014/main" id="{55F8918B-1F04-E6BE-CAD1-3F175C8771BF}"/>
            </a:ext>
          </a:extLst>
        </xdr:cNvPr>
        <xdr:cNvSpPr txBox="1"/>
      </xdr:nvSpPr>
      <xdr:spPr>
        <a:xfrm>
          <a:off x="1293813" y="2754313"/>
          <a:ext cx="1389063" cy="373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rPr>
            <a:t>CUSTOMER</a:t>
          </a:r>
        </a:p>
      </xdr:txBody>
    </xdr:sp>
    <xdr:clientData/>
  </xdr:twoCellAnchor>
  <xdr:twoCellAnchor>
    <xdr:from>
      <xdr:col>5</xdr:col>
      <xdr:colOff>176213</xdr:colOff>
      <xdr:row>8</xdr:row>
      <xdr:rowOff>160336</xdr:rowOff>
    </xdr:from>
    <xdr:to>
      <xdr:col>9</xdr:col>
      <xdr:colOff>192088</xdr:colOff>
      <xdr:row>16</xdr:row>
      <xdr:rowOff>128586</xdr:rowOff>
    </xdr:to>
    <xdr:sp macro="" textlink="">
      <xdr:nvSpPr>
        <xdr:cNvPr id="20" name="Rectangle: Rounded Corners 19">
          <a:extLst>
            <a:ext uri="{FF2B5EF4-FFF2-40B4-BE49-F238E27FC236}">
              <a16:creationId xmlns:a16="http://schemas.microsoft.com/office/drawing/2014/main" id="{280BB273-4941-4D9A-9147-161FCE5C4A9C}"/>
            </a:ext>
          </a:extLst>
        </xdr:cNvPr>
        <xdr:cNvSpPr/>
      </xdr:nvSpPr>
      <xdr:spPr>
        <a:xfrm>
          <a:off x="3986213" y="1930399"/>
          <a:ext cx="3063875" cy="1555750"/>
        </a:xfrm>
        <a:prstGeom prst="roundRect">
          <a:avLst/>
        </a:prstGeom>
        <a:ln>
          <a:solidFill>
            <a:schemeClr val="accent5">
              <a:lumMod val="50000"/>
            </a:schemeClr>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731838</xdr:colOff>
      <xdr:row>8</xdr:row>
      <xdr:rowOff>152402</xdr:rowOff>
    </xdr:from>
    <xdr:to>
      <xdr:col>13</xdr:col>
      <xdr:colOff>747713</xdr:colOff>
      <xdr:row>16</xdr:row>
      <xdr:rowOff>120652</xdr:rowOff>
    </xdr:to>
    <xdr:sp macro="" textlink="">
      <xdr:nvSpPr>
        <xdr:cNvPr id="21" name="Rectangle: Rounded Corners 20">
          <a:extLst>
            <a:ext uri="{FF2B5EF4-FFF2-40B4-BE49-F238E27FC236}">
              <a16:creationId xmlns:a16="http://schemas.microsoft.com/office/drawing/2014/main" id="{A7597337-6557-4239-990C-D55CA9CF002C}"/>
            </a:ext>
          </a:extLst>
        </xdr:cNvPr>
        <xdr:cNvSpPr/>
      </xdr:nvSpPr>
      <xdr:spPr>
        <a:xfrm>
          <a:off x="7589838" y="1922465"/>
          <a:ext cx="3063875" cy="1555750"/>
        </a:xfrm>
        <a:prstGeom prst="roundRect">
          <a:avLst/>
        </a:prstGeom>
        <a:ln>
          <a:solidFill>
            <a:schemeClr val="accent5">
              <a:lumMod val="50000"/>
            </a:schemeClr>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550863</xdr:colOff>
      <xdr:row>8</xdr:row>
      <xdr:rowOff>146051</xdr:rowOff>
    </xdr:from>
    <xdr:to>
      <xdr:col>18</xdr:col>
      <xdr:colOff>566738</xdr:colOff>
      <xdr:row>16</xdr:row>
      <xdr:rowOff>114301</xdr:rowOff>
    </xdr:to>
    <xdr:sp macro="" textlink="">
      <xdr:nvSpPr>
        <xdr:cNvPr id="22" name="Rectangle: Rounded Corners 21">
          <a:extLst>
            <a:ext uri="{FF2B5EF4-FFF2-40B4-BE49-F238E27FC236}">
              <a16:creationId xmlns:a16="http://schemas.microsoft.com/office/drawing/2014/main" id="{214CFC60-E4B9-4E33-9B16-92864B2612CE}"/>
            </a:ext>
          </a:extLst>
        </xdr:cNvPr>
        <xdr:cNvSpPr/>
      </xdr:nvSpPr>
      <xdr:spPr>
        <a:xfrm>
          <a:off x="11218863" y="1916114"/>
          <a:ext cx="3063875" cy="1555750"/>
        </a:xfrm>
        <a:prstGeom prst="roundRect">
          <a:avLst/>
        </a:prstGeom>
        <a:ln>
          <a:solidFill>
            <a:schemeClr val="accent5">
              <a:lumMod val="50000"/>
            </a:schemeClr>
          </a:solidFill>
        </a:ln>
      </xdr:spPr>
      <xdr:style>
        <a:lnRef idx="3">
          <a:schemeClr val="lt1"/>
        </a:lnRef>
        <a:fillRef idx="1">
          <a:schemeClr val="accent5"/>
        </a:fillRef>
        <a:effectRef idx="1">
          <a:schemeClr val="accent5"/>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5</xdr:col>
      <xdr:colOff>398463</xdr:colOff>
      <xdr:row>11</xdr:row>
      <xdr:rowOff>17461</xdr:rowOff>
    </xdr:from>
    <xdr:to>
      <xdr:col>6</xdr:col>
      <xdr:colOff>261938</xdr:colOff>
      <xdr:row>14</xdr:row>
      <xdr:rowOff>45038</xdr:rowOff>
    </xdr:to>
    <xdr:pic>
      <xdr:nvPicPr>
        <xdr:cNvPr id="23" name="Picture 22">
          <a:extLst>
            <a:ext uri="{FF2B5EF4-FFF2-40B4-BE49-F238E27FC236}">
              <a16:creationId xmlns:a16="http://schemas.microsoft.com/office/drawing/2014/main" id="{24B755D3-1005-46C5-A575-EA614C733069}"/>
            </a:ext>
          </a:extLst>
        </xdr:cNvPr>
        <xdr:cNvPicPr>
          <a:picLocks noChangeAspect="1"/>
        </xdr:cNvPicPr>
      </xdr:nvPicPr>
      <xdr:blipFill>
        <a:blip xmlns:r="http://schemas.openxmlformats.org/officeDocument/2006/relationships" r:embed="rId6" cstate="print">
          <a:alphaModFix amt="70000"/>
          <a:extLst>
            <a:ext uri="{28A0092B-C50C-407E-A947-70E740481C1C}">
              <a14:useLocalDpi xmlns:a14="http://schemas.microsoft.com/office/drawing/2010/main" val="0"/>
            </a:ext>
          </a:extLst>
        </a:blip>
        <a:stretch>
          <a:fillRect/>
        </a:stretch>
      </xdr:blipFill>
      <xdr:spPr>
        <a:xfrm>
          <a:off x="4208463" y="2382836"/>
          <a:ext cx="625475" cy="622890"/>
        </a:xfrm>
        <a:prstGeom prst="rect">
          <a:avLst/>
        </a:prstGeom>
      </xdr:spPr>
    </xdr:pic>
    <xdr:clientData/>
  </xdr:twoCellAnchor>
  <xdr:twoCellAnchor>
    <xdr:from>
      <xdr:col>6</xdr:col>
      <xdr:colOff>438150</xdr:colOff>
      <xdr:row>10</xdr:row>
      <xdr:rowOff>41273</xdr:rowOff>
    </xdr:from>
    <xdr:to>
      <xdr:col>7</xdr:col>
      <xdr:colOff>311150</xdr:colOff>
      <xdr:row>13</xdr:row>
      <xdr:rowOff>1586</xdr:rowOff>
    </xdr:to>
    <xdr:sp macro="" textlink="avgage">
      <xdr:nvSpPr>
        <xdr:cNvPr id="24" name="TextBox 23">
          <a:extLst>
            <a:ext uri="{FF2B5EF4-FFF2-40B4-BE49-F238E27FC236}">
              <a16:creationId xmlns:a16="http://schemas.microsoft.com/office/drawing/2014/main" id="{D7201555-4404-408A-979A-517B5230C61B}"/>
            </a:ext>
          </a:extLst>
        </xdr:cNvPr>
        <xdr:cNvSpPr txBox="1"/>
      </xdr:nvSpPr>
      <xdr:spPr>
        <a:xfrm>
          <a:off x="5010150" y="2208211"/>
          <a:ext cx="635000"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615407-E07B-42B1-BEF5-61E84BA5AF62}" type="TxLink">
            <a:rPr lang="en-US" sz="3200" b="0" i="0" u="none" strike="noStrike">
              <a:solidFill>
                <a:schemeClr val="bg1"/>
              </a:solidFill>
              <a:latin typeface="Arial"/>
              <a:cs typeface="Arial"/>
            </a:rPr>
            <a:t>39,6</a:t>
          </a:fld>
          <a:endParaRPr lang="en-ID" sz="6000" b="0">
            <a:solidFill>
              <a:schemeClr val="bg1"/>
            </a:solidFill>
          </a:endParaRPr>
        </a:p>
      </xdr:txBody>
    </xdr:sp>
    <xdr:clientData/>
  </xdr:twoCellAnchor>
  <xdr:twoCellAnchor>
    <xdr:from>
      <xdr:col>6</xdr:col>
      <xdr:colOff>358775</xdr:colOff>
      <xdr:row>12</xdr:row>
      <xdr:rowOff>152398</xdr:rowOff>
    </xdr:from>
    <xdr:to>
      <xdr:col>8</xdr:col>
      <xdr:colOff>508000</xdr:colOff>
      <xdr:row>14</xdr:row>
      <xdr:rowOff>128585</xdr:rowOff>
    </xdr:to>
    <xdr:sp macro="" textlink="">
      <xdr:nvSpPr>
        <xdr:cNvPr id="25" name="TextBox 24">
          <a:extLst>
            <a:ext uri="{FF2B5EF4-FFF2-40B4-BE49-F238E27FC236}">
              <a16:creationId xmlns:a16="http://schemas.microsoft.com/office/drawing/2014/main" id="{6347F095-E31F-4B02-B381-4E5666FFDCC4}"/>
            </a:ext>
          </a:extLst>
        </xdr:cNvPr>
        <xdr:cNvSpPr txBox="1"/>
      </xdr:nvSpPr>
      <xdr:spPr>
        <a:xfrm>
          <a:off x="4930775" y="2716211"/>
          <a:ext cx="1673225" cy="373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rPr>
            <a:t>AVERAGE</a:t>
          </a:r>
          <a:r>
            <a:rPr lang="en-ID" sz="1800" b="1" baseline="0">
              <a:solidFill>
                <a:schemeClr val="bg1"/>
              </a:solidFill>
            </a:rPr>
            <a:t> AGE</a:t>
          </a:r>
          <a:endParaRPr lang="en-ID" sz="1800" b="1">
            <a:solidFill>
              <a:schemeClr val="bg1"/>
            </a:solidFill>
          </a:endParaRPr>
        </a:p>
      </xdr:txBody>
    </xdr:sp>
    <xdr:clientData/>
  </xdr:twoCellAnchor>
  <xdr:twoCellAnchor editAs="oneCell">
    <xdr:from>
      <xdr:col>10</xdr:col>
      <xdr:colOff>168275</xdr:colOff>
      <xdr:row>10</xdr:row>
      <xdr:rowOff>167461</xdr:rowOff>
    </xdr:from>
    <xdr:to>
      <xdr:col>11</xdr:col>
      <xdr:colOff>47624</xdr:colOff>
      <xdr:row>14</xdr:row>
      <xdr:rowOff>16331</xdr:rowOff>
    </xdr:to>
    <xdr:pic>
      <xdr:nvPicPr>
        <xdr:cNvPr id="26" name="Picture 25">
          <a:extLst>
            <a:ext uri="{FF2B5EF4-FFF2-40B4-BE49-F238E27FC236}">
              <a16:creationId xmlns:a16="http://schemas.microsoft.com/office/drawing/2014/main" id="{89B00E88-91C3-42CD-8C14-1E7C86E79F4F}"/>
            </a:ext>
          </a:extLst>
        </xdr:cNvPr>
        <xdr:cNvPicPr>
          <a:picLocks noChangeAspect="1"/>
        </xdr:cNvPicPr>
      </xdr:nvPicPr>
      <xdr:blipFill>
        <a:blip xmlns:r="http://schemas.openxmlformats.org/officeDocument/2006/relationships" r:embed="rId7" cstate="print">
          <a:alphaModFix amt="70000"/>
          <a:extLst>
            <a:ext uri="{28A0092B-C50C-407E-A947-70E740481C1C}">
              <a14:useLocalDpi xmlns:a14="http://schemas.microsoft.com/office/drawing/2010/main" val="0"/>
            </a:ext>
          </a:extLst>
        </a:blip>
        <a:stretch>
          <a:fillRect/>
        </a:stretch>
      </xdr:blipFill>
      <xdr:spPr>
        <a:xfrm>
          <a:off x="7788275" y="2334399"/>
          <a:ext cx="641349" cy="642620"/>
        </a:xfrm>
        <a:prstGeom prst="rect">
          <a:avLst/>
        </a:prstGeom>
      </xdr:spPr>
    </xdr:pic>
    <xdr:clientData/>
  </xdr:twoCellAnchor>
  <xdr:twoCellAnchor>
    <xdr:from>
      <xdr:col>11</xdr:col>
      <xdr:colOff>57150</xdr:colOff>
      <xdr:row>10</xdr:row>
      <xdr:rowOff>41277</xdr:rowOff>
    </xdr:from>
    <xdr:to>
      <xdr:col>13</xdr:col>
      <xdr:colOff>388937</xdr:colOff>
      <xdr:row>13</xdr:row>
      <xdr:rowOff>1590</xdr:rowOff>
    </xdr:to>
    <xdr:sp macro="" textlink="revenue">
      <xdr:nvSpPr>
        <xdr:cNvPr id="27" name="TextBox 26">
          <a:extLst>
            <a:ext uri="{FF2B5EF4-FFF2-40B4-BE49-F238E27FC236}">
              <a16:creationId xmlns:a16="http://schemas.microsoft.com/office/drawing/2014/main" id="{36E4709A-5CBF-491B-92EE-F414D3F723A7}"/>
            </a:ext>
          </a:extLst>
        </xdr:cNvPr>
        <xdr:cNvSpPr txBox="1"/>
      </xdr:nvSpPr>
      <xdr:spPr>
        <a:xfrm>
          <a:off x="8439150" y="2208215"/>
          <a:ext cx="1855787"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E636390-288D-49C7-AE38-AB5D4E7CE6A5}" type="TxLink">
            <a:rPr lang="en-US" sz="3200" b="0" i="0" u="none" strike="noStrike">
              <a:solidFill>
                <a:schemeClr val="bg1"/>
              </a:solidFill>
              <a:latin typeface="Arial"/>
              <a:cs typeface="Arial"/>
            </a:rPr>
            <a:pPr algn="l"/>
            <a:t>17050</a:t>
          </a:fld>
          <a:endParaRPr lang="en-ID" sz="13800" b="0">
            <a:solidFill>
              <a:schemeClr val="bg1"/>
            </a:solidFill>
          </a:endParaRPr>
        </a:p>
      </xdr:txBody>
    </xdr:sp>
    <xdr:clientData/>
  </xdr:twoCellAnchor>
  <xdr:twoCellAnchor>
    <xdr:from>
      <xdr:col>11</xdr:col>
      <xdr:colOff>144463</xdr:colOff>
      <xdr:row>12</xdr:row>
      <xdr:rowOff>144465</xdr:rowOff>
    </xdr:from>
    <xdr:to>
      <xdr:col>13</xdr:col>
      <xdr:colOff>666750</xdr:colOff>
      <xdr:row>14</xdr:row>
      <xdr:rowOff>120652</xdr:rowOff>
    </xdr:to>
    <xdr:sp macro="" textlink="">
      <xdr:nvSpPr>
        <xdr:cNvPr id="28" name="TextBox 27">
          <a:extLst>
            <a:ext uri="{FF2B5EF4-FFF2-40B4-BE49-F238E27FC236}">
              <a16:creationId xmlns:a16="http://schemas.microsoft.com/office/drawing/2014/main" id="{4C59B3E1-639E-4F4C-B5B9-7610C1D5EA60}"/>
            </a:ext>
          </a:extLst>
        </xdr:cNvPr>
        <xdr:cNvSpPr txBox="1"/>
      </xdr:nvSpPr>
      <xdr:spPr>
        <a:xfrm>
          <a:off x="8526463" y="2708278"/>
          <a:ext cx="2046287" cy="373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rPr>
            <a:t>AVERAGE</a:t>
          </a:r>
          <a:r>
            <a:rPr lang="en-ID" sz="1800" b="1" baseline="0">
              <a:solidFill>
                <a:schemeClr val="bg1"/>
              </a:solidFill>
            </a:rPr>
            <a:t> REVENUE</a:t>
          </a:r>
          <a:endParaRPr lang="en-ID" sz="1800" b="1">
            <a:solidFill>
              <a:schemeClr val="bg1"/>
            </a:solidFill>
          </a:endParaRPr>
        </a:p>
      </xdr:txBody>
    </xdr:sp>
    <xdr:clientData/>
  </xdr:twoCellAnchor>
  <xdr:twoCellAnchor editAs="oneCell">
    <xdr:from>
      <xdr:col>14</xdr:col>
      <xdr:colOff>569913</xdr:colOff>
      <xdr:row>9</xdr:row>
      <xdr:rowOff>146052</xdr:rowOff>
    </xdr:from>
    <xdr:to>
      <xdr:col>16</xdr:col>
      <xdr:colOff>11112</xdr:colOff>
      <xdr:row>14</xdr:row>
      <xdr:rowOff>119063</xdr:rowOff>
    </xdr:to>
    <xdr:pic>
      <xdr:nvPicPr>
        <xdr:cNvPr id="30" name="Picture 29">
          <a:extLst>
            <a:ext uri="{FF2B5EF4-FFF2-40B4-BE49-F238E27FC236}">
              <a16:creationId xmlns:a16="http://schemas.microsoft.com/office/drawing/2014/main" id="{9B964F82-ECE0-FA0F-FFA3-B5AF6E759138}"/>
            </a:ext>
          </a:extLst>
        </xdr:cNvPr>
        <xdr:cNvPicPr>
          <a:picLocks noChangeAspect="1"/>
        </xdr:cNvPicPr>
      </xdr:nvPicPr>
      <xdr:blipFill>
        <a:blip xmlns:r="http://schemas.openxmlformats.org/officeDocument/2006/relationships" r:embed="rId8"/>
        <a:stretch>
          <a:fillRect/>
        </a:stretch>
      </xdr:blipFill>
      <xdr:spPr>
        <a:xfrm>
          <a:off x="11237913" y="2114552"/>
          <a:ext cx="965199" cy="965199"/>
        </a:xfrm>
        <a:prstGeom prst="rect">
          <a:avLst/>
        </a:prstGeom>
      </xdr:spPr>
    </xdr:pic>
    <xdr:clientData/>
  </xdr:twoCellAnchor>
  <xdr:twoCellAnchor>
    <xdr:from>
      <xdr:col>15</xdr:col>
      <xdr:colOff>717550</xdr:colOff>
      <xdr:row>10</xdr:row>
      <xdr:rowOff>3176</xdr:rowOff>
    </xdr:from>
    <xdr:to>
      <xdr:col>16</xdr:col>
      <xdr:colOff>590550</xdr:colOff>
      <xdr:row>12</xdr:row>
      <xdr:rowOff>161926</xdr:rowOff>
    </xdr:to>
    <xdr:sp macro="" textlink="items">
      <xdr:nvSpPr>
        <xdr:cNvPr id="31" name="TextBox 30">
          <a:extLst>
            <a:ext uri="{FF2B5EF4-FFF2-40B4-BE49-F238E27FC236}">
              <a16:creationId xmlns:a16="http://schemas.microsoft.com/office/drawing/2014/main" id="{80BF53EC-8264-4DC9-A044-8D59524F0D31}"/>
            </a:ext>
          </a:extLst>
        </xdr:cNvPr>
        <xdr:cNvSpPr txBox="1"/>
      </xdr:nvSpPr>
      <xdr:spPr>
        <a:xfrm>
          <a:off x="12147550" y="2170114"/>
          <a:ext cx="635000" cy="555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6ED104-0129-4FE9-972C-B83BA5EB54DF}" type="TxLink">
            <a:rPr lang="en-US" sz="3200" b="0" i="0" u="none" strike="noStrike">
              <a:solidFill>
                <a:schemeClr val="bg1"/>
              </a:solidFill>
              <a:latin typeface="Arial"/>
              <a:cs typeface="Arial"/>
            </a:rPr>
            <a:t>53</a:t>
          </a:fld>
          <a:endParaRPr lang="en-ID" sz="13800" b="0">
            <a:solidFill>
              <a:schemeClr val="bg1"/>
            </a:solidFill>
          </a:endParaRPr>
        </a:p>
      </xdr:txBody>
    </xdr:sp>
    <xdr:clientData/>
  </xdr:twoCellAnchor>
  <xdr:twoCellAnchor>
    <xdr:from>
      <xdr:col>15</xdr:col>
      <xdr:colOff>709613</xdr:colOff>
      <xdr:row>12</xdr:row>
      <xdr:rowOff>98426</xdr:rowOff>
    </xdr:from>
    <xdr:to>
      <xdr:col>18</xdr:col>
      <xdr:colOff>469900</xdr:colOff>
      <xdr:row>14</xdr:row>
      <xdr:rowOff>74613</xdr:rowOff>
    </xdr:to>
    <xdr:sp macro="" textlink="">
      <xdr:nvSpPr>
        <xdr:cNvPr id="32" name="TextBox 31">
          <a:extLst>
            <a:ext uri="{FF2B5EF4-FFF2-40B4-BE49-F238E27FC236}">
              <a16:creationId xmlns:a16="http://schemas.microsoft.com/office/drawing/2014/main" id="{4C137A60-1DAA-484E-B4E8-E6785FDB310F}"/>
            </a:ext>
          </a:extLst>
        </xdr:cNvPr>
        <xdr:cNvSpPr txBox="1"/>
      </xdr:nvSpPr>
      <xdr:spPr>
        <a:xfrm>
          <a:off x="12139613" y="2662239"/>
          <a:ext cx="2046287" cy="3730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800" b="1">
              <a:solidFill>
                <a:schemeClr val="bg1"/>
              </a:solidFill>
            </a:rPr>
            <a:t>VOLUME</a:t>
          </a:r>
          <a:r>
            <a:rPr lang="en-ID" sz="1800" b="1" baseline="0">
              <a:solidFill>
                <a:schemeClr val="bg1"/>
              </a:solidFill>
            </a:rPr>
            <a:t> ITEM</a:t>
          </a:r>
          <a:endParaRPr lang="en-ID" sz="1800" b="1">
            <a:solidFill>
              <a:schemeClr val="bg1"/>
            </a:solidFill>
          </a:endParaRPr>
        </a:p>
      </xdr:txBody>
    </xdr:sp>
    <xdr:clientData/>
  </xdr:twoCellAnchor>
  <xdr:twoCellAnchor editAs="oneCell">
    <xdr:from>
      <xdr:col>0</xdr:col>
      <xdr:colOff>296862</xdr:colOff>
      <xdr:row>5</xdr:row>
      <xdr:rowOff>150814</xdr:rowOff>
    </xdr:from>
    <xdr:to>
      <xdr:col>7</xdr:col>
      <xdr:colOff>373063</xdr:colOff>
      <xdr:row>7</xdr:row>
      <xdr:rowOff>166688</xdr:rowOff>
    </xdr:to>
    <mc:AlternateContent xmlns:mc="http://schemas.openxmlformats.org/markup-compatibility/2006">
      <mc:Choice xmlns:a14="http://schemas.microsoft.com/office/drawing/2010/main" Requires="a14">
        <xdr:graphicFrame macro="">
          <xdr:nvGraphicFramePr>
            <xdr:cNvPr id="33" name="Region">
              <a:extLst>
                <a:ext uri="{FF2B5EF4-FFF2-40B4-BE49-F238E27FC236}">
                  <a16:creationId xmlns:a16="http://schemas.microsoft.com/office/drawing/2014/main" id="{3267D6DB-7419-4754-DDB5-856D11B3658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6862" y="1325564"/>
              <a:ext cx="5410201" cy="41274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555625</xdr:colOff>
      <xdr:row>5</xdr:row>
      <xdr:rowOff>134938</xdr:rowOff>
    </xdr:from>
    <xdr:to>
      <xdr:col>19</xdr:col>
      <xdr:colOff>22224</xdr:colOff>
      <xdr:row>7</xdr:row>
      <xdr:rowOff>127001</xdr:rowOff>
    </xdr:to>
    <mc:AlternateContent xmlns:mc="http://schemas.openxmlformats.org/markup-compatibility/2006">
      <mc:Choice xmlns:a14="http://schemas.microsoft.com/office/drawing/2010/main" Requires="a14">
        <xdr:graphicFrame macro="">
          <xdr:nvGraphicFramePr>
            <xdr:cNvPr id="34" name="Sales Channel">
              <a:extLst>
                <a:ext uri="{FF2B5EF4-FFF2-40B4-BE49-F238E27FC236}">
                  <a16:creationId xmlns:a16="http://schemas.microsoft.com/office/drawing/2014/main" id="{594DA038-885E-F842-C342-61B519AABB02}"/>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11223625" y="1309688"/>
              <a:ext cx="3276599" cy="38893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0.27052</cdr:x>
      <cdr:y>0.53848</cdr:y>
    </cdr:from>
    <cdr:to>
      <cdr:x>0.46589</cdr:x>
      <cdr:y>0.69325</cdr:y>
    </cdr:to>
    <cdr:sp macro="" textlink="">
      <cdr:nvSpPr>
        <cdr:cNvPr id="2" name="TextBox 1">
          <a:extLst xmlns:a="http://schemas.openxmlformats.org/drawingml/2006/main">
            <a:ext uri="{FF2B5EF4-FFF2-40B4-BE49-F238E27FC236}">
              <a16:creationId xmlns:a16="http://schemas.microsoft.com/office/drawing/2014/main" id="{A8D40998-74E1-67C0-E4A7-89E8E956A45B}"/>
            </a:ext>
          </a:extLst>
        </cdr:cNvPr>
        <cdr:cNvSpPr txBox="1"/>
      </cdr:nvSpPr>
      <cdr:spPr>
        <a:xfrm xmlns:a="http://schemas.openxmlformats.org/drawingml/2006/main">
          <a:off x="1000126" y="1325563"/>
          <a:ext cx="722312" cy="3810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D"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Bukit" refreshedDate="46095.599043402777" createdVersion="8" refreshedVersion="8" minRefreshableVersion="3" recordCount="15" xr:uid="{21510800-233F-495C-A484-FC2C3BF1A1A7}">
  <cacheSource type="worksheet">
    <worksheetSource ref="A3:J18" sheet="Data"/>
  </cacheSource>
  <cacheFields count="10">
    <cacheField name="Order ID" numFmtId="0">
      <sharedItems containsSemiMixedTypes="0" containsString="0" containsNumber="1" containsInteger="1" minValue="1001" maxValue="1015"/>
    </cacheField>
    <cacheField name="Order Date" numFmtId="14">
      <sharedItems containsSemiMixedTypes="0" containsNonDate="0" containsDate="1" containsString="0" minDate="2026-01-03T00:00:00" maxDate="2026-01-31T00:00:00" count="15">
        <d v="2026-01-03T00:00:00"/>
        <d v="2026-01-05T00:00:00"/>
        <d v="2026-01-06T00:00:00"/>
        <d v="2026-01-08T00:00:00"/>
        <d v="2026-01-10T00:00:00"/>
        <d v="2026-01-12T00:00:00"/>
        <d v="2026-01-14T00:00:00"/>
        <d v="2026-01-16T00:00:00"/>
        <d v="2026-01-18T00:00:00"/>
        <d v="2026-01-20T00:00:00"/>
        <d v="2026-01-22T00:00:00"/>
        <d v="2026-01-24T00:00:00"/>
        <d v="2026-01-26T00:00:00"/>
        <d v="2026-01-28T00:00:00"/>
        <d v="2026-01-30T00:00:00"/>
      </sharedItems>
    </cacheField>
    <cacheField name="Region" numFmtId="0">
      <sharedItems count="4">
        <s v="Midwest"/>
        <s v="South"/>
        <s v="West"/>
        <s v="Northeast"/>
      </sharedItems>
    </cacheField>
    <cacheField name="Customer Age" numFmtId="0">
      <sharedItems containsSemiMixedTypes="0" containsString="0" containsNumber="1" containsInteger="1" minValue="23" maxValue="58"/>
    </cacheField>
    <cacheField name="Customer Segment" numFmtId="0">
      <sharedItems count="4">
        <s v="Professional"/>
        <s v="Retiree"/>
        <s v="Student"/>
        <s v="Small Business Owner"/>
      </sharedItems>
    </cacheField>
    <cacheField name="Product Category" numFmtId="0">
      <sharedItems count="4">
        <s v="Electronics"/>
        <s v="Home Appliances"/>
        <s v="Furniture"/>
        <s v="Office Supplies"/>
      </sharedItems>
    </cacheField>
    <cacheField name="Product Subcategory" numFmtId="0">
      <sharedItems/>
    </cacheField>
    <cacheField name="Sales Volume (000)" numFmtId="0">
      <sharedItems containsSemiMixedTypes="0" containsString="0" containsNumber="1" containsInteger="1" minValue="1" maxValue="10"/>
    </cacheField>
    <cacheField name="Revenue _x000a_($ 000)" numFmtId="0">
      <sharedItems containsSemiMixedTypes="0" containsString="0" containsNumber="1" containsInteger="1" minValue="150" maxValue="3500"/>
    </cacheField>
    <cacheField name="Sales Channel" numFmtId="0">
      <sharedItems count="2">
        <s v="Online"/>
        <s v="In-Store"/>
      </sharedItems>
    </cacheField>
  </cacheFields>
  <extLst>
    <ext xmlns:x14="http://schemas.microsoft.com/office/spreadsheetml/2009/9/main" uri="{725AE2AE-9491-48be-B2B4-4EB974FC3084}">
      <x14:pivotCacheDefinition pivotCacheId="5702994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01"/>
    <x v="0"/>
    <x v="0"/>
    <n v="34"/>
    <x v="0"/>
    <x v="0"/>
    <s v="Laptops"/>
    <n v="2"/>
    <n v="2400"/>
    <x v="0"/>
  </r>
  <r>
    <n v="1002"/>
    <x v="1"/>
    <x v="1"/>
    <n v="52"/>
    <x v="1"/>
    <x v="1"/>
    <s v="Air Purifiers"/>
    <n v="1"/>
    <n v="450"/>
    <x v="1"/>
  </r>
  <r>
    <n v="1003"/>
    <x v="2"/>
    <x v="2"/>
    <n v="28"/>
    <x v="2"/>
    <x v="0"/>
    <s v="Tablets"/>
    <n v="3"/>
    <n v="900"/>
    <x v="0"/>
  </r>
  <r>
    <n v="1004"/>
    <x v="3"/>
    <x v="3"/>
    <n v="45"/>
    <x v="0"/>
    <x v="2"/>
    <s v="Office Chairs"/>
    <n v="4"/>
    <n v="1200"/>
    <x v="1"/>
  </r>
  <r>
    <n v="1005"/>
    <x v="4"/>
    <x v="0"/>
    <n v="39"/>
    <x v="3"/>
    <x v="3"/>
    <s v="Printers"/>
    <n v="1"/>
    <n v="600"/>
    <x v="0"/>
  </r>
  <r>
    <n v="1006"/>
    <x v="5"/>
    <x v="1"/>
    <n v="31"/>
    <x v="0"/>
    <x v="0"/>
    <s v="Smartphones"/>
    <n v="5"/>
    <n v="3500"/>
    <x v="0"/>
  </r>
  <r>
    <n v="1007"/>
    <x v="6"/>
    <x v="2"/>
    <n v="23"/>
    <x v="2"/>
    <x v="3"/>
    <s v="Notebooks"/>
    <n v="10"/>
    <n v="150"/>
    <x v="1"/>
  </r>
  <r>
    <n v="1008"/>
    <x v="7"/>
    <x v="3"/>
    <n v="58"/>
    <x v="1"/>
    <x v="1"/>
    <s v="Microwaves"/>
    <n v="2"/>
    <n v="300"/>
    <x v="0"/>
  </r>
  <r>
    <n v="1009"/>
    <x v="8"/>
    <x v="0"/>
    <n v="41"/>
    <x v="0"/>
    <x v="2"/>
    <s v="Desks"/>
    <n v="2"/>
    <n v="1400"/>
    <x v="1"/>
  </r>
  <r>
    <n v="1010"/>
    <x v="9"/>
    <x v="1"/>
    <n v="36"/>
    <x v="3"/>
    <x v="0"/>
    <s v="Monitors"/>
    <n v="6"/>
    <n v="1800"/>
    <x v="0"/>
  </r>
  <r>
    <n v="1011"/>
    <x v="10"/>
    <x v="2"/>
    <n v="29"/>
    <x v="0"/>
    <x v="0"/>
    <s v="Headphones"/>
    <n v="8"/>
    <n v="800"/>
    <x v="0"/>
  </r>
  <r>
    <n v="1012"/>
    <x v="11"/>
    <x v="3"/>
    <n v="47"/>
    <x v="0"/>
    <x v="2"/>
    <s v="Bookshelves"/>
    <n v="3"/>
    <n v="900"/>
    <x v="1"/>
  </r>
  <r>
    <n v="1013"/>
    <x v="12"/>
    <x v="0"/>
    <n v="55"/>
    <x v="1"/>
    <x v="1"/>
    <s v="Refrigerators"/>
    <n v="1"/>
    <n v="1200"/>
    <x v="1"/>
  </r>
  <r>
    <n v="1014"/>
    <x v="13"/>
    <x v="1"/>
    <n v="32"/>
    <x v="2"/>
    <x v="0"/>
    <s v="Gaming Consoles"/>
    <n v="2"/>
    <n v="1000"/>
    <x v="0"/>
  </r>
  <r>
    <n v="1015"/>
    <x v="14"/>
    <x v="2"/>
    <n v="44"/>
    <x v="3"/>
    <x v="3"/>
    <s v="Shredders"/>
    <n v="3"/>
    <n v="45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5EFA17-DE13-44C0-B875-85366D7A0074}"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1:E6" firstHeaderRow="1" firstDataRow="1" firstDataCol="1"/>
  <pivotFields count="10">
    <pivotField showAll="0"/>
    <pivotField axis="axisRow" numFmtId="14" showAll="0">
      <items count="16">
        <item x="0"/>
        <item x="1"/>
        <item x="2"/>
        <item x="3"/>
        <item x="4"/>
        <item x="5"/>
        <item x="6"/>
        <item x="7"/>
        <item x="8"/>
        <item x="9"/>
        <item x="10"/>
        <item x="11"/>
        <item x="12"/>
        <item x="13"/>
        <item x="14"/>
        <item t="default"/>
      </items>
    </pivotField>
    <pivotField showAll="0">
      <items count="5">
        <item x="0"/>
        <item h="1" x="3"/>
        <item h="1" x="1"/>
        <item h="1" x="2"/>
        <item t="default"/>
      </items>
    </pivotField>
    <pivotField showAll="0"/>
    <pivotField showAll="0"/>
    <pivotField showAll="0"/>
    <pivotField showAll="0"/>
    <pivotField showAll="0"/>
    <pivotField dataField="1" showAll="0"/>
    <pivotField showAll="0">
      <items count="3">
        <item x="1"/>
        <item x="0"/>
        <item t="default"/>
      </items>
    </pivotField>
  </pivotFields>
  <rowFields count="1">
    <field x="1"/>
  </rowFields>
  <rowItems count="5">
    <i>
      <x/>
    </i>
    <i>
      <x v="4"/>
    </i>
    <i>
      <x v="8"/>
    </i>
    <i>
      <x v="12"/>
    </i>
    <i t="grand">
      <x/>
    </i>
  </rowItems>
  <colItems count="1">
    <i/>
  </colItems>
  <dataFields count="1">
    <dataField name="Sum of Revenue _x000a_($ 000)" fld="8" baseField="0" baseItem="0"/>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3CB30C-2F4E-46FF-851B-219AC019C98C}"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B12" firstHeaderRow="1" firstDataRow="1" firstDataCol="1"/>
  <pivotFields count="10">
    <pivotField showAll="0"/>
    <pivotField numFmtId="14" showAll="0"/>
    <pivotField showAll="0">
      <items count="5">
        <item x="0"/>
        <item h="1" x="3"/>
        <item h="1" x="1"/>
        <item h="1" x="2"/>
        <item t="default"/>
      </items>
    </pivotField>
    <pivotField showAll="0"/>
    <pivotField axis="axisRow" showAll="0">
      <items count="5">
        <item x="0"/>
        <item x="1"/>
        <item x="3"/>
        <item x="2"/>
        <item t="default"/>
      </items>
    </pivotField>
    <pivotField showAll="0"/>
    <pivotField showAll="0"/>
    <pivotField showAll="0"/>
    <pivotField dataField="1" showAll="0"/>
    <pivotField showAll="0">
      <items count="3">
        <item x="1"/>
        <item x="0"/>
        <item t="default"/>
      </items>
    </pivotField>
  </pivotFields>
  <rowFields count="1">
    <field x="4"/>
  </rowFields>
  <rowItems count="4">
    <i>
      <x/>
    </i>
    <i>
      <x v="1"/>
    </i>
    <i>
      <x v="2"/>
    </i>
    <i t="grand">
      <x/>
    </i>
  </rowItems>
  <colItems count="1">
    <i/>
  </colItems>
  <dataFields count="1">
    <dataField name="Sum of Revenue _x000a_($ 000)" fld="8" baseField="0" baseItem="0"/>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1"/>
          </reference>
        </references>
      </pivotArea>
    </chartFormat>
    <chartFormat chart="6" format="10">
      <pivotArea type="data" outline="0" fieldPosition="0">
        <references count="2">
          <reference field="4294967294" count="1" selected="0">
            <x v="0"/>
          </reference>
          <reference field="4" count="1" selected="0">
            <x v="2"/>
          </reference>
        </references>
      </pivotArea>
    </chartFormat>
    <chartFormat chart="6" format="1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F366A8-0E6E-4151-8FEA-154B53D5638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1:H6" firstHeaderRow="1" firstDataRow="1" firstDataCol="1"/>
  <pivotFields count="10">
    <pivotField showAll="0"/>
    <pivotField numFmtId="14" showAll="0"/>
    <pivotField showAll="0">
      <items count="5">
        <item x="0"/>
        <item h="1" x="3"/>
        <item h="1" x="1"/>
        <item h="1" x="2"/>
        <item t="default"/>
      </items>
    </pivotField>
    <pivotField showAll="0"/>
    <pivotField showAll="0"/>
    <pivotField axis="axisRow" showAll="0">
      <items count="5">
        <item x="0"/>
        <item x="2"/>
        <item x="1"/>
        <item x="3"/>
        <item t="default"/>
      </items>
    </pivotField>
    <pivotField showAll="0"/>
    <pivotField showAll="0"/>
    <pivotField dataField="1" showAll="0"/>
    <pivotField showAll="0">
      <items count="3">
        <item x="1"/>
        <item x="0"/>
        <item t="default"/>
      </items>
    </pivotField>
  </pivotFields>
  <rowFields count="1">
    <field x="5"/>
  </rowFields>
  <rowItems count="5">
    <i>
      <x/>
    </i>
    <i>
      <x v="1"/>
    </i>
    <i>
      <x v="2"/>
    </i>
    <i>
      <x v="3"/>
    </i>
    <i t="grand">
      <x/>
    </i>
  </rowItems>
  <colItems count="1">
    <i/>
  </colItems>
  <dataFields count="1">
    <dataField name="Sum of Revenue _x000a_($ 000)" fld="8" baseField="0" baseItem="0"/>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5"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065AAA-B97A-4E95-B750-7B07397E3697}"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3" firstHeaderRow="1" firstDataRow="1" firstDataCol="1"/>
  <pivotFields count="10">
    <pivotField showAll="0"/>
    <pivotField numFmtId="14" showAll="0"/>
    <pivotField axis="axisRow" showAll="0">
      <items count="5">
        <item x="0"/>
        <item h="1" x="3"/>
        <item h="1" x="1"/>
        <item h="1" x="2"/>
        <item t="default"/>
      </items>
    </pivotField>
    <pivotField showAll="0"/>
    <pivotField showAll="0"/>
    <pivotField showAll="0"/>
    <pivotField showAll="0"/>
    <pivotField showAll="0"/>
    <pivotField dataField="1" showAll="0"/>
    <pivotField showAll="0">
      <items count="3">
        <item x="1"/>
        <item x="0"/>
        <item t="default"/>
      </items>
    </pivotField>
  </pivotFields>
  <rowFields count="1">
    <field x="2"/>
  </rowFields>
  <rowItems count="2">
    <i>
      <x/>
    </i>
    <i t="grand">
      <x/>
    </i>
  </rowItems>
  <colItems count="1">
    <i/>
  </colItems>
  <dataFields count="1">
    <dataField name="Sum of Revenue _x000a_($ 000)" fld="8" baseField="0" baseItem="0"/>
  </dataFields>
  <chartFormats count="5">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2" count="1" selected="0">
            <x v="0"/>
          </reference>
        </references>
      </pivotArea>
    </chartFormat>
    <chartFormat chart="15" format="12">
      <pivotArea type="data" outline="0" fieldPosition="0">
        <references count="2">
          <reference field="4294967294" count="1" selected="0">
            <x v="0"/>
          </reference>
          <reference field="2" count="1" selected="0">
            <x v="1"/>
          </reference>
        </references>
      </pivotArea>
    </chartFormat>
    <chartFormat chart="15" format="13">
      <pivotArea type="data" outline="0" fieldPosition="0">
        <references count="2">
          <reference field="4294967294" count="1" selected="0">
            <x v="0"/>
          </reference>
          <reference field="2" count="1" selected="0">
            <x v="2"/>
          </reference>
        </references>
      </pivotArea>
    </chartFormat>
    <chartFormat chart="15"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43BB5A-6850-4AE6-95E9-101E791A93A9}" sourceName="Region">
  <pivotTables>
    <pivotTable tabId="3" name="PivotTable7"/>
    <pivotTable tabId="3" name="PivotTable1"/>
    <pivotTable tabId="3" name="PivotTable3"/>
    <pivotTable tabId="3" name="PivotTable4"/>
  </pivotTables>
  <data>
    <tabular pivotCacheId="570299423">
      <items count="4">
        <i x="0" s="1"/>
        <i x="3"/>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ED0A820-5A65-4DA7-B590-B4D712A89853}" sourceName="Sales Channel">
  <pivotTables>
    <pivotTable tabId="3" name="PivotTable7"/>
    <pivotTable tabId="3" name="PivotTable1"/>
    <pivotTable tabId="3" name="PivotTable3"/>
    <pivotTable tabId="3" name="PivotTable4"/>
  </pivotTables>
  <data>
    <tabular pivotCacheId="57029942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78991E6-ACF5-47A4-A282-6161BC3A2B2C}" cache="Slicer_Region" caption="Region" columnCount="4" showCaption="0" style="SlicerStyleLight5" rowHeight="241300"/>
  <slicer name="Sales Channel" xr10:uid="{CAB8A92A-B88F-45C9-A178-9B570076D65E}" cache="Slicer_Sales_Channel" caption="Sales Channel" columnCount="2" showCaption="0" style="SlicerStyleLigh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80BB8-166F-4EB7-AE57-F6E430A3DBDD}">
  <dimension ref="A1:J18"/>
  <sheetViews>
    <sheetView showGridLines="0" workbookViewId="0">
      <selection activeCell="B7" sqref="B7"/>
    </sheetView>
  </sheetViews>
  <sheetFormatPr defaultRowHeight="15.5" x14ac:dyDescent="0.35"/>
  <cols>
    <col min="1" max="10" width="12.15234375" style="5" customWidth="1"/>
  </cols>
  <sheetData>
    <row r="1" spans="1:10" ht="23" x14ac:dyDescent="0.35">
      <c r="A1" s="6" t="s">
        <v>39</v>
      </c>
      <c r="B1" s="7"/>
      <c r="C1" s="7"/>
      <c r="D1" s="7"/>
      <c r="E1" s="7"/>
      <c r="F1" s="7"/>
      <c r="G1" s="7"/>
      <c r="H1" s="7"/>
      <c r="I1" s="7"/>
      <c r="J1" s="8"/>
    </row>
    <row r="2" spans="1:10" x14ac:dyDescent="0.35">
      <c r="A2" s="2"/>
      <c r="B2" s="2"/>
      <c r="C2" s="2"/>
      <c r="D2" s="2"/>
      <c r="E2" s="2"/>
      <c r="F2" s="2"/>
      <c r="G2" s="2"/>
      <c r="H2" s="2"/>
      <c r="I2" s="2"/>
      <c r="J2" s="2"/>
    </row>
    <row r="3" spans="1:10" ht="46.5" x14ac:dyDescent="0.35">
      <c r="A3" s="1" t="s">
        <v>0</v>
      </c>
      <c r="B3" s="1" t="s">
        <v>1</v>
      </c>
      <c r="C3" s="1" t="s">
        <v>2</v>
      </c>
      <c r="D3" s="1" t="s">
        <v>3</v>
      </c>
      <c r="E3" s="1" t="s">
        <v>4</v>
      </c>
      <c r="F3" s="1" t="s">
        <v>5</v>
      </c>
      <c r="G3" s="1" t="s">
        <v>6</v>
      </c>
      <c r="H3" s="1" t="s">
        <v>37</v>
      </c>
      <c r="I3" s="1" t="s">
        <v>38</v>
      </c>
      <c r="J3" s="1" t="s">
        <v>7</v>
      </c>
    </row>
    <row r="4" spans="1:10" x14ac:dyDescent="0.35">
      <c r="A4" s="3">
        <v>1001</v>
      </c>
      <c r="B4" s="4" t="s">
        <v>47</v>
      </c>
      <c r="C4" s="3" t="s">
        <v>8</v>
      </c>
      <c r="D4" s="3">
        <v>34</v>
      </c>
      <c r="E4" s="3" t="s">
        <v>9</v>
      </c>
      <c r="F4" s="3" t="s">
        <v>10</v>
      </c>
      <c r="G4" s="3" t="s">
        <v>11</v>
      </c>
      <c r="H4" s="3">
        <v>2</v>
      </c>
      <c r="I4" s="3">
        <v>2400</v>
      </c>
      <c r="J4" s="3" t="s">
        <v>12</v>
      </c>
    </row>
    <row r="5" spans="1:10" ht="31" x14ac:dyDescent="0.35">
      <c r="A5" s="3">
        <v>1002</v>
      </c>
      <c r="B5" s="4" t="s">
        <v>48</v>
      </c>
      <c r="C5" s="3" t="s">
        <v>13</v>
      </c>
      <c r="D5" s="3">
        <v>52</v>
      </c>
      <c r="E5" s="3" t="s">
        <v>14</v>
      </c>
      <c r="F5" s="3" t="s">
        <v>15</v>
      </c>
      <c r="G5" s="3" t="s">
        <v>16</v>
      </c>
      <c r="H5" s="3">
        <v>1</v>
      </c>
      <c r="I5" s="3">
        <v>450</v>
      </c>
      <c r="J5" s="3" t="s">
        <v>17</v>
      </c>
    </row>
    <row r="6" spans="1:10" x14ac:dyDescent="0.35">
      <c r="A6" s="3">
        <v>1003</v>
      </c>
      <c r="B6" s="4" t="s">
        <v>49</v>
      </c>
      <c r="C6" s="3" t="s">
        <v>18</v>
      </c>
      <c r="D6" s="3">
        <v>28</v>
      </c>
      <c r="E6" s="3" t="s">
        <v>19</v>
      </c>
      <c r="F6" s="3" t="s">
        <v>10</v>
      </c>
      <c r="G6" s="3" t="s">
        <v>20</v>
      </c>
      <c r="H6" s="3">
        <v>3</v>
      </c>
      <c r="I6" s="3">
        <v>900</v>
      </c>
      <c r="J6" s="3" t="s">
        <v>12</v>
      </c>
    </row>
    <row r="7" spans="1:10" x14ac:dyDescent="0.35">
      <c r="A7" s="3">
        <v>1004</v>
      </c>
      <c r="B7" s="4" t="s">
        <v>50</v>
      </c>
      <c r="C7" s="3" t="s">
        <v>21</v>
      </c>
      <c r="D7" s="3">
        <v>45</v>
      </c>
      <c r="E7" s="3" t="s">
        <v>9</v>
      </c>
      <c r="F7" s="3" t="s">
        <v>22</v>
      </c>
      <c r="G7" s="3" t="s">
        <v>23</v>
      </c>
      <c r="H7" s="3">
        <v>4</v>
      </c>
      <c r="I7" s="3">
        <v>1200</v>
      </c>
      <c r="J7" s="3" t="s">
        <v>17</v>
      </c>
    </row>
    <row r="8" spans="1:10" ht="46.5" x14ac:dyDescent="0.35">
      <c r="A8" s="3">
        <v>1005</v>
      </c>
      <c r="B8" s="4" t="s">
        <v>51</v>
      </c>
      <c r="C8" s="3" t="s">
        <v>8</v>
      </c>
      <c r="D8" s="3">
        <v>39</v>
      </c>
      <c r="E8" s="3" t="s">
        <v>24</v>
      </c>
      <c r="F8" s="3" t="s">
        <v>25</v>
      </c>
      <c r="G8" s="3" t="s">
        <v>26</v>
      </c>
      <c r="H8" s="3">
        <v>1</v>
      </c>
      <c r="I8" s="3">
        <v>600</v>
      </c>
      <c r="J8" s="3" t="s">
        <v>12</v>
      </c>
    </row>
    <row r="9" spans="1:10" x14ac:dyDescent="0.35">
      <c r="A9" s="3">
        <v>1006</v>
      </c>
      <c r="B9" s="4" t="s">
        <v>52</v>
      </c>
      <c r="C9" s="3" t="s">
        <v>13</v>
      </c>
      <c r="D9" s="3">
        <v>31</v>
      </c>
      <c r="E9" s="3" t="s">
        <v>9</v>
      </c>
      <c r="F9" s="3" t="s">
        <v>10</v>
      </c>
      <c r="G9" s="3" t="s">
        <v>27</v>
      </c>
      <c r="H9" s="3">
        <v>5</v>
      </c>
      <c r="I9" s="3">
        <v>3500</v>
      </c>
      <c r="J9" s="3" t="s">
        <v>12</v>
      </c>
    </row>
    <row r="10" spans="1:10" ht="31" x14ac:dyDescent="0.35">
      <c r="A10" s="3">
        <v>1007</v>
      </c>
      <c r="B10" s="4" t="s">
        <v>53</v>
      </c>
      <c r="C10" s="3" t="s">
        <v>18</v>
      </c>
      <c r="D10" s="3">
        <v>23</v>
      </c>
      <c r="E10" s="3" t="s">
        <v>19</v>
      </c>
      <c r="F10" s="3" t="s">
        <v>25</v>
      </c>
      <c r="G10" s="3" t="s">
        <v>28</v>
      </c>
      <c r="H10" s="3">
        <v>10</v>
      </c>
      <c r="I10" s="3">
        <v>150</v>
      </c>
      <c r="J10" s="3" t="s">
        <v>17</v>
      </c>
    </row>
    <row r="11" spans="1:10" ht="31" x14ac:dyDescent="0.35">
      <c r="A11" s="3">
        <v>1008</v>
      </c>
      <c r="B11" s="4" t="s">
        <v>54</v>
      </c>
      <c r="C11" s="3" t="s">
        <v>21</v>
      </c>
      <c r="D11" s="3">
        <v>58</v>
      </c>
      <c r="E11" s="3" t="s">
        <v>14</v>
      </c>
      <c r="F11" s="3" t="s">
        <v>15</v>
      </c>
      <c r="G11" s="3" t="s">
        <v>29</v>
      </c>
      <c r="H11" s="3">
        <v>2</v>
      </c>
      <c r="I11" s="3">
        <v>300</v>
      </c>
      <c r="J11" s="3" t="s">
        <v>12</v>
      </c>
    </row>
    <row r="12" spans="1:10" x14ac:dyDescent="0.35">
      <c r="A12" s="3">
        <v>1009</v>
      </c>
      <c r="B12" s="4" t="s">
        <v>55</v>
      </c>
      <c r="C12" s="3" t="s">
        <v>8</v>
      </c>
      <c r="D12" s="3">
        <v>41</v>
      </c>
      <c r="E12" s="3" t="s">
        <v>9</v>
      </c>
      <c r="F12" s="3" t="s">
        <v>22</v>
      </c>
      <c r="G12" s="3" t="s">
        <v>30</v>
      </c>
      <c r="H12" s="3">
        <v>2</v>
      </c>
      <c r="I12" s="3">
        <v>1400</v>
      </c>
      <c r="J12" s="3" t="s">
        <v>17</v>
      </c>
    </row>
    <row r="13" spans="1:10" ht="46.5" x14ac:dyDescent="0.35">
      <c r="A13" s="3">
        <v>1010</v>
      </c>
      <c r="B13" s="4" t="s">
        <v>56</v>
      </c>
      <c r="C13" s="3" t="s">
        <v>13</v>
      </c>
      <c r="D13" s="3">
        <v>36</v>
      </c>
      <c r="E13" s="3" t="s">
        <v>24</v>
      </c>
      <c r="F13" s="3" t="s">
        <v>10</v>
      </c>
      <c r="G13" s="3" t="s">
        <v>31</v>
      </c>
      <c r="H13" s="3">
        <v>6</v>
      </c>
      <c r="I13" s="3">
        <v>1800</v>
      </c>
      <c r="J13" s="3" t="s">
        <v>12</v>
      </c>
    </row>
    <row r="14" spans="1:10" x14ac:dyDescent="0.35">
      <c r="A14" s="3">
        <v>1011</v>
      </c>
      <c r="B14" s="4" t="s">
        <v>57</v>
      </c>
      <c r="C14" s="3" t="s">
        <v>18</v>
      </c>
      <c r="D14" s="3">
        <v>29</v>
      </c>
      <c r="E14" s="3" t="s">
        <v>9</v>
      </c>
      <c r="F14" s="3" t="s">
        <v>10</v>
      </c>
      <c r="G14" s="3" t="s">
        <v>32</v>
      </c>
      <c r="H14" s="3">
        <v>8</v>
      </c>
      <c r="I14" s="3">
        <v>800</v>
      </c>
      <c r="J14" s="3" t="s">
        <v>12</v>
      </c>
    </row>
    <row r="15" spans="1:10" x14ac:dyDescent="0.35">
      <c r="A15" s="3">
        <v>1012</v>
      </c>
      <c r="B15" s="4" t="s">
        <v>58</v>
      </c>
      <c r="C15" s="3" t="s">
        <v>21</v>
      </c>
      <c r="D15" s="3">
        <v>47</v>
      </c>
      <c r="E15" s="3" t="s">
        <v>9</v>
      </c>
      <c r="F15" s="3" t="s">
        <v>22</v>
      </c>
      <c r="G15" s="3" t="s">
        <v>33</v>
      </c>
      <c r="H15" s="3">
        <v>3</v>
      </c>
      <c r="I15" s="3">
        <v>900</v>
      </c>
      <c r="J15" s="3" t="s">
        <v>17</v>
      </c>
    </row>
    <row r="16" spans="1:10" ht="31" x14ac:dyDescent="0.35">
      <c r="A16" s="3">
        <v>1013</v>
      </c>
      <c r="B16" s="4" t="s">
        <v>59</v>
      </c>
      <c r="C16" s="3" t="s">
        <v>8</v>
      </c>
      <c r="D16" s="3">
        <v>55</v>
      </c>
      <c r="E16" s="3" t="s">
        <v>14</v>
      </c>
      <c r="F16" s="3" t="s">
        <v>15</v>
      </c>
      <c r="G16" s="3" t="s">
        <v>34</v>
      </c>
      <c r="H16" s="3">
        <v>1</v>
      </c>
      <c r="I16" s="3">
        <v>1200</v>
      </c>
      <c r="J16" s="3" t="s">
        <v>17</v>
      </c>
    </row>
    <row r="17" spans="1:10" ht="31" x14ac:dyDescent="0.35">
      <c r="A17" s="3">
        <v>1014</v>
      </c>
      <c r="B17" s="4" t="s">
        <v>60</v>
      </c>
      <c r="C17" s="3" t="s">
        <v>13</v>
      </c>
      <c r="D17" s="3">
        <v>32</v>
      </c>
      <c r="E17" s="3" t="s">
        <v>19</v>
      </c>
      <c r="F17" s="3" t="s">
        <v>10</v>
      </c>
      <c r="G17" s="3" t="s">
        <v>35</v>
      </c>
      <c r="H17" s="3">
        <v>2</v>
      </c>
      <c r="I17" s="3">
        <v>1000</v>
      </c>
      <c r="J17" s="3" t="s">
        <v>12</v>
      </c>
    </row>
    <row r="18" spans="1:10" ht="46.5" x14ac:dyDescent="0.35">
      <c r="A18" s="3">
        <v>1015</v>
      </c>
      <c r="B18" s="4" t="s">
        <v>61</v>
      </c>
      <c r="C18" s="3" t="s">
        <v>18</v>
      </c>
      <c r="D18" s="3">
        <v>44</v>
      </c>
      <c r="E18" s="3" t="s">
        <v>24</v>
      </c>
      <c r="F18" s="3" t="s">
        <v>25</v>
      </c>
      <c r="G18" s="3" t="s">
        <v>36</v>
      </c>
      <c r="H18" s="3">
        <v>3</v>
      </c>
      <c r="I18" s="3">
        <v>450</v>
      </c>
      <c r="J18" s="3" t="s">
        <v>17</v>
      </c>
    </row>
  </sheetData>
  <mergeCells count="1">
    <mergeCell ref="A1:J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BA59C-CD8D-4CEE-88D5-08E8B2381384}">
  <dimension ref="A1:I21"/>
  <sheetViews>
    <sheetView zoomScale="90" zoomScaleNormal="90" workbookViewId="0">
      <selection activeCell="I2" sqref="I2"/>
    </sheetView>
  </sheetViews>
  <sheetFormatPr defaultRowHeight="15.5" x14ac:dyDescent="0.35"/>
  <cols>
    <col min="1" max="1" width="19.765625" bestFit="1" customWidth="1"/>
    <col min="2" max="2" width="23.3046875" bestFit="1" customWidth="1"/>
    <col min="4" max="4" width="13.23046875" bestFit="1" customWidth="1"/>
    <col min="5" max="5" width="23.3046875" bestFit="1" customWidth="1"/>
    <col min="6" max="6" width="9.921875" bestFit="1" customWidth="1"/>
    <col min="7" max="7" width="15.3828125" bestFit="1" customWidth="1"/>
    <col min="8" max="8" width="23.3046875" bestFit="1" customWidth="1"/>
    <col min="9" max="19" width="9.921875" bestFit="1" customWidth="1"/>
    <col min="20" max="20" width="11.3046875" bestFit="1" customWidth="1"/>
  </cols>
  <sheetData>
    <row r="1" spans="1:9" x14ac:dyDescent="0.35">
      <c r="A1" s="9" t="s">
        <v>40</v>
      </c>
      <c r="B1" t="s">
        <v>42</v>
      </c>
      <c r="D1" s="9" t="s">
        <v>40</v>
      </c>
      <c r="E1" t="s">
        <v>42</v>
      </c>
      <c r="G1" s="9" t="s">
        <v>40</v>
      </c>
      <c r="H1" t="s">
        <v>42</v>
      </c>
    </row>
    <row r="2" spans="1:9" x14ac:dyDescent="0.35">
      <c r="A2" s="10" t="s">
        <v>8</v>
      </c>
      <c r="B2" s="11">
        <v>5600</v>
      </c>
      <c r="D2" s="12">
        <v>46025</v>
      </c>
      <c r="E2" s="11">
        <v>2400</v>
      </c>
      <c r="G2" s="10" t="s">
        <v>10</v>
      </c>
      <c r="H2" s="11">
        <v>2400</v>
      </c>
      <c r="I2" t="str">
        <f>INDEX(G2:G5,MATCH(MAX(H2:H5),H2:H5,0))</f>
        <v>Electronics</v>
      </c>
    </row>
    <row r="3" spans="1:9" x14ac:dyDescent="0.35">
      <c r="A3" s="10" t="s">
        <v>41</v>
      </c>
      <c r="B3" s="11">
        <v>5600</v>
      </c>
      <c r="D3" s="12">
        <v>46032</v>
      </c>
      <c r="E3" s="11">
        <v>600</v>
      </c>
      <c r="G3" s="10" t="s">
        <v>22</v>
      </c>
      <c r="H3" s="11">
        <v>1400</v>
      </c>
      <c r="I3">
        <f>MAX(H2:H3)</f>
        <v>2400</v>
      </c>
    </row>
    <row r="4" spans="1:9" x14ac:dyDescent="0.35">
      <c r="D4" s="12">
        <v>46040</v>
      </c>
      <c r="E4" s="11">
        <v>1400</v>
      </c>
      <c r="G4" s="10" t="s">
        <v>15</v>
      </c>
      <c r="H4" s="11">
        <v>1200</v>
      </c>
    </row>
    <row r="5" spans="1:9" x14ac:dyDescent="0.35">
      <c r="D5" s="12">
        <v>46048</v>
      </c>
      <c r="E5" s="11">
        <v>1200</v>
      </c>
      <c r="G5" s="10" t="s">
        <v>25</v>
      </c>
      <c r="H5" s="11">
        <v>600</v>
      </c>
    </row>
    <row r="6" spans="1:9" x14ac:dyDescent="0.35">
      <c r="D6" s="12" t="s">
        <v>41</v>
      </c>
      <c r="E6" s="11">
        <v>5600</v>
      </c>
      <c r="G6" s="10" t="s">
        <v>41</v>
      </c>
      <c r="H6" s="11">
        <v>5600</v>
      </c>
    </row>
    <row r="8" spans="1:9" x14ac:dyDescent="0.35">
      <c r="A8" s="9" t="s">
        <v>40</v>
      </c>
      <c r="B8" t="s">
        <v>42</v>
      </c>
    </row>
    <row r="9" spans="1:9" x14ac:dyDescent="0.35">
      <c r="A9" s="10" t="s">
        <v>9</v>
      </c>
      <c r="B9" s="11">
        <v>3800</v>
      </c>
    </row>
    <row r="10" spans="1:9" x14ac:dyDescent="0.35">
      <c r="A10" s="10" t="s">
        <v>14</v>
      </c>
      <c r="B10" s="11">
        <v>1200</v>
      </c>
    </row>
    <row r="11" spans="1:9" x14ac:dyDescent="0.35">
      <c r="A11" s="10" t="s">
        <v>24</v>
      </c>
      <c r="B11" s="11">
        <v>600</v>
      </c>
    </row>
    <row r="12" spans="1:9" x14ac:dyDescent="0.35">
      <c r="A12" s="10" t="s">
        <v>41</v>
      </c>
      <c r="B12" s="11">
        <v>5600</v>
      </c>
    </row>
    <row r="20" spans="1:5" x14ac:dyDescent="0.35">
      <c r="A20" t="s">
        <v>43</v>
      </c>
      <c r="B20" t="s">
        <v>44</v>
      </c>
      <c r="C20" t="s">
        <v>45</v>
      </c>
      <c r="E20" t="s">
        <v>46</v>
      </c>
    </row>
    <row r="21" spans="1:5" x14ac:dyDescent="0.35">
      <c r="A21" s="5">
        <f>COUNTA(Data!A4:A18)</f>
        <v>15</v>
      </c>
      <c r="B21" s="5">
        <f>AVERAGE(Data!D4:D18)</f>
        <v>39.6</v>
      </c>
      <c r="C21" s="5">
        <f>SUM(Data!I4:I18)</f>
        <v>17050</v>
      </c>
      <c r="E21" s="5">
        <f>SUM(Data!H4:H18)</f>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D597B-A08C-4A61-94D6-28D43D33A84C}">
  <dimension ref="H3"/>
  <sheetViews>
    <sheetView showGridLines="0" tabSelected="1" zoomScale="80" zoomScaleNormal="80" workbookViewId="0">
      <selection activeCell="H4" sqref="H4"/>
    </sheetView>
  </sheetViews>
  <sheetFormatPr defaultRowHeight="15.5" x14ac:dyDescent="0.35"/>
  <sheetData>
    <row r="3" spans="8:8" ht="30" x14ac:dyDescent="0.6">
      <c r="H3" s="13" t="s">
        <v>62</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Data</vt:lpstr>
      <vt:lpstr>breakdown</vt:lpstr>
      <vt:lpstr>Dashboard</vt:lpstr>
      <vt:lpstr>avgage</vt:lpstr>
      <vt:lpstr>avgcust</vt:lpstr>
      <vt:lpstr>items</vt:lpstr>
      <vt:lpstr>maxproduct</vt:lpstr>
      <vt:lpstr>maxproductrev</vt:lpstr>
      <vt:lpstr>revenue</vt:lpstr>
    </vt:vector>
  </TitlesOfParts>
  <Company>Franklin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Kristin Martin</dc:creator>
  <cp:lastModifiedBy>Robert Bukit</cp:lastModifiedBy>
  <dcterms:created xsi:type="dcterms:W3CDTF">2026-02-12T14:47:08Z</dcterms:created>
  <dcterms:modified xsi:type="dcterms:W3CDTF">2026-03-14T10:20:38Z</dcterms:modified>
</cp:coreProperties>
</file>