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rober\Downloads\"/>
    </mc:Choice>
  </mc:AlternateContent>
  <xr:revisionPtr revIDLastSave="0" documentId="13_ncr:1_{10121A56-4E18-4DD9-8E48-F063D46AFF70}" xr6:coauthVersionLast="47" xr6:coauthVersionMax="47" xr10:uidLastSave="{00000000-0000-0000-0000-000000000000}"/>
  <bookViews>
    <workbookView xWindow="-110" yWindow="-110" windowWidth="19420" windowHeight="11500" activeTab="2" xr2:uid="{00000000-000D-0000-FFFF-FFFF00000000}"/>
  </bookViews>
  <sheets>
    <sheet name="Dashboard" sheetId="5" r:id="rId1"/>
    <sheet name="Pivot" sheetId="6" r:id="rId2"/>
    <sheet name="Improve_Dashboard" sheetId="7" r:id="rId3"/>
    <sheet name="Data" sheetId="1" r:id="rId4"/>
    <sheet name="Accounts" sheetId="2" r:id="rId5"/>
    <sheet name="Top_Accounts" sheetId="3" r:id="rId6"/>
    <sheet name="Segment_Summary" sheetId="4" r:id="rId7"/>
  </sheets>
  <definedNames>
    <definedName name="Slicer_Months__Date">#N/A</definedName>
  </definedNames>
  <calcPr calcId="191029"/>
  <pivotCaches>
    <pivotCache cacheId="9"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7" i="1" l="1" a="1"/>
  <c r="G7"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<sst xmlns="http://schemas.openxmlformats.org/spreadsheetml/2006/main" count="154" uniqueCount="102">
  <si>
    <t>Date</t>
  </si>
  <si>
    <t>Engagement_Score</t>
  </si>
  <si>
    <t>Segment</t>
  </si>
  <si>
    <t>Accounts_Active</t>
  </si>
  <si>
    <t>Churn_Risk_Index</t>
  </si>
  <si>
    <t>Response_Time_Days</t>
  </si>
  <si>
    <t>New</t>
  </si>
  <si>
    <t>Dormant</t>
  </si>
  <si>
    <t>Unknown</t>
  </si>
  <si>
    <t>Standard</t>
  </si>
  <si>
    <t>Emerging</t>
  </si>
  <si>
    <t>High Value</t>
  </si>
  <si>
    <t>Other</t>
  </si>
  <si>
    <t>N/A</t>
  </si>
  <si>
    <t>At-Risk</t>
  </si>
  <si>
    <t>Acct</t>
  </si>
  <si>
    <t>Eng</t>
  </si>
  <si>
    <t>Rev</t>
  </si>
  <si>
    <t>Resp</t>
  </si>
  <si>
    <t>A12</t>
  </si>
  <si>
    <t>A03</t>
  </si>
  <si>
    <t>A09</t>
  </si>
  <si>
    <t>A01</t>
  </si>
  <si>
    <t>3 days</t>
  </si>
  <si>
    <t>Account</t>
  </si>
  <si>
    <t>Engagement</t>
  </si>
  <si>
    <t>A1</t>
  </si>
  <si>
    <t>A2</t>
  </si>
  <si>
    <t>A3</t>
  </si>
  <si>
    <t>A4</t>
  </si>
  <si>
    <t>A5</t>
  </si>
  <si>
    <t>A6</t>
  </si>
  <si>
    <t>A7</t>
  </si>
  <si>
    <t>A8</t>
  </si>
  <si>
    <t>A9</t>
  </si>
  <si>
    <t>A10</t>
  </si>
  <si>
    <t>Count</t>
  </si>
  <si>
    <t>Last updated: 02-7-25</t>
  </si>
  <si>
    <t>Region</t>
  </si>
  <si>
    <t>Territory</t>
  </si>
  <si>
    <t>Client</t>
  </si>
  <si>
    <t>Date Range</t>
  </si>
  <si>
    <t>Segment (HV?)</t>
  </si>
  <si>
    <t>West ▼</t>
  </si>
  <si>
    <t>Top 50 ▼</t>
  </si>
  <si>
    <t>1/1/25 - 2/07/2025 ▼</t>
  </si>
  <si>
    <t>Standard ▼</t>
  </si>
  <si>
    <t>Active accts</t>
  </si>
  <si>
    <t>Churn Risk</t>
  </si>
  <si>
    <t>Response Time</t>
  </si>
  <si>
    <t>73</t>
  </si>
  <si>
    <t>1,204</t>
  </si>
  <si>
    <t>0.37</t>
  </si>
  <si>
    <t>4.2</t>
  </si>
  <si>
    <t>score</t>
  </si>
  <si>
    <t>index</t>
  </si>
  <si>
    <t>days</t>
  </si>
  <si>
    <t xml:space="preserve">Client Engagement Dashboard </t>
  </si>
  <si>
    <t>z</t>
  </si>
  <si>
    <t>Row Labels</t>
  </si>
  <si>
    <t>Grand Total</t>
  </si>
  <si>
    <t>Jan</t>
  </si>
  <si>
    <t>Feb</t>
  </si>
  <si>
    <t>Sum of Engagement_Score</t>
  </si>
  <si>
    <t>01-Jan</t>
  </si>
  <si>
    <t>02-Jan</t>
  </si>
  <si>
    <t>03-Jan</t>
  </si>
  <si>
    <t>04-Jan</t>
  </si>
  <si>
    <t>05-Jan</t>
  </si>
  <si>
    <t>06-Jan</t>
  </si>
  <si>
    <t>07-Jan</t>
  </si>
  <si>
    <t>08-Jan</t>
  </si>
  <si>
    <t>09-Jan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</si>
  <si>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</si>
  <si>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</si>
  <si>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</si>
  <si>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</si>
  <si>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</si>
  <si>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</si>
  <si>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</si>
  <si>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</si>
  <si>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</si>
  <si>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</si>
  <si>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</si>
  <si>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</si>
  <si>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</si>
  <si>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</si>
  <si>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</si>
  <si>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</si>
  <si>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</si>
  <si>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</si>
  <si>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</si>
  <si>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</si>
  <si>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</si>
  <si>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</si>
  <si>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01-Feb</t>
  </si>
  <si>
    <t>02-Feb</t>
  </si>
  <si>
    <t>03-Feb</t>
  </si>
  <si>
    <t>04-Feb</t>
  </si>
  <si>
    <t>05-Feb</t>
  </si>
  <si>
    <t>06-Feb</t>
  </si>
  <si>
    <t>07-Feb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</si>
</sst>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2">
    <font>
      <sz val="11"/>
      <color theme="1"/>
      <name val="Calibri"/>
      <family val="2"/>
      <scheme val="minor"/>
    </font>
    <font>
      <b/>
      <sz val="18"/>
      <color rgb="FFFFFFFF"/>
      <name val="Calibri"/>
    </font>
    <font>
      <sz val="11"/>
      <color rgb="FFD2E6F5"/>
      <name val="Calibri"/>
    </font>
    <font>
      <sz val="9"/>
      <color rgb="FF444444"/>
      <name val="Calibri"/>
    </font>
    <font>
      <sz val="10"/>
      <color rgb="FF333333"/>
      <name val="Calibri"/>
    </font>
    <font>
      <sz val="10"/>
      <color rgb="FF777777"/>
      <name val="Calibri"/>
    </font>
    <font>
      <b/>
      <sz val="22"/>
      <color rgb="FF222222"/>
      <name val="Calibri"/>
    </font>
    <font>
      <sz val="9"/>
      <color rgb="FF888888"/>
      <name val="Calibri"/>
    </font>
    <font>
      <b/>
      <sz val="22"/>
      <color rgb="FFAAAAAA"/>
      <name val="Calibri"/>
    </font>
    <font>
      <b/>
      <sz val="12"/>
      <name val="Calibri"/>
    </font>
    <font>
      <sz val="9"/>
      <name val="Calibri"/>
    </font>
    <font>
      <sz val="8"/>
      <color rgb="FFB4B4B4"/>
      <name val="Calibri"/>
    </font>
  </fonts>
  <fills count="6">
    <fill>
      <patternFill patternType="none"/>
    </fill>
    <fill>
      <patternFill patternType="gray125"/>
    </fill>
    <fill>
      <patternFill patternType="solid">
        <fgColor rgb="FF1F4E79"/>
      </patternFill>
    </fill>
    <fill>
      <patternFill patternType="solid">
        <fgColor rgb="FFF2F2F2"/>
      </patternFill>
    </fill>
    <fill>
      <patternFill patternType="solid">
        <fgColor rgb="FFFFFFFF"/>
      </patternFill>
    </fill>
    <fill>
      <patternFill patternType="solid">
        <fgColor rgb="FFEBF0F5"/>
      </patternFill>
    </fill>
  </fills>
  <borders count="3">
    <border>
      <left/>
      <right/>
      <top/>
      <bottom/>
      <diagonal/>
    </border>
    <border>
      <left style="thin">
        <color rgb="FFC8CDD4"/>
      </left>
      <right style="thin">
        <color rgb="FFC8CDD4"/>
      </right>
      <top style="thin">
        <color rgb="FFC8CDD4"/>
      </top>
      <bottom style="thin">
        <color rgb="FFC8CDD4"/>
      </bottom>
      <diagonal/>
    </border>
    <border>
      <left style="thin">
        <color rgb="FFD7DCE4"/>
      </left>
      <right style="thin">
        <color rgb="FFD7DCE4"/>
      </right>
      <top style="thin">
        <color rgb="FFD7DCE4"/>
      </top>
      <bottom style="thin">
        <color rgb="FFD7DCE4"/>
      </bottom>
      <diagonal/>
    </border>
  </borders>
  <cellStyleXfs count="1">
    <xf numFmtId="0" fontId="0" fillId="0" borderId="0"/>
  </cellStyleXfs>
  <cellXfs count="23">
    <xf numFmtId="0" fontId="0" fillId="0" borderId="0" xfId="0"/>
    <xf numFmtId="164" fontId="0" fillId="0" borderId="0" xfId="0" applyNumberFormat="1"/>
    <xf numFmtId="0" fontId="3" fillId="0" borderId="0" xfId="0" applyFont="1"/>
    <xf numFmtId="0" fontId="4" fillId="3" borderId="1" xfId="0" applyFont="1" applyFill="1" applyBorder="1"/>
    <xf numFmtId="0" fontId="5" fillId="4" borderId="2" xfId="0" applyFont="1" applyFill="1" applyBorder="1"/>
    <xf numFmtId="0" fontId="0" fillId="4" borderId="2" xfId="0" applyFill="1" applyBorder="1"/>
    <xf numFmtId="0" fontId="5" fillId="5" borderId="2" xfId="0" applyFont="1" applyFill="1" applyBorder="1"/>
    <xf numFmtId="0" fontId="0" fillId="5" borderId="2" xfId="0" applyFill="1" applyBorder="1"/>
    <xf numFmtId="0" fontId="6" fillId="4" borderId="2" xfId="0" applyFont="1" applyFill="1" applyBorder="1"/>
    <xf numFmtId="0" fontId="8" fillId="5" borderId="2" xfId="0" applyFont="1" applyFill="1" applyBorder="1"/>
    <xf numFmtId="0" fontId="7" fillId="4" borderId="2" xfId="0" applyFont="1" applyFill="1" applyBorder="1"/>
    <xf numFmtId="0" fontId="7" fillId="5" borderId="2" xfId="0" applyFont="1" applyFill="1" applyBorder="1"/>
    <xf numFmtId="0" fontId="9" fillId="0" borderId="0" xfId="0" applyFont="1"/>
    <xf numFmtId="0" fontId="10" fillId="0" borderId="0" xfId="0" applyFont="1" applyAlignment="1">
      <alignment horizontal="left"/>
    </xf>
    <xf numFmtId="0" fontId="2" fillId="2" borderId="0" xfId="0" applyFont="1" applyFill="1" applyAlignment="1">
      <alignment horizontal="right" vertical="center"/>
    </xf>
    <xf numFmtId="0" fontId="0" fillId="2" borderId="0" xfId="0" applyFill="1"/>
    <xf numFmtId="0" fontId="11" fillId="0" borderId="0" xfId="0" applyFont="1"/>
    <xf numFmtId="0" fontId="0" fillId="0" borderId="0" xfId="0"/>
    <xf numFmtId="0" fontId="1" fillId="2" borderId="0" xfId="0" applyFont="1" applyFill="1" applyAlignment="1">
      <alignment horizontal="left" vertical="center"/>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Engagement Trend (Score)</a:t>
            </a:r>
          </a:p>
        </c:rich>
      </c:tx>
      <c:overlay val="1"/>
    </c:title>
    <c:autoTitleDeleted val="0"/>
    <c:plotArea>
      <c:layout>
        <c:manualLayout>
          <c:layoutTarget val="inner"/>
          <c:xMode val="edge"/>
          <c:yMode val="edge"/>
          <c:x val="2.8663194444444446E-2"/>
          <c:y val="4.8506944444444443E-2"/>
          <c:w val="0.79789253472222221"/>
          <c:h val="0.90298611111111116"/>
        </c:manualLayout>
      </c:layout>
      <c:barChart>
        <c:barDir val="col"/>
        <c:grouping val="clustered"/>
        <c:varyColors val="1"/>
        <c:ser>
          <c:idx val="0"/>
          <c:order val="0"/>
          <c:tx>
            <c:strRef>
              <c:f>Data!$B$1</c:f>
              <c:strCache>
                <c:ptCount val="1"/>
                <c:pt idx="0">
                  <c:v>Engagement_Score</c:v>
                </c:pt>
              </c:strCache>
            </c:strRef>
          </c:tx>
          <c:spPr>
            <a:ln>
              <a:prstDash val="solid"/>
            </a:ln>
          </c:spPr>
          <c:invertIfNegative val="1"/>
          <c:dLbls>
            <c:delete val="1"/>
          </c:dLbls>
          <c:cat>
            <c:numRef>
              <c:f>Data!$A$2:$A$39</c:f>
              <c:numCache>
                <c:formatCode>yyyy\-mm\-dd</c:formatCode>
                <c:ptCount val="38"/>
                <c:pt idx="0">
                  <c:v>45658</c:v>
                </c:pt>
                <c:pt idx="1">
                  <c:v>45659</c:v>
                </c:pt>
                <c:pt idx="2">
                  <c:v>45660</c:v>
                </c:pt>
                <c:pt idx="3">
                  <c:v>45661</c:v>
                </c:pt>
                <c:pt idx="4">
                  <c:v>45662</c:v>
                </c:pt>
                <c:pt idx="5">
                  <c:v>45663</c:v>
                </c:pt>
                <c:pt idx="6">
                  <c:v>45664</c:v>
                </c:pt>
                <c:pt idx="7">
                  <c:v>45665</c:v>
                </c:pt>
                <c:pt idx="8">
                  <c:v>45666</c:v>
                </c:pt>
                <c:pt idx="9">
                  <c:v>45667</c:v>
                </c:pt>
                <c:pt idx="10">
                  <c:v>45668</c:v>
                </c:pt>
                <c:pt idx="11">
                  <c:v>45669</c:v>
                </c:pt>
                <c:pt idx="12">
                  <c:v>45670</c:v>
                </c:pt>
                <c:pt idx="13">
                  <c:v>45671</c:v>
                </c:pt>
                <c:pt idx="14">
                  <c:v>45672</c:v>
                </c:pt>
                <c:pt idx="15">
                  <c:v>45673</c:v>
                </c:pt>
                <c:pt idx="16">
                  <c:v>45674</c:v>
                </c:pt>
                <c:pt idx="17">
                  <c:v>45675</c:v>
                </c:pt>
                <c:pt idx="18">
                  <c:v>45676</c:v>
                </c:pt>
                <c:pt idx="19">
                  <c:v>45677</c:v>
                </c:pt>
                <c:pt idx="20">
                  <c:v>45678</c:v>
                </c:pt>
                <c:pt idx="21">
                  <c:v>45679</c:v>
                </c:pt>
                <c:pt idx="22">
                  <c:v>45680</c:v>
                </c:pt>
                <c:pt idx="23">
                  <c:v>45681</c:v>
                </c:pt>
                <c:pt idx="24">
                  <c:v>45682</c:v>
                </c:pt>
                <c:pt idx="25">
                  <c:v>45683</c:v>
                </c:pt>
                <c:pt idx="26">
                  <c:v>45684</c:v>
                </c:pt>
                <c:pt idx="27">
                  <c:v>45685</c:v>
                </c:pt>
                <c:pt idx="28">
                  <c:v>45686</c:v>
                </c:pt>
                <c:pt idx="29">
                  <c:v>45687</c:v>
                </c:pt>
                <c:pt idx="30">
                  <c:v>45688</c:v>
                </c:pt>
                <c:pt idx="31">
                  <c:v>45689</c:v>
                </c:pt>
                <c:pt idx="32">
                  <c:v>45690</c:v>
                </c:pt>
                <c:pt idx="33">
                  <c:v>45691</c:v>
                </c:pt>
                <c:pt idx="34">
                  <c:v>45692</c:v>
                </c:pt>
                <c:pt idx="35">
                  <c:v>45693</c:v>
                </c:pt>
                <c:pt idx="36">
                  <c:v>45694</c:v>
                </c:pt>
                <c:pt idx="37">
                  <c:v>45695</c:v>
                </c:pt>
              </c:numCache>
            </c:numRef>
          </c:cat>
          <c:val>
            <c:numRef>
              <c:f>Data!$B$2:$B$39</c:f>
              <c:numCache>
                <c:formatCode>General</c:formatCode>
                <c:ptCount val="38"/>
                <c:pt idx="0">
                  <c:v>67</c:v>
                </c:pt>
                <c:pt idx="1">
                  <c:v>66</c:v>
                </c:pt>
                <c:pt idx="2">
                  <c:v>95</c:v>
                </c:pt>
                <c:pt idx="3">
                  <c:v>60</c:v>
                </c:pt>
                <c:pt idx="4">
                  <c:v>60</c:v>
                </c:pt>
                <c:pt idx="5">
                  <c:v>82</c:v>
                </c:pt>
                <c:pt idx="6">
                  <c:v>64</c:v>
                </c:pt>
                <c:pt idx="7">
                  <c:v>89</c:v>
                </c:pt>
                <c:pt idx="8">
                  <c:v>79</c:v>
                </c:pt>
                <c:pt idx="9">
                  <c:v>87</c:v>
                </c:pt>
                <c:pt idx="10">
                  <c:v>67</c:v>
                </c:pt>
                <c:pt idx="11">
                  <c:v>91</c:v>
                </c:pt>
                <c:pt idx="12">
                  <c:v>90</c:v>
                </c:pt>
                <c:pt idx="13">
                  <c:v>68</c:v>
                </c:pt>
                <c:pt idx="14">
                  <c:v>66</c:v>
                </c:pt>
                <c:pt idx="15">
                  <c:v>67</c:v>
                </c:pt>
                <c:pt idx="16">
                  <c:v>94</c:v>
                </c:pt>
                <c:pt idx="17">
                  <c:v>95</c:v>
                </c:pt>
                <c:pt idx="18">
                  <c:v>87</c:v>
                </c:pt>
                <c:pt idx="19">
                  <c:v>69</c:v>
                </c:pt>
                <c:pt idx="20">
                  <c:v>72</c:v>
                </c:pt>
                <c:pt idx="21">
                  <c:v>91</c:v>
                </c:pt>
                <c:pt idx="22">
                  <c:v>78</c:v>
                </c:pt>
                <c:pt idx="23">
                  <c:v>92</c:v>
                </c:pt>
                <c:pt idx="24">
                  <c:v>87</c:v>
                </c:pt>
                <c:pt idx="25">
                  <c:v>91</c:v>
                </c:pt>
                <c:pt idx="26">
                  <c:v>69</c:v>
                </c:pt>
                <c:pt idx="27">
                  <c:v>94</c:v>
                </c:pt>
                <c:pt idx="28">
                  <c:v>62</c:v>
                </c:pt>
                <c:pt idx="29">
                  <c:v>82</c:v>
                </c:pt>
                <c:pt idx="30">
                  <c:v>91</c:v>
                </c:pt>
                <c:pt idx="31">
                  <c:v>92</c:v>
                </c:pt>
                <c:pt idx="32">
                  <c:v>68</c:v>
                </c:pt>
                <c:pt idx="33">
                  <c:v>93</c:v>
                </c:pt>
                <c:pt idx="34">
                  <c:v>64</c:v>
                </c:pt>
                <c:pt idx="35">
                  <c:v>61</c:v>
                </c:pt>
                <c:pt idx="36">
                  <c:v>88</c:v>
                </c:pt>
                <c:pt idx="37">
                  <c:v>70</c:v>
                </c:pt>
              </c:numCache>
            </c:numRef>
          </c:val>
          <c:extLst>
            <c:ext xmlns:c16="http://schemas.microsoft.com/office/drawing/2014/chart" uri="{C3380CC4-5D6E-409C-BE32-E72D297353CC}">
              <c16:uniqueId val="{00000000-25B6-4247-A8BA-12AFE06227CE}"/>
            </c:ext>
          </c:extLst>
        </c:ser>
        <c:dLbls>
          <c:showLegendKey val="1"/>
          <c:showVal val="0"/>
          <c:showCatName val="1"/>
          <c:showSerName val="1"/>
          <c:showPercent val="1"/>
          <c:showBubbleSize val="1"/>
        </c:dLbls>
        <c:gapWidth val="150"/>
        <c:axId val="10"/>
        <c:axId val="100"/>
      </c:barChart>
      <c:dateAx>
        <c:axId val="10"/>
        <c:scaling>
          <c:orientation val="minMax"/>
        </c:scaling>
        <c:delete val="1"/>
        <c:axPos val="b"/>
        <c:title>
          <c:tx>
            <c:rich>
              <a:bodyPr/>
              <a:lstStyle/>
              <a:p>
                <a:pPr>
                  <a:defRPr/>
                </a:pPr>
                <a:endParaRPr lang="en-US"/>
              </a:p>
            </c:rich>
          </c:tx>
          <c:overlay val="1"/>
        </c:title>
        <c:numFmt formatCode="yyyy\-mm\-dd" sourceLinked="1"/>
        <c:majorTickMark val="none"/>
        <c:minorTickMark val="none"/>
        <c:tickLblPos val="nextTo"/>
        <c:crossAx val="100"/>
        <c:crosses val="autoZero"/>
        <c:auto val="1"/>
        <c:lblOffset val="100"/>
        <c:baseTimeUnit val="days"/>
      </c:dateAx>
      <c:valAx>
        <c:axId val="100"/>
        <c:scaling>
          <c:orientation val="minMax"/>
        </c:scaling>
        <c:delete val="1"/>
        <c:axPos val="l"/>
        <c:majorGridlines/>
        <c:title>
          <c:tx>
            <c:rich>
              <a:bodyPr/>
              <a:lstStyle/>
              <a:p>
                <a:pPr>
                  <a:defRPr/>
                </a:pPr>
                <a:endParaRPr lang="en-US"/>
              </a:p>
            </c:rich>
          </c:tx>
          <c:overlay val="1"/>
        </c:title>
        <c:numFmt formatCode="General" sourceLinked="1"/>
        <c:majorTickMark val="none"/>
        <c:minorTickMark val="none"/>
        <c:tickLblPos val="nextTo"/>
        <c:crossAx val="10"/>
        <c:crosses val="autoZero"/>
        <c:crossBetween val="between"/>
      </c:valAx>
    </c:plotArea>
    <c:legend>
      <c:legendPos val="r"/>
      <c:overlay val="0"/>
      <c:txPr>
        <a:bodyPr/>
        <a:lstStyle/>
        <a:p>
          <a:pPr rtl="0">
            <a:defRPr/>
          </a:pPr>
          <a:endParaRPr lang="en-US"/>
        </a:p>
      </c:txPr>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Engagement by Segment</a:t>
            </a:r>
          </a:p>
        </c:rich>
      </c:tx>
      <c:layout>
        <c:manualLayout>
          <c:xMode val="edge"/>
          <c:yMode val="edge"/>
          <c:x val="0.36290158730158734"/>
          <c:y val="4.409722222222222E-3"/>
        </c:manualLayout>
      </c:layout>
      <c:overlay val="1"/>
    </c:title>
    <c:autoTitleDeleted val="0"/>
    <c:plotArea>
      <c:layout/>
      <c:pieChart>
        <c:varyColors val="1"/>
        <c:ser>
          <c:idx val="0"/>
          <c:order val="0"/>
          <c:tx>
            <c:strRef>
              <c:f>Segment_Summary!$B$1</c:f>
              <c:strCache>
                <c:ptCount val="1"/>
                <c:pt idx="0">
                  <c:v>Count</c:v>
                </c:pt>
              </c:strCache>
            </c:strRef>
          </c:tx>
          <c:spPr>
            <a:ln>
              <a:prstDash val="solid"/>
            </a:ln>
          </c:spPr>
          <c:cat>
            <c:strRef>
              <c:f>Segment_Summary!$A$2:$A$10</c:f>
              <c:strCache>
                <c:ptCount val="9"/>
                <c:pt idx="0">
                  <c:v>High Value</c:v>
                </c:pt>
                <c:pt idx="1">
                  <c:v>Standard</c:v>
                </c:pt>
                <c:pt idx="2">
                  <c:v>Emerging</c:v>
                </c:pt>
                <c:pt idx="3">
                  <c:v>Dormant</c:v>
                </c:pt>
                <c:pt idx="4">
                  <c:v>At-Risk</c:v>
                </c:pt>
                <c:pt idx="5">
                  <c:v>New</c:v>
                </c:pt>
                <c:pt idx="6">
                  <c:v>Other</c:v>
                </c:pt>
                <c:pt idx="7">
                  <c:v>Unknown</c:v>
                </c:pt>
                <c:pt idx="8">
                  <c:v>N/A</c:v>
                </c:pt>
              </c:strCache>
            </c:strRef>
          </c:cat>
          <c:val>
            <c:numRef>
              <c:f>Segment_Summary!$B$2:$B$10</c:f>
              <c:numCache>
                <c:formatCode>General</c:formatCode>
                <c:ptCount val="9"/>
                <c:pt idx="0">
                  <c:v>15</c:v>
                </c:pt>
                <c:pt idx="1">
                  <c:v>19</c:v>
                </c:pt>
                <c:pt idx="2">
                  <c:v>24</c:v>
                </c:pt>
                <c:pt idx="3">
                  <c:v>12</c:v>
                </c:pt>
                <c:pt idx="4">
                  <c:v>7</c:v>
                </c:pt>
                <c:pt idx="5">
                  <c:v>22</c:v>
                </c:pt>
                <c:pt idx="6">
                  <c:v>17</c:v>
                </c:pt>
                <c:pt idx="7">
                  <c:v>6</c:v>
                </c:pt>
                <c:pt idx="8">
                  <c:v>11</c:v>
                </c:pt>
              </c:numCache>
            </c:numRef>
          </c:val>
          <c:extLst>
            <c:ext xmlns:c16="http://schemas.microsoft.com/office/drawing/2014/chart" uri="{C3380CC4-5D6E-409C-BE32-E72D297353CC}">
              <c16:uniqueId val="{00000000-C443-4AA9-BFD8-A4372714DA29}"/>
            </c:ext>
          </c:extLst>
        </c:ser>
        <c:dLbls>
          <c:showLegendKey val="0"/>
          <c:showVal val="0"/>
          <c:showCatName val="0"/>
          <c:showSerName val="0"/>
          <c:showPercent val="0"/>
          <c:showBubbleSize val="0"/>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Top 10 Accounts (Engagement)</a:t>
            </a:r>
          </a:p>
        </c:rich>
      </c:tx>
      <c:layout>
        <c:manualLayout>
          <c:xMode val="edge"/>
          <c:yMode val="edge"/>
          <c:x val="0.36332723967531344"/>
          <c:y val="4.6233962331782306E-2"/>
        </c:manualLayout>
      </c:layout>
      <c:overlay val="1"/>
    </c:title>
    <c:autoTitleDeleted val="0"/>
    <c:plotArea>
      <c:layout>
        <c:manualLayout>
          <c:layoutTarget val="inner"/>
          <c:xMode val="edge"/>
          <c:yMode val="edge"/>
          <c:x val="3.4542817253937222E-2"/>
          <c:y val="4.6233962331782306E-2"/>
          <c:w val="0.87623607767670031"/>
          <c:h val="0.92175790990006068"/>
        </c:manualLayout>
      </c:layout>
      <c:barChart>
        <c:barDir val="col"/>
        <c:grouping val="clustered"/>
        <c:varyColors val="1"/>
        <c:ser>
          <c:idx val="0"/>
          <c:order val="0"/>
          <c:tx>
            <c:strRef>
              <c:f>Top_Accounts!$B$1</c:f>
              <c:strCache>
                <c:ptCount val="1"/>
                <c:pt idx="0">
                  <c:v>Engagement</c:v>
                </c:pt>
              </c:strCache>
            </c:strRef>
          </c:tx>
          <c:spPr>
            <a:ln>
              <a:prstDash val="solid"/>
            </a:ln>
          </c:spPr>
          <c:invertIfNegative val="1"/>
          <c:cat>
            <c:strRef>
              <c:f>Top_Accounts!$A$2:$A$11</c:f>
              <c:strCache>
                <c:ptCount val="10"/>
                <c:pt idx="0">
                  <c:v>A1</c:v>
                </c:pt>
                <c:pt idx="1">
                  <c:v>A2</c:v>
                </c:pt>
                <c:pt idx="2">
                  <c:v>A3</c:v>
                </c:pt>
                <c:pt idx="3">
                  <c:v>A4</c:v>
                </c:pt>
                <c:pt idx="4">
                  <c:v>A5</c:v>
                </c:pt>
                <c:pt idx="5">
                  <c:v>A6</c:v>
                </c:pt>
                <c:pt idx="6">
                  <c:v>A7</c:v>
                </c:pt>
                <c:pt idx="7">
                  <c:v>A8</c:v>
                </c:pt>
                <c:pt idx="8">
                  <c:v>A9</c:v>
                </c:pt>
                <c:pt idx="9">
                  <c:v>A10</c:v>
                </c:pt>
              </c:strCache>
            </c:strRef>
          </c:cat>
          <c:val>
            <c:numRef>
              <c:f>Top_Accounts!$B$2:$B$11</c:f>
              <c:numCache>
                <c:formatCode>General</c:formatCode>
                <c:ptCount val="10"/>
                <c:pt idx="0">
                  <c:v>72</c:v>
                </c:pt>
                <c:pt idx="1">
                  <c:v>81</c:v>
                </c:pt>
                <c:pt idx="2">
                  <c:v>68</c:v>
                </c:pt>
                <c:pt idx="3">
                  <c:v>90</c:v>
                </c:pt>
                <c:pt idx="4">
                  <c:v>75</c:v>
                </c:pt>
                <c:pt idx="5">
                  <c:v>88</c:v>
                </c:pt>
                <c:pt idx="6">
                  <c:v>70</c:v>
                </c:pt>
                <c:pt idx="7">
                  <c:v>92</c:v>
                </c:pt>
                <c:pt idx="8">
                  <c:v>77</c:v>
                </c:pt>
                <c:pt idx="9">
                  <c:v>83</c:v>
                </c:pt>
              </c:numCache>
            </c:numRef>
          </c:val>
          <c:extLst>
            <c:ext xmlns:c16="http://schemas.microsoft.com/office/drawing/2014/chart" uri="{C3380CC4-5D6E-409C-BE32-E72D297353CC}">
              <c16:uniqueId val="{00000000-26A2-4983-9C85-09B3950B1591}"/>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[Submission10.xlsx]Pivot!PivotTable1</c:name>
    <c:fmtId val="2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Trend</a:t>
            </a:r>
            <a:r>
              <a:rPr lang="en-US" b="1" baseline="0"/>
              <a:t> Engagement Over Q1 2025</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5">
                <a:lumMod val="60000"/>
                <a:lumOff val="40000"/>
              </a:schemeClr>
            </a:solidFill>
            <a:round/>
            <a:tailEnd type="none" w="sm"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5">
                <a:lumMod val="60000"/>
                <a:lumOff val="40000"/>
              </a:schemeClr>
            </a:solidFill>
            <a:round/>
            <a:tailEnd type="none" w="sm"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lumMod val="60000"/>
                <a:lumOff val="40000"/>
              </a:schemeClr>
            </a:solidFill>
            <a:round/>
            <a:tailEnd type="none" w="sm"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Pivot!$C$12</c:f>
              <c:strCache>
                <c:ptCount val="1"/>
                <c:pt idx="0">
                  <c:v>Total</c:v>
                </c:pt>
              </c:strCache>
            </c:strRef>
          </c:tx>
          <c:spPr>
            <a:ln w="28575" cap="rnd">
              <a:solidFill>
                <a:schemeClr val="accent5">
                  <a:lumMod val="60000"/>
                  <a:lumOff val="40000"/>
                </a:schemeClr>
              </a:solidFill>
              <a:round/>
              <a:tailEnd type="none" w="sm" len="med"/>
            </a:ln>
            <a:effectLst/>
          </c:spPr>
          <c:marker>
            <c:symbol val="none"/>
          </c:marker>
          <c:cat>
            <c:multiLvlStrRef>
              <c:f>Pivot!$B$13:$B$53</c:f>
              <c:multiLvlStrCache>
                <c:ptCount val="38"/>
                <c:lvl>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lvl>
                <c:lvl>
                  <c:pt idx="0">
                    <c:v>Jan</c:v>
                  </c:pt>
                  <c:pt idx="31">
                    <c:v>Feb</c:v>
                  </c:pt>
                </c:lvl>
              </c:multiLvlStrCache>
            </c:multiLvlStrRef>
          </c:cat>
          <c:val>
            <c:numRef>
              <c:f>Pivot!$C$13:$C$53</c:f>
              <c:numCache>
                <c:formatCode>General</c:formatCode>
                <c:ptCount val="38"/>
                <c:pt idx="0">
                  <c:v>67</c:v>
                </c:pt>
                <c:pt idx="1">
                  <c:v>66</c:v>
                </c:pt>
                <c:pt idx="2">
                  <c:v>95</c:v>
                </c:pt>
                <c:pt idx="3">
                  <c:v>60</c:v>
                </c:pt>
                <c:pt idx="4">
                  <c:v>60</c:v>
                </c:pt>
                <c:pt idx="5">
                  <c:v>82</c:v>
                </c:pt>
                <c:pt idx="6">
                  <c:v>64</c:v>
                </c:pt>
                <c:pt idx="7">
                  <c:v>89</c:v>
                </c:pt>
                <c:pt idx="8">
                  <c:v>79</c:v>
                </c:pt>
                <c:pt idx="9">
                  <c:v>87</c:v>
                </c:pt>
                <c:pt idx="10">
                  <c:v>67</c:v>
                </c:pt>
                <c:pt idx="11">
                  <c:v>91</c:v>
                </c:pt>
                <c:pt idx="12">
                  <c:v>90</c:v>
                </c:pt>
                <c:pt idx="13">
                  <c:v>68</c:v>
                </c:pt>
                <c:pt idx="14">
                  <c:v>66</c:v>
                </c:pt>
                <c:pt idx="15">
                  <c:v>67</c:v>
                </c:pt>
                <c:pt idx="16">
                  <c:v>94</c:v>
                </c:pt>
                <c:pt idx="17">
                  <c:v>95</c:v>
                </c:pt>
                <c:pt idx="18">
                  <c:v>87</c:v>
                </c:pt>
                <c:pt idx="19">
                  <c:v>69</c:v>
                </c:pt>
                <c:pt idx="20">
                  <c:v>72</c:v>
                </c:pt>
                <c:pt idx="21">
                  <c:v>91</c:v>
                </c:pt>
                <c:pt idx="22">
                  <c:v>78</c:v>
                </c:pt>
                <c:pt idx="23">
                  <c:v>92</c:v>
                </c:pt>
                <c:pt idx="24">
                  <c:v>87</c:v>
                </c:pt>
                <c:pt idx="25">
                  <c:v>91</c:v>
                </c:pt>
                <c:pt idx="26">
                  <c:v>69</c:v>
                </c:pt>
                <c:pt idx="27">
                  <c:v>94</c:v>
                </c:pt>
                <c:pt idx="28">
                  <c:v>62</c:v>
                </c:pt>
                <c:pt idx="29">
                  <c:v>82</c:v>
                </c:pt>
                <c:pt idx="30">
                  <c:v>91</c:v>
                </c:pt>
                <c:pt idx="31">
                  <c:v>92</c:v>
                </c:pt>
                <c:pt idx="32">
                  <c:v>68</c:v>
                </c:pt>
                <c:pt idx="33">
                  <c:v>93</c:v>
                </c:pt>
                <c:pt idx="34">
                  <c:v>64</c:v>
                </c:pt>
                <c:pt idx="35">
                  <c:v>61</c:v>
                </c:pt>
                <c:pt idx="36">
                  <c:v>88</c:v>
                </c:pt>
                <c:pt idx="37">
                  <c:v>70</c:v>
                </c:pt>
              </c:numCache>
            </c:numRef>
          </c:val>
          <c:smooth val="1"/>
          <c:extLst>
            <c:ext xmlns:c16="http://schemas.microsoft.com/office/drawing/2014/chart" uri="{C3380CC4-5D6E-409C-BE32-E72D297353CC}">
              <c16:uniqueId val="{00000000-23AB-4D31-9560-DEE81B1FA3F9}"/>
            </c:ext>
          </c:extLst>
        </c:ser>
        <c:dLbls>
          <c:showLegendKey val="0"/>
          <c:showVal val="0"/>
          <c:showCatName val="0"/>
          <c:showSerName val="0"/>
          <c:showPercent val="0"/>
          <c:showBubbleSize val="0"/>
        </c:dLbls>
        <c:smooth val="0"/>
        <c:axId val="1376377135"/>
        <c:axId val="1376381935"/>
      </c:lineChart>
      <c:catAx>
        <c:axId val="1376377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381935"/>
        <c:crosses val="autoZero"/>
        <c:auto val="1"/>
        <c:lblAlgn val="ctr"/>
        <c:lblOffset val="100"/>
        <c:tickLblSkip val="6"/>
        <c:tickMarkSkip val="4"/>
        <c:noMultiLvlLbl val="0"/>
      </c:catAx>
      <c:valAx>
        <c:axId val="1376381935"/>
        <c:scaling>
          <c:orientation val="minMax"/>
          <c:min val="50"/>
        </c:scaling>
        <c:delete val="0"/>
        <c:axPos val="l"/>
        <c:majorGridlines>
          <c:spPr>
            <a:ln w="0"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377135"/>
        <c:crosses val="autoZero"/>
        <c:crossBetween val="between"/>
        <c:majorUnit val="1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[Submission10.xlsx]Pivot!PivotTable2</c:name>
    <c:fmtId val="3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Engagement</a:t>
            </a:r>
            <a:r>
              <a:rPr lang="en-US" baseline="0"/>
              <a:t> Score by Segment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5">
              <a:alpha val="85000"/>
            </a:schemeClr>
          </a:solidFill>
          <a:ln w="9525" cap="flat" cmpd="sng" algn="ctr">
            <a:solidFill>
              <a:schemeClr val="lt1">
                <a:alpha val="50000"/>
              </a:schemeClr>
            </a:solidFill>
            <a:round/>
          </a:ln>
          <a:effectLst/>
        </c:spPr>
        <c:marker>
          <c:symbol val="circle"/>
          <c:size val="6"/>
          <c:spPr>
            <a:solidFill>
              <a:schemeClr val="accent5">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Pivot!$F$4</c:f>
              <c:strCache>
                <c:ptCount val="1"/>
                <c:pt idx="0">
                  <c:v>Total</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Pivot!$E$5:$E$14</c:f>
              <c:strCache>
                <c:ptCount val="9"/>
                <c:pt idx="0">
                  <c:v>Standard</c:v>
                </c:pt>
                <c:pt idx="1">
                  <c:v>Dormant</c:v>
                </c:pt>
                <c:pt idx="2">
                  <c:v>N/A</c:v>
                </c:pt>
                <c:pt idx="3">
                  <c:v>High Value</c:v>
                </c:pt>
                <c:pt idx="4">
                  <c:v>Other</c:v>
                </c:pt>
                <c:pt idx="5">
                  <c:v>Emerging</c:v>
                </c:pt>
                <c:pt idx="6">
                  <c:v>At-Risk</c:v>
                </c:pt>
                <c:pt idx="7">
                  <c:v>Unknown</c:v>
                </c:pt>
                <c:pt idx="8">
                  <c:v>New</c:v>
                </c:pt>
              </c:strCache>
            </c:strRef>
          </c:cat>
          <c:val>
            <c:numRef>
              <c:f>Pivot!$F$5:$F$14</c:f>
              <c:numCache>
                <c:formatCode>General</c:formatCode>
                <c:ptCount val="9"/>
                <c:pt idx="0">
                  <c:v>241</c:v>
                </c:pt>
                <c:pt idx="1">
                  <c:v>246</c:v>
                </c:pt>
                <c:pt idx="2">
                  <c:v>247</c:v>
                </c:pt>
                <c:pt idx="3">
                  <c:v>272</c:v>
                </c:pt>
                <c:pt idx="4">
                  <c:v>315</c:v>
                </c:pt>
                <c:pt idx="5">
                  <c:v>332</c:v>
                </c:pt>
                <c:pt idx="6">
                  <c:v>418</c:v>
                </c:pt>
                <c:pt idx="7">
                  <c:v>447</c:v>
                </c:pt>
                <c:pt idx="8">
                  <c:v>470</c:v>
                </c:pt>
              </c:numCache>
            </c:numRef>
          </c:val>
          <c:extLst>
            <c:ext xmlns:c16="http://schemas.microsoft.com/office/drawing/2014/chart" uri="{C3380CC4-5D6E-409C-BE32-E72D297353CC}">
              <c16:uniqueId val="{00000000-3636-47CE-B395-6118C7D0F49E}"/>
            </c:ext>
          </c:extLst>
        </c:ser>
        <c:dLbls>
          <c:dLblPos val="inEnd"/>
          <c:showLegendKey val="0"/>
          <c:showVal val="1"/>
          <c:showCatName val="0"/>
          <c:showSerName val="0"/>
          <c:showPercent val="0"/>
          <c:showBubbleSize val="0"/>
        </c:dLbls>
        <c:gapWidth val="65"/>
        <c:axId val="1897253311"/>
        <c:axId val="1897253791"/>
      </c:barChart>
      <c:catAx>
        <c:axId val="189725331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97253791"/>
        <c:crosses val="autoZero"/>
        <c:auto val="1"/>
        <c:lblAlgn val="ctr"/>
        <c:lblOffset val="100"/>
        <c:noMultiLvlLbl val="0"/>
      </c:catAx>
      <c:valAx>
        <c:axId val="1897253791"/>
        <c:scaling>
          <c:orientation val="minMax"/>
        </c:scaling>
        <c:delete val="1"/>
        <c:axPos val="b"/>
        <c:majorGridlines>
          <c:spPr>
            <a:ln w="6350" cap="flat" cmpd="sng" algn="ctr">
              <a:noFill/>
              <a:round/>
            </a:ln>
            <a:effectLst/>
          </c:spPr>
        </c:majorGridlines>
        <c:numFmt formatCode="General" sourceLinked="1"/>
        <c:majorTickMark val="none"/>
        <c:minorTickMark val="none"/>
        <c:tickLblPos val="nextTo"/>
        <c:crossAx val="1897253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00000">
          <a:schemeClr val="bg1">
            <a:lumMod val="75000"/>
          </a:schemeClr>
        </a:gs>
        <a:gs pos="0">
          <a:schemeClr val="lt1">
            <a:lumMod val="75000"/>
            <a:alpha val="36000"/>
          </a:schemeClr>
        </a:gs>
      </a:gsLst>
      <a:lin ang="18600000" scaled="0"/>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D"/>
              <a:t>Top 10 Accounts by Engangement Score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tx>
            <c:strRef>
              <c:f>Top_Accounts!$B$1</c:f>
              <c:strCache>
                <c:ptCount val="1"/>
                <c:pt idx="0">
                  <c:v>Engagement</c:v>
                </c:pt>
              </c:strCache>
            </c:strRef>
          </c:tx>
          <c:spPr>
            <a:gradFill>
              <a:gsLst>
                <a:gs pos="95000">
                  <a:srgbClr val="C00000"/>
                </a:gs>
                <a:gs pos="0">
                  <a:schemeClr val="accent2">
                    <a:lumMod val="40000"/>
                    <a:lumOff val="60000"/>
                  </a:schemeClr>
                </a:gs>
              </a:gsLst>
              <a:lin ang="18600000" scaled="0"/>
            </a:gradFill>
            <a:ln w="9525" cap="flat" cmpd="sng" algn="ctr">
              <a:no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Top_Accounts!$A$2:$A$11</c:f>
              <c:strCache>
                <c:ptCount val="10"/>
                <c:pt idx="0">
                  <c:v>A1</c:v>
                </c:pt>
                <c:pt idx="1">
                  <c:v>A2</c:v>
                </c:pt>
                <c:pt idx="2">
                  <c:v>A3</c:v>
                </c:pt>
                <c:pt idx="3">
                  <c:v>A4</c:v>
                </c:pt>
                <c:pt idx="4">
                  <c:v>A5</c:v>
                </c:pt>
                <c:pt idx="5">
                  <c:v>A6</c:v>
                </c:pt>
                <c:pt idx="6">
                  <c:v>A7</c:v>
                </c:pt>
                <c:pt idx="7">
                  <c:v>A8</c:v>
                </c:pt>
                <c:pt idx="8">
                  <c:v>A9</c:v>
                </c:pt>
                <c:pt idx="9">
                  <c:v>A10</c:v>
                </c:pt>
              </c:strCache>
            </c:strRef>
          </c:cat>
          <c:val>
            <c:numRef>
              <c:f>Top_Accounts!$B$2:$B$11</c:f>
              <c:numCache>
                <c:formatCode>General</c:formatCode>
                <c:ptCount val="10"/>
                <c:pt idx="0">
                  <c:v>72</c:v>
                </c:pt>
                <c:pt idx="1">
                  <c:v>81</c:v>
                </c:pt>
                <c:pt idx="2">
                  <c:v>68</c:v>
                </c:pt>
                <c:pt idx="3">
                  <c:v>90</c:v>
                </c:pt>
                <c:pt idx="4">
                  <c:v>75</c:v>
                </c:pt>
                <c:pt idx="5">
                  <c:v>88</c:v>
                </c:pt>
                <c:pt idx="6">
                  <c:v>70</c:v>
                </c:pt>
                <c:pt idx="7">
                  <c:v>92</c:v>
                </c:pt>
                <c:pt idx="8">
                  <c:v>77</c:v>
                </c:pt>
                <c:pt idx="9">
                  <c:v>83</c:v>
                </c:pt>
              </c:numCache>
            </c:numRef>
          </c:val>
          <c:extLst>
            <c:ext xmlns:c16="http://schemas.microsoft.com/office/drawing/2014/chart" uri="{C3380CC4-5D6E-409C-BE32-E72D297353CC}">
              <c16:uniqueId val="{00000000-903C-486F-89B0-6A90B1B407CD}"/>
            </c:ext>
          </c:extLst>
        </c:ser>
        <c:dLbls>
          <c:dLblPos val="inEnd"/>
          <c:showLegendKey val="0"/>
          <c:showVal val="1"/>
          <c:showCatName val="0"/>
          <c:showSerName val="0"/>
          <c:showPercent val="0"/>
          <c:showBubbleSize val="0"/>
        </c:dLbls>
        <c:gapWidth val="60"/>
        <c:axId val="1897257151"/>
        <c:axId val="1897258111"/>
      </c:barChart>
      <c:catAx>
        <c:axId val="189725715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97258111"/>
        <c:crosses val="autoZero"/>
        <c:auto val="1"/>
        <c:lblAlgn val="ctr"/>
        <c:lblOffset val="100"/>
        <c:noMultiLvlLbl val="0"/>
      </c:catAx>
      <c:valAx>
        <c:axId val="1897258111"/>
        <c:scaling>
          <c:orientation val="minMax"/>
        </c:scaling>
        <c:delete val="1"/>
        <c:axPos val="b"/>
        <c:numFmt formatCode="General" sourceLinked="1"/>
        <c:majorTickMark val="none"/>
        <c:minorTickMark val="none"/>
        <c:tickLblPos val="nextTo"/>
        <c:crossAx val="1897257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33564</xdr:colOff>
      <xdr:row>9</xdr:row>
      <xdr:rowOff>97063</xdr:rowOff>
    </xdr:from>
    <xdr:ext cx="6887936" cy="3549651"/>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644072</xdr:colOff>
      <xdr:row>9</xdr:row>
      <xdr:rowOff>12246</xdr:rowOff>
    </xdr:from>
    <xdr:ext cx="6531428" cy="3534682"/>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87993</xdr:colOff>
      <xdr:row>29</xdr:row>
      <xdr:rowOff>136524</xdr:rowOff>
    </xdr:from>
    <xdr:ext cx="7042150" cy="4000047"/>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2.xml><?xml version="1.0" encoding="utf-8"?>
<xdr:wsDr xmlns:xdr="http://schemas.openxmlformats.org/drawingml/2006/spreadsheetDrawing" xmlns:a="http://schemas.openxmlformats.org/drawingml/2006/main">
  <xdr:twoCellAnchor>
    <xdr:from>
      <xdr:col>0</xdr:col>
      <xdr:colOff>437444</xdr:colOff>
      <xdr:row>4</xdr:row>
      <xdr:rowOff>155222</xdr:rowOff>
    </xdr:from>
    <xdr:to>
      <xdr:col>20</xdr:col>
      <xdr:colOff>543277</xdr:colOff>
      <xdr:row>18</xdr:row>
      <xdr:rowOff>169334</xdr:rowOff>
    </xdr:to>
    <xdr:graphicFrame macro="">
      <xdr:nvGraphicFramePr>
        <xdr:cNvPr id="2" name="Chart 1">
          <a:extLst>
            <a:ext uri="{FF2B5EF4-FFF2-40B4-BE49-F238E27FC236}">
              <a16:creationId xmlns:a16="http://schemas.microsoft.com/office/drawing/2014/main" id="{8BA46988-3E9C-4B7A-81B9-105BDA1DC5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232833</xdr:colOff>
      <xdr:row>0</xdr:row>
      <xdr:rowOff>105833</xdr:rowOff>
    </xdr:from>
    <xdr:to>
      <xdr:col>20</xdr:col>
      <xdr:colOff>556683</xdr:colOff>
      <xdr:row>2</xdr:row>
      <xdr:rowOff>93839</xdr:rowOff>
    </xdr:to>
    <xdr:sp macro="" textlink="">
      <xdr:nvSpPr>
        <xdr:cNvPr id="3" name="Rectangle: Rounded Corners 2">
          <a:extLst>
            <a:ext uri="{FF2B5EF4-FFF2-40B4-BE49-F238E27FC236}">
              <a16:creationId xmlns:a16="http://schemas.microsoft.com/office/drawing/2014/main" id="{7DFC8B4E-D319-455B-9474-7DD1D9DA0672}"/>
            </a:ext>
          </a:extLst>
        </xdr:cNvPr>
        <xdr:cNvSpPr/>
      </xdr:nvSpPr>
      <xdr:spPr>
        <a:xfrm>
          <a:off x="232833" y="105833"/>
          <a:ext cx="12459406" cy="354895"/>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ID" sz="1400" b="1">
              <a:solidFill>
                <a:schemeClr val="bg2">
                  <a:lumMod val="25000"/>
                </a:schemeClr>
              </a:solidFill>
            </a:rPr>
            <a:t>Client Engagement Dashboard</a:t>
          </a:r>
          <a:r>
            <a:rPr lang="en-ID" sz="1400" b="1"/>
            <a:t>								</a:t>
          </a:r>
          <a:r>
            <a:rPr lang="en-ID" sz="1100" b="1"/>
            <a:t>                                                            </a:t>
          </a:r>
          <a:r>
            <a:rPr lang="en-ID" sz="1000" b="0"/>
            <a:t>Last updated: 20-03-26</a:t>
          </a:r>
          <a:endParaRPr lang="en-ID" sz="1400" b="0"/>
        </a:p>
      </xdr:txBody>
    </xdr:sp>
    <xdr:clientData/>
  </xdr:twoCellAnchor>
  <xdr:twoCellAnchor>
    <xdr:from>
      <xdr:col>0</xdr:col>
      <xdr:colOff>479777</xdr:colOff>
      <xdr:row>19</xdr:row>
      <xdr:rowOff>176388</xdr:rowOff>
    </xdr:from>
    <xdr:to>
      <xdr:col>10</xdr:col>
      <xdr:colOff>338667</xdr:colOff>
      <xdr:row>36</xdr:row>
      <xdr:rowOff>91721</xdr:rowOff>
    </xdr:to>
    <xdr:graphicFrame macro="">
      <xdr:nvGraphicFramePr>
        <xdr:cNvPr id="4" name="Chart 3">
          <a:extLst>
            <a:ext uri="{FF2B5EF4-FFF2-40B4-BE49-F238E27FC236}">
              <a16:creationId xmlns:a16="http://schemas.microsoft.com/office/drawing/2014/main" id="{93B1F421-864D-4536-9A11-1BF4548DC2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155222</xdr:colOff>
      <xdr:row>19</xdr:row>
      <xdr:rowOff>162278</xdr:rowOff>
    </xdr:from>
    <xdr:to>
      <xdr:col>20</xdr:col>
      <xdr:colOff>416278</xdr:colOff>
      <xdr:row>36</xdr:row>
      <xdr:rowOff>80433</xdr:rowOff>
    </xdr:to>
    <xdr:graphicFrame macro="">
      <xdr:nvGraphicFramePr>
        <xdr:cNvPr id="5" name="Chart 4">
          <a:extLst>
            <a:ext uri="{FF2B5EF4-FFF2-40B4-BE49-F238E27FC236}">
              <a16:creationId xmlns:a16="http://schemas.microsoft.com/office/drawing/2014/main" id="{3F4C9CFE-B971-4968-95C7-08ABD83968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155221</xdr:colOff>
      <xdr:row>3</xdr:row>
      <xdr:rowOff>7054</xdr:rowOff>
    </xdr:from>
    <xdr:to>
      <xdr:col>5</xdr:col>
      <xdr:colOff>451555</xdr:colOff>
      <xdr:row>5</xdr:row>
      <xdr:rowOff>63500</xdr:rowOff>
    </xdr:to>
    <mc:AlternateContent xmlns:mc="http://schemas.openxmlformats.org/markup-compatibility/2006">
      <mc:Choice xmlns:a14="http://schemas.microsoft.com/office/drawing/2010/main" Requires="a14">
        <xdr:graphicFrame macro="">
          <xdr:nvGraphicFramePr>
            <xdr:cNvPr id="6" name="Months (Date)">
              <a:extLst>
                <a:ext uri="{FF2B5EF4-FFF2-40B4-BE49-F238E27FC236}">
                  <a16:creationId xmlns:a16="http://schemas.microsoft.com/office/drawing/2014/main" id="{F5CA3516-E7DA-4C1C-9070-C81BC48BDDCB}"/>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155221" y="547980"/>
              <a:ext cx="3353741" cy="41706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ert Bukit" refreshedDate="46101.725732870371" createdVersion="8" refreshedVersion="8" minRefreshableVersion="3" recordCount="38" xr:uid="{CA98479C-B700-4ADC-8664-F246C99D1F48}">
  <cacheSource type="worksheet">
    <worksheetSource name="DataTable"/>
  </cacheSource>
  <cacheFields count="8">
    <cacheField name="Date" numFmtId="164">
      <sharedItems containsSemiMixedTypes="0" containsNonDate="0" containsDate="1" containsString="0" minDate="2025-01-01T00:00:00" maxDate="2025-02-08T00:00:00" count="3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sharedItems>
      <fieldGroup par="7"/>
    </cacheField>
    <cacheField name="Engagement_Score" numFmtId="0">
      <sharedItems containsSemiMixedTypes="0" containsString="0" containsNumber="1" containsInteger="1" minValue="60" maxValue="95"/>
    </cacheField>
    <cacheField name="Segment" numFmtId="0">
      <sharedItems count="9">
        <s v="New"/>
        <s v="Dormant"/>
        <s v="Unknown"/>
        <s v="Standard"/>
        <s v="Emerging"/>
        <s v="High Value"/>
        <s v="Other"/>
        <s v="N/A"/>
        <s v="At-Risk"/>
      </sharedItems>
    </cacheField>
    <cacheField name="Accounts_Active" numFmtId="0">
      <sharedItems containsSemiMixedTypes="0" containsString="0" containsNumber="1" containsInteger="1" minValue="902" maxValue="1392"/>
    </cacheField>
    <cacheField name="Churn_Risk_Index" numFmtId="0">
      <sharedItems containsSemiMixedTypes="0" containsString="0" containsNumber="1" minValue="0.2" maxValue="0.53"/>
    </cacheField>
    <cacheField name="Response_Time_Days" numFmtId="0">
      <sharedItems containsSemiMixedTypes="0" containsString="0" containsNumber="1" minValue="2.5" maxValue="12"/>
    </cacheField>
    <cacheField name="Days (Date)" numFmtId="0" databaseField="0">
      <fieldGroup base="0">
        <rangePr groupBy="days" startDate="2025-01-01T00:00:00" endDate="2025-02-08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8/02/2025"/>
        </groupItems>
      </fieldGroup>
    </cacheField>
    <cacheField name="Months (Date)" numFmtId="0" databaseField="0">
      <fieldGroup base="0">
        <rangePr groupBy="months" startDate="2025-01-01T00:00:00" endDate="2025-02-08T00:00:00"/>
        <groupItems count="14">
          <s v="&lt;01/01/2025"/>
          <s v="Jan"/>
          <s v="Feb"/>
          <s v="Mar"/>
          <s v="Apr"/>
          <s v="May"/>
          <s v="Jun"/>
          <s v="Jul"/>
          <s v="Aug"/>
          <s v="Sep"/>
          <s v="Oct"/>
          <s v="Nov"/>
          <s v="Dec"/>
          <s v="&gt;08/02/2025"/>
        </groupItems>
      </fieldGroup>
    </cacheField>
  </cacheFields>
  <extLst>
    <ext xmlns:x14="http://schemas.microsoft.com/office/spreadsheetml/2009/9/main" uri="{725AE2AE-9491-48be-B2B4-4EB974FC3084}">
      <x14:pivotCacheDefinition pivotCacheId="16272920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
  <r>
    <x v="0"/>
    <n v="67"/>
    <x v="0"/>
    <n v="1157"/>
    <n v="0.53"/>
    <n v="8.6"/>
  </r>
  <r>
    <x v="1"/>
    <n v="66"/>
    <x v="1"/>
    <n v="1358"/>
    <n v="0.41"/>
    <n v="7.8"/>
  </r>
  <r>
    <x v="2"/>
    <n v="95"/>
    <x v="2"/>
    <n v="1284"/>
    <n v="0.47"/>
    <n v="6.7"/>
  </r>
  <r>
    <x v="3"/>
    <n v="60"/>
    <x v="3"/>
    <n v="956"/>
    <n v="0.3"/>
    <n v="3.4"/>
  </r>
  <r>
    <x v="4"/>
    <n v="60"/>
    <x v="2"/>
    <n v="1247"/>
    <n v="0.31"/>
    <n v="6.3"/>
  </r>
  <r>
    <x v="5"/>
    <n v="82"/>
    <x v="0"/>
    <n v="1312"/>
    <n v="0.33"/>
    <n v="9.6"/>
  </r>
  <r>
    <x v="6"/>
    <n v="64"/>
    <x v="0"/>
    <n v="945"/>
    <n v="0.4"/>
    <n v="5.3"/>
  </r>
  <r>
    <x v="7"/>
    <n v="89"/>
    <x v="4"/>
    <n v="1348"/>
    <n v="0.43"/>
    <n v="9.3000000000000007"/>
  </r>
  <r>
    <x v="8"/>
    <n v="79"/>
    <x v="5"/>
    <n v="1334"/>
    <n v="0.45"/>
    <n v="6"/>
  </r>
  <r>
    <x v="9"/>
    <n v="87"/>
    <x v="3"/>
    <n v="1104"/>
    <n v="0.51"/>
    <n v="7.8"/>
  </r>
  <r>
    <x v="10"/>
    <n v="67"/>
    <x v="6"/>
    <n v="1159"/>
    <n v="0.48"/>
    <n v="10.7"/>
  </r>
  <r>
    <x v="11"/>
    <n v="91"/>
    <x v="6"/>
    <n v="1369"/>
    <n v="0.38"/>
    <n v="10.5"/>
  </r>
  <r>
    <x v="12"/>
    <n v="90"/>
    <x v="7"/>
    <n v="1165"/>
    <n v="0.48"/>
    <n v="8"/>
  </r>
  <r>
    <x v="13"/>
    <n v="68"/>
    <x v="5"/>
    <n v="1392"/>
    <n v="0.45"/>
    <n v="10.9"/>
  </r>
  <r>
    <x v="14"/>
    <n v="66"/>
    <x v="6"/>
    <n v="1140"/>
    <n v="0.25"/>
    <n v="10.9"/>
  </r>
  <r>
    <x v="15"/>
    <n v="67"/>
    <x v="2"/>
    <n v="1245"/>
    <n v="0.36"/>
    <n v="11.3"/>
  </r>
  <r>
    <x v="16"/>
    <n v="94"/>
    <x v="8"/>
    <n v="1186"/>
    <n v="0.34"/>
    <n v="12"/>
  </r>
  <r>
    <x v="17"/>
    <n v="95"/>
    <x v="7"/>
    <n v="1257"/>
    <n v="0.37"/>
    <n v="10.9"/>
  </r>
  <r>
    <x v="18"/>
    <n v="87"/>
    <x v="1"/>
    <n v="1050"/>
    <n v="0.49"/>
    <n v="2.6"/>
  </r>
  <r>
    <x v="19"/>
    <n v="69"/>
    <x v="2"/>
    <n v="1311"/>
    <n v="0.38"/>
    <n v="7.2"/>
  </r>
  <r>
    <x v="20"/>
    <n v="72"/>
    <x v="8"/>
    <n v="1254"/>
    <n v="0.37"/>
    <n v="7.4"/>
  </r>
  <r>
    <x v="21"/>
    <n v="91"/>
    <x v="6"/>
    <n v="1185"/>
    <n v="0.43"/>
    <n v="2.8"/>
  </r>
  <r>
    <x v="22"/>
    <n v="78"/>
    <x v="0"/>
    <n v="1134"/>
    <n v="0.52"/>
    <n v="3.4"/>
  </r>
  <r>
    <x v="23"/>
    <n v="92"/>
    <x v="8"/>
    <n v="1131"/>
    <n v="0.52"/>
    <n v="4.2"/>
  </r>
  <r>
    <x v="24"/>
    <n v="87"/>
    <x v="2"/>
    <n v="1381"/>
    <n v="0.22"/>
    <n v="5"/>
  </r>
  <r>
    <x v="25"/>
    <n v="91"/>
    <x v="0"/>
    <n v="949"/>
    <n v="0.27"/>
    <n v="10.6"/>
  </r>
  <r>
    <x v="26"/>
    <n v="69"/>
    <x v="2"/>
    <n v="1369"/>
    <n v="0.2"/>
    <n v="2.5"/>
  </r>
  <r>
    <x v="27"/>
    <n v="94"/>
    <x v="3"/>
    <n v="1212"/>
    <n v="0.48"/>
    <n v="4.9000000000000004"/>
  </r>
  <r>
    <x v="28"/>
    <n v="62"/>
    <x v="7"/>
    <n v="1389"/>
    <n v="0.28999999999999998"/>
    <n v="9.6999999999999993"/>
  </r>
  <r>
    <x v="29"/>
    <n v="82"/>
    <x v="4"/>
    <n v="902"/>
    <n v="0.31"/>
    <n v="8"/>
  </r>
  <r>
    <x v="30"/>
    <n v="91"/>
    <x v="4"/>
    <n v="1179"/>
    <n v="0.28000000000000003"/>
    <n v="8.1"/>
  </r>
  <r>
    <x v="31"/>
    <n v="92"/>
    <x v="8"/>
    <n v="943"/>
    <n v="0.35"/>
    <n v="4"/>
  </r>
  <r>
    <x v="32"/>
    <n v="68"/>
    <x v="8"/>
    <n v="1159"/>
    <n v="0.34"/>
    <n v="10.199999999999999"/>
  </r>
  <r>
    <x v="33"/>
    <n v="93"/>
    <x v="1"/>
    <n v="1092"/>
    <n v="0.2"/>
    <n v="3.5"/>
  </r>
  <r>
    <x v="34"/>
    <n v="64"/>
    <x v="5"/>
    <n v="1326"/>
    <n v="0.32"/>
    <n v="5.9"/>
  </r>
  <r>
    <x v="35"/>
    <n v="61"/>
    <x v="5"/>
    <n v="1161"/>
    <n v="0.37"/>
    <n v="9"/>
  </r>
  <r>
    <x v="36"/>
    <n v="88"/>
    <x v="0"/>
    <n v="1367"/>
    <n v="0.24"/>
    <n v="11.5"/>
  </r>
  <r>
    <x v="37"/>
    <n v="70"/>
    <x v="4"/>
    <n v="1202"/>
    <n v="0.38"/>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272C09-3391-4785-BE40-999A6059E9AD}"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E4:F14" firstHeaderRow="1" firstDataRow="1" firstDataCol="1"/>
  <pivotFields count="8">
    <pivotField numFmtId="164" showAll="0">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dataField="1" showAll="0"/>
    <pivotField axis="axisRow" showAll="0" sortType="ascending">
      <items count="10">
        <item x="2"/>
        <item x="3"/>
        <item x="6"/>
        <item x="0"/>
        <item x="7"/>
        <item x="5"/>
        <item x="4"/>
        <item x="1"/>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10">
    <i>
      <x v="1"/>
    </i>
    <i>
      <x v="7"/>
    </i>
    <i>
      <x v="4"/>
    </i>
    <i>
      <x v="5"/>
    </i>
    <i>
      <x v="2"/>
    </i>
    <i>
      <x v="6"/>
    </i>
    <i>
      <x v="8"/>
    </i>
    <i>
      <x/>
    </i>
    <i>
      <x v="3"/>
    </i>
    <i t="grand">
      <x/>
    </i>
  </rowItems>
  <colItems count="1">
    <i/>
  </colItems>
  <dataFields count="1">
    <dataField name="Sum of Engagement_Score" fld="1" baseField="0" baseItem="0"/>
  </dataFields>
  <chartFormats count="1">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FD5F08-8475-406E-AF80-8B19336BE0C6}"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B12:C53" firstHeaderRow="1" firstDataRow="1" firstDataCol="1"/>
  <pivotFields count="8">
    <pivotField axis="axisRow" numFmtId="164" showAll="0">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dataField="1"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x="0"/>
        <item x="1"/>
        <item x="2"/>
        <item x="3"/>
        <item x="4"/>
        <item x="5"/>
        <item x="6"/>
        <item x="7"/>
        <item x="8"/>
        <item x="9"/>
        <item x="10"/>
        <item x="11"/>
        <item x="12"/>
        <item x="13"/>
        <item t="default"/>
      </items>
    </pivotField>
  </pivotFields>
  <rowFields count="3">
    <field x="7"/>
    <field x="6"/>
    <field x="0"/>
  </rowFields>
  <rowItems count="41">
    <i>
      <x v="1"/>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x v="2"/>
    </i>
    <i r="1">
      <x v="32"/>
    </i>
    <i r="1">
      <x v="33"/>
    </i>
    <i r="1">
      <x v="34"/>
    </i>
    <i r="1">
      <x v="35"/>
    </i>
    <i r="1">
      <x v="36"/>
    </i>
    <i r="1">
      <x v="37"/>
    </i>
    <i r="1">
      <x v="38"/>
    </i>
    <i t="grand">
      <x/>
    </i>
  </rowItems>
  <colItems count="1">
    <i/>
  </colItems>
  <dataFields count="1">
    <dataField name="Sum of Engagement_Score" fld="1" baseField="0" baseItem="0"/>
  </dataFields>
  <chartFormats count="1">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2B80D83B-5A3B-402B-B9FC-584368F0FAD1}" sourceName="Months (Date)">
  <pivotTables>
    <pivotTable tabId="6" name="PivotTable2"/>
    <pivotTable tabId="6" name="PivotTable1"/>
  </pivotTables>
  <data>
    <tabular pivotCacheId="1627292049">
      <items count="14">
        <i x="1" s="1"/>
        <i x="2" s="1"/>
        <i x="3" s="1" nd="1"/>
        <i x="4" s="1" nd="1"/>
        <i x="5" s="1" nd="1"/>
        <i x="6" s="1" nd="1"/>
        <i x="7" s="1" nd="1"/>
        <i x="8" s="1" nd="1"/>
        <i x="9"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6A785AA8-EA99-43BF-8979-B88BF7AC32D0}" cache="Slicer_Months__Date" caption="Months (Date)" columnCount="2" showCap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taTable" displayName="DataTable" ref="A1:F39">
  <autoFilter ref="A1:F39" xr:uid="{00000000-0009-0000-0100-000001000000}"/>
  <tableColumns count="6">
    <tableColumn id="1" xr3:uid="{00000000-0010-0000-0000-000001000000}" name="Date"/>
    <tableColumn id="2" xr3:uid="{00000000-0010-0000-0000-000002000000}" name="Engagement_Score"/>
    <tableColumn id="3" xr3:uid="{00000000-0010-0000-0000-000003000000}" name="Segment"/>
    <tableColumn id="4" xr3:uid="{00000000-0010-0000-0000-000004000000}" name="Accounts_Active"/>
    <tableColumn id="5" xr3:uid="{00000000-0010-0000-0000-000005000000}" name="Churn_Risk_Index"/>
    <tableColumn id="6" xr3:uid="{00000000-0010-0000-0000-000006000000}" name="Response_Time_Day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ccountsTable" displayName="AccountsTable" ref="A1:D5">
  <autoFilter ref="A1:D5" xr:uid="{00000000-0009-0000-0100-000002000000}"/>
  <tableColumns count="4">
    <tableColumn id="1" xr3:uid="{00000000-0010-0000-0100-000001000000}" name="Acct"/>
    <tableColumn id="2" xr3:uid="{00000000-0010-0000-0100-000002000000}" name="Eng"/>
    <tableColumn id="3" xr3:uid="{00000000-0010-0000-0100-000003000000}" name="Rev"/>
    <tableColumn id="4" xr3:uid="{00000000-0010-0000-0100-000004000000}" name="Resp"/>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opAccountsTable" displayName="TopAccountsTable" ref="A1:B11">
  <autoFilter ref="A1:B11" xr:uid="{00000000-0009-0000-0100-000003000000}"/>
  <tableColumns count="2">
    <tableColumn id="1" xr3:uid="{00000000-0010-0000-0200-000001000000}" name="Account"/>
    <tableColumn id="2" xr3:uid="{00000000-0010-0000-0200-000002000000}" name="Engagement"/>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SegmentTable" displayName="SegmentTable" ref="A1:B10">
  <autoFilter ref="A1:B10" xr:uid="{00000000-0009-0000-0100-000004000000}"/>
  <tableColumns count="2">
    <tableColumn id="1" xr3:uid="{00000000-0010-0000-0300-000001000000}" name="Segment"/>
    <tableColumn id="2" xr3:uid="{00000000-0010-0000-0300-000002000000}" name="Cou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O37"/>
  <sheetViews>
    <sheetView showGridLines="0" topLeftCell="A12" zoomScale="60" zoomScaleNormal="60" workbookViewId="0">
      <selection activeCell="L1" sqref="L1:O1"/>
    </sheetView>
  </sheetViews>
  <sheetFormatPr defaultRowHeight="14.5"/>
  <cols>
    <col min="2" max="15" width="16" customWidth="1"/>
  </cols>
  <sheetData>
    <row r="1" spans="2:15" ht="28" customHeight="1">
      <c r="B1" s="18" t="s">
        <v>57</v>
      </c>
      <c r="C1" s="15"/>
      <c r="D1" s="15"/>
      <c r="E1" s="15"/>
      <c r="F1" s="15"/>
      <c r="G1" s="15"/>
      <c r="H1" s="15"/>
      <c r="I1" s="15"/>
      <c r="J1" s="15"/>
      <c r="K1" s="15"/>
      <c r="L1" s="14" t="s">
        <v>37</v>
      </c>
      <c r="M1" s="15"/>
      <c r="N1" s="15"/>
      <c r="O1" s="15"/>
    </row>
    <row r="3" spans="2:15">
      <c r="B3" s="2" t="s">
        <v>38</v>
      </c>
      <c r="D3" s="2" t="s">
        <v>39</v>
      </c>
      <c r="F3" s="2" t="s">
        <v>40</v>
      </c>
      <c r="H3" s="2" t="s">
        <v>41</v>
      </c>
      <c r="K3" s="2" t="s">
        <v>42</v>
      </c>
    </row>
    <row r="4" spans="2:15">
      <c r="B4" s="3" t="s">
        <v>43</v>
      </c>
      <c r="D4" s="3" t="s">
        <v>58</v>
      </c>
      <c r="F4" s="3" t="s">
        <v>44</v>
      </c>
      <c r="H4" s="3" t="s">
        <v>45</v>
      </c>
      <c r="K4" s="3" t="s">
        <v>46</v>
      </c>
    </row>
    <row r="6" spans="2:15">
      <c r="B6" s="4" t="s">
        <v>25</v>
      </c>
      <c r="C6" s="5"/>
      <c r="E6" s="4" t="s">
        <v>47</v>
      </c>
      <c r="F6" s="5"/>
      <c r="H6" s="6" t="s">
        <v>48</v>
      </c>
      <c r="I6" s="7"/>
      <c r="K6" s="4" t="s">
        <v>49</v>
      </c>
      <c r="L6" s="5"/>
    </row>
    <row r="7" spans="2:15" ht="28.5">
      <c r="B7" s="8" t="s">
        <v>50</v>
      </c>
      <c r="C7" s="5"/>
      <c r="E7" s="8" t="s">
        <v>51</v>
      </c>
      <c r="F7" s="5"/>
      <c r="H7" s="9" t="s">
        <v>52</v>
      </c>
      <c r="I7" s="7"/>
      <c r="K7" s="8" t="s">
        <v>53</v>
      </c>
      <c r="L7" s="5"/>
    </row>
    <row r="8" spans="2:15">
      <c r="B8" s="10" t="s">
        <v>54</v>
      </c>
      <c r="C8" s="5"/>
      <c r="E8" s="5"/>
      <c r="F8" s="5"/>
      <c r="H8" s="11" t="s">
        <v>55</v>
      </c>
      <c r="I8" s="7"/>
      <c r="K8" s="10" t="s">
        <v>56</v>
      </c>
      <c r="L8" s="5"/>
    </row>
    <row r="28" spans="10:13" ht="15.5">
      <c r="J28" s="12"/>
    </row>
    <row r="29" spans="10:13">
      <c r="J29" s="13"/>
      <c r="K29" s="13"/>
      <c r="L29" s="13"/>
      <c r="M29" s="13"/>
    </row>
    <row r="30" spans="10:13">
      <c r="J30" s="13"/>
      <c r="K30" s="13"/>
      <c r="L30" s="13"/>
      <c r="M30" s="13"/>
    </row>
    <row r="31" spans="10:13">
      <c r="J31" s="13"/>
      <c r="K31" s="13"/>
      <c r="L31" s="13"/>
      <c r="M31" s="13"/>
    </row>
    <row r="32" spans="10:13">
      <c r="J32" s="13"/>
      <c r="K32" s="13"/>
      <c r="L32" s="13"/>
      <c r="M32" s="13"/>
    </row>
    <row r="33" spans="2:15">
      <c r="J33" s="13"/>
      <c r="K33" s="13"/>
      <c r="L33" s="13"/>
      <c r="M33" s="13"/>
    </row>
    <row r="37" spans="2:15">
      <c r="B37" s="16"/>
      <c r="C37" s="17"/>
      <c r="D37" s="17"/>
      <c r="E37" s="17"/>
      <c r="F37" s="17"/>
      <c r="G37" s="17"/>
      <c r="H37" s="17"/>
      <c r="I37" s="17"/>
      <c r="J37" s="17"/>
      <c r="K37" s="17"/>
      <c r="L37" s="17"/>
      <c r="M37" s="17"/>
      <c r="N37" s="17"/>
      <c r="O37" s="17"/>
    </row>
  </sheetData>
  <mergeCells count="3">
    <mergeCell ref="L1:O1"/>
    <mergeCell ref="B37:O37"/>
    <mergeCell ref="B1:K1"/>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99B5C-C8B4-4598-8FE5-CB58980FAAC4}">
  <dimension ref="B4:F53"/>
  <sheetViews>
    <sheetView showGridLines="0" workbookViewId="0">
      <selection activeCell="F7" sqref="F7"/>
    </sheetView>
  </sheetViews>
  <sheetFormatPr defaultRowHeight="14.5"/>
  <cols>
    <col min="2" max="2" width="12.36328125" bestFit="1" customWidth="1"/>
    <col min="3" max="3" width="23.26953125" bestFit="1" customWidth="1"/>
    <col min="5" max="5" width="12.36328125" bestFit="1" customWidth="1"/>
    <col min="6" max="6" width="23.26953125" bestFit="1" customWidth="1"/>
  </cols>
  <sheetData>
    <row r="4" spans="2:6">
      <c r="E4" s="19" t="s">
        <v>59</v>
      </c>
      <c r="F4" t="s">
        <v>63</v>
      </c>
    </row>
    <row r="5" spans="2:6">
      <c r="E5" s="20" t="s">
        <v>9</v>
      </c>
      <c r="F5" s="21">
        <v>241</v>
      </c>
    </row>
    <row r="6" spans="2:6">
      <c r="E6" s="20" t="s">
        <v>7</v>
      </c>
      <c r="F6" s="21">
        <v>246</v>
      </c>
    </row>
    <row r="7" spans="2:6">
      <c r="E7" s="20" t="s">
        <v>13</v>
      </c>
      <c r="F7" s="21">
        <v>247</v>
      </c>
    </row>
    <row r="8" spans="2:6">
      <c r="E8" s="20" t="s">
        <v>11</v>
      </c>
      <c r="F8" s="21">
        <v>272</v>
      </c>
    </row>
    <row r="9" spans="2:6">
      <c r="E9" s="20" t="s">
        <v>12</v>
      </c>
      <c r="F9" s="21">
        <v>315</v>
      </c>
    </row>
    <row r="10" spans="2:6">
      <c r="E10" s="20" t="s">
        <v>10</v>
      </c>
      <c r="F10" s="21">
        <v>332</v>
      </c>
    </row>
    <row r="11" spans="2:6">
      <c r="E11" s="20" t="s">
        <v>14</v>
      </c>
      <c r="F11" s="21">
        <v>418</v>
      </c>
    </row>
    <row r="12" spans="2:6">
      <c r="B12" s="19" t="s">
        <v>59</v>
      </c>
      <c r="C12" t="s">
        <v>63</v>
      </c>
      <c r="E12" s="20" t="s">
        <v>8</v>
      </c>
      <c r="F12" s="21">
        <v>447</v>
      </c>
    </row>
    <row r="13" spans="2:6">
      <c r="B13" s="20" t="s">
        <v>61</v>
      </c>
      <c r="C13" s="21">
        <v>2452</v>
      </c>
      <c r="E13" s="20" t="s">
        <v>6</v>
      </c>
      <c r="F13" s="21">
        <v>470</v>
      </c>
    </row>
    <row r="14" spans="2:6">
      <c r="B14" s="22" t="s">
        <v>64</v>
      </c>
      <c r="C14" s="21">
        <v>67</v>
      </c>
      <c r="E14" s="20" t="s">
        <v>60</v>
      </c>
      <c r="F14" s="21">
        <v>2988</v>
      </c>
    </row>
    <row r="15" spans="2:6">
      <c r="B15" s="22" t="s">
        <v>65</v>
      </c>
      <c r="C15" s="21">
        <v>66</v>
      </c>
    </row>
    <row r="16" spans="2:6">
      <c r="B16" s="22" t="s">
        <v>66</v>
      </c>
      <c r="C16" s="21">
        <v>95</v>
      </c>
    </row>
    <row r="17" spans="2:3">
      <c r="B17" s="22" t="s">
        <v>67</v>
      </c>
      <c r="C17" s="21">
        <v>60</v>
      </c>
    </row>
    <row r="18" spans="2:3">
      <c r="B18" s="22" t="s">
        <v>68</v>
      </c>
      <c r="C18" s="21">
        <v>60</v>
      </c>
    </row>
    <row r="19" spans="2:3">
      <c r="B19" s="22" t="s">
        <v>69</v>
      </c>
      <c r="C19" s="21">
        <v>82</v>
      </c>
    </row>
    <row r="20" spans="2:3">
      <c r="B20" s="22" t="s">
        <v>70</v>
      </c>
      <c r="C20" s="21">
        <v>64</v>
      </c>
    </row>
    <row r="21" spans="2:3">
      <c r="B21" s="22" t="s">
        <v>71</v>
      </c>
      <c r="C21" s="21">
        <v>89</v>
      </c>
    </row>
    <row r="22" spans="2:3">
      <c r="B22" s="22" t="s">
        <v>72</v>
      </c>
      <c r="C22" s="21">
        <v>79</v>
      </c>
    </row>
    <row r="23" spans="2:3">
      <c r="B23" s="22" t="s">
        <v>73</v>
      </c>
      <c r="C23" s="21">
        <v>87</v>
      </c>
    </row>
    <row r="24" spans="2:3">
      <c r="B24" s="22" t="s">
        <v>74</v>
      </c>
      <c r="C24" s="21">
        <v>67</v>
      </c>
    </row>
    <row r="25" spans="2:3">
      <c r="B25" s="22" t="s">
        <v>75</v>
      </c>
      <c r="C25" s="21">
        <v>91</v>
      </c>
    </row>
    <row r="26" spans="2:3">
      <c r="B26" s="22" t="s">
        <v>76</v>
      </c>
      <c r="C26" s="21">
        <v>90</v>
      </c>
    </row>
    <row r="27" spans="2:3">
      <c r="B27" s="22" t="s">
        <v>77</v>
      </c>
      <c r="C27" s="21">
        <v>68</v>
      </c>
    </row>
    <row r="28" spans="2:3">
      <c r="B28" s="22" t="s">
        <v>78</v>
      </c>
      <c r="C28" s="21">
        <v>66</v>
      </c>
    </row>
    <row r="29" spans="2:3">
      <c r="B29" s="22" t="s">
        <v>79</v>
      </c>
      <c r="C29" s="21">
        <v>67</v>
      </c>
    </row>
    <row r="30" spans="2:3">
      <c r="B30" s="22" t="s">
        <v>80</v>
      </c>
      <c r="C30" s="21">
        <v>94</v>
      </c>
    </row>
    <row r="31" spans="2:3">
      <c r="B31" s="22" t="s">
        <v>81</v>
      </c>
      <c r="C31" s="21">
        <v>95</v>
      </c>
    </row>
    <row r="32" spans="2:3">
      <c r="B32" s="22" t="s">
        <v>82</v>
      </c>
      <c r="C32" s="21">
        <v>87</v>
      </c>
    </row>
    <row r="33" spans="2:3">
      <c r="B33" s="22" t="s">
        <v>83</v>
      </c>
      <c r="C33" s="21">
        <v>69</v>
      </c>
    </row>
    <row r="34" spans="2:3">
      <c r="B34" s="22" t="s">
        <v>84</v>
      </c>
      <c r="C34" s="21">
        <v>72</v>
      </c>
    </row>
    <row r="35" spans="2:3">
      <c r="B35" s="22" t="s">
        <v>85</v>
      </c>
      <c r="C35" s="21">
        <v>91</v>
      </c>
    </row>
    <row r="36" spans="2:3">
      <c r="B36" s="22" t="s">
        <v>86</v>
      </c>
      <c r="C36" s="21">
        <v>78</v>
      </c>
    </row>
    <row r="37" spans="2:3">
      <c r="B37" s="22" t="s">
        <v>87</v>
      </c>
      <c r="C37" s="21">
        <v>92</v>
      </c>
    </row>
    <row r="38" spans="2:3">
      <c r="B38" s="22" t="s">
        <v>88</v>
      </c>
      <c r="C38" s="21">
        <v>87</v>
      </c>
    </row>
    <row r="39" spans="2:3">
      <c r="B39" s="22" t="s">
        <v>89</v>
      </c>
      <c r="C39" s="21">
        <v>91</v>
      </c>
    </row>
    <row r="40" spans="2:3">
      <c r="B40" s="22" t="s">
        <v>90</v>
      </c>
      <c r="C40" s="21">
        <v>69</v>
      </c>
    </row>
    <row r="41" spans="2:3">
      <c r="B41" s="22" t="s">
        <v>91</v>
      </c>
      <c r="C41" s="21">
        <v>94</v>
      </c>
    </row>
    <row r="42" spans="2:3">
      <c r="B42" s="22" t="s">
        <v>92</v>
      </c>
      <c r="C42" s="21">
        <v>62</v>
      </c>
    </row>
    <row r="43" spans="2:3">
      <c r="B43" s="22" t="s">
        <v>93</v>
      </c>
      <c r="C43" s="21">
        <v>82</v>
      </c>
    </row>
    <row r="44" spans="2:3">
      <c r="B44" s="22" t="s">
        <v>94</v>
      </c>
      <c r="C44" s="21">
        <v>91</v>
      </c>
    </row>
    <row r="45" spans="2:3">
      <c r="B45" s="20" t="s">
        <v>62</v>
      </c>
      <c r="C45" s="21">
        <v>536</v>
      </c>
    </row>
    <row r="46" spans="2:3">
      <c r="B46" s="22" t="s">
        <v>95</v>
      </c>
      <c r="C46" s="21">
        <v>92</v>
      </c>
    </row>
    <row r="47" spans="2:3">
      <c r="B47" s="22" t="s">
        <v>96</v>
      </c>
      <c r="C47" s="21">
        <v>68</v>
      </c>
    </row>
    <row r="48" spans="2:3">
      <c r="B48" s="22" t="s">
        <v>97</v>
      </c>
      <c r="C48" s="21">
        <v>93</v>
      </c>
    </row>
    <row r="49" spans="2:3">
      <c r="B49" s="22" t="s">
        <v>98</v>
      </c>
      <c r="C49" s="21">
        <v>64</v>
      </c>
    </row>
    <row r="50" spans="2:3">
      <c r="B50" s="22" t="s">
        <v>99</v>
      </c>
      <c r="C50" s="21">
        <v>61</v>
      </c>
    </row>
    <row r="51" spans="2:3">
      <c r="B51" s="22" t="s">
        <v>100</v>
      </c>
      <c r="C51" s="21">
        <v>88</v>
      </c>
    </row>
    <row r="52" spans="2:3">
      <c r="B52" s="22" t="s">
        <v>101</v>
      </c>
      <c r="C52" s="21">
        <v>70</v>
      </c>
    </row>
    <row r="53" spans="2:3">
      <c r="B53" s="20" t="s">
        <v>60</v>
      </c>
      <c r="C53" s="21">
        <v>2988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6E6CB-BC54-4FAB-92BE-A301DACB19E3}">
  <dimension ref="A1"/>
  <sheetViews>
    <sheetView showGridLines="0" tabSelected="1" topLeftCell="A5" zoomScale="81" zoomScaleNormal="81" workbookViewId="0">
      <selection activeCell="AC15" sqref="AC15"/>
    </sheetView>
  </sheetViews>
  <sheetFormatPr defaultRowHeight="14.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9"/>
  <sheetViews>
    <sheetView workbookViewId="0">
      <selection activeCell="I12" sqref="I12"/>
    </sheetView>
  </sheetViews>
  <sheetFormatPr defaultRowHeight="14.5"/>
  <cols>
    <col min="1" max="14" width="16" customWidth="1"/>
  </cols>
  <sheetData>
    <row r="1" spans="1:7">
      <c r="A1" t="s">
        <v>0</v>
      </c>
      <c r="B1" t="s">
        <v>1</v>
      </c>
      <c r="C1" t="s">
        <v>2</v>
      </c>
      <c r="D1" t="s">
        <v>3</v>
      </c>
      <c r="E1" t="s">
        <v>4</v>
      </c>
      <c r="F1" t="s">
        <v>5</v>
      </c>
    </row>
    <row r="2" spans="1:7">
      <c r="A2" s="1">
        <v>45658</v>
      </c>
      <c r="B2">
        <v>67</v>
      </c>
      <c r="C2" t="s">
        <v>6</v>
      </c>
      <c r="D2">
        <v>1157</v>
      </c>
      <c r="E2">
        <v>0.53</v>
      </c>
      <c r="F2">
        <v>8.6</v>
      </c>
    </row>
    <row r="3" spans="1:7">
      <c r="A3" s="1">
        <v>45659</v>
      </c>
      <c r="B3">
        <v>66</v>
      </c>
      <c r="C3" t="s">
        <v>7</v>
      </c>
      <c r="D3">
        <v>1358</v>
      </c>
      <c r="E3">
        <v>0.41</v>
      </c>
      <c r="F3">
        <v>7.8</v>
      </c>
    </row>
    <row r="4" spans="1:7">
      <c r="A4" s="1">
        <v>45660</v>
      </c>
      <c r="B4">
        <v>95</v>
      </c>
      <c r="C4" t="s">
        <v>8</v>
      </c>
      <c r="D4">
        <v>1284</v>
      </c>
      <c r="E4">
        <v>0.47</v>
      </c>
      <c r="F4">
        <v>6.7</v>
      </c>
    </row>
    <row r="5" spans="1:7">
      <c r="A5" s="1">
        <v>45661</v>
      </c>
      <c r="B5">
        <v>60</v>
      </c>
      <c r="C5" t="s">
        <v>9</v>
      </c>
      <c r="D5">
        <v>956</v>
      </c>
      <c r="E5">
        <v>0.3</v>
      </c>
      <c r="F5">
        <v>3.4</v>
      </c>
    </row>
    <row r="6" spans="1:7">
      <c r="A6" s="1">
        <v>45662</v>
      </c>
      <c r="B6">
        <v>60</v>
      </c>
      <c r="C6" t="s">
        <v>8</v>
      </c>
      <c r="D6">
        <v>1247</v>
      </c>
      <c r="E6">
        <v>0.31</v>
      </c>
      <c r="F6">
        <v>6.3</v>
      </c>
    </row>
    <row r="7" spans="1:7">
      <c r="A7" s="1">
        <v>45663</v>
      </c>
      <c r="B7">
        <v>82</v>
      </c>
      <c r="C7" t="s">
        <v>6</v>
      </c>
      <c r="D7">
        <v>1312</v>
      </c>
      <c r="E7">
        <v>0.33</v>
      </c>
      <c r="F7">
        <v>9.6</v>
      </c>
      <c r="G7" t="str" cm="1">
        <f t="array" ref="G7:G15">_xlfn.UNIQUE(DataTable[Segment])</f>
        <v>New</v>
      </c>
    </row>
    <row r="8" spans="1:7">
      <c r="A8" s="1">
        <v>45664</v>
      </c>
      <c r="B8">
        <v>64</v>
      </c>
      <c r="C8" t="s">
        <v>6</v>
      </c>
      <c r="D8">
        <v>945</v>
      </c>
      <c r="E8">
        <v>0.4</v>
      </c>
      <c r="F8">
        <v>5.3</v>
      </c>
      <c r="G8" t="str">
        <v>Dormant</v>
      </c>
    </row>
    <row r="9" spans="1:7">
      <c r="A9" s="1">
        <v>45665</v>
      </c>
      <c r="B9">
        <v>89</v>
      </c>
      <c r="C9" t="s">
        <v>10</v>
      </c>
      <c r="D9">
        <v>1348</v>
      </c>
      <c r="E9">
        <v>0.43</v>
      </c>
      <c r="F9">
        <v>9.3000000000000007</v>
      </c>
      <c r="G9" t="str">
        <v>Unknown</v>
      </c>
    </row>
    <row r="10" spans="1:7">
      <c r="A10" s="1">
        <v>45666</v>
      </c>
      <c r="B10">
        <v>79</v>
      </c>
      <c r="C10" t="s">
        <v>11</v>
      </c>
      <c r="D10">
        <v>1334</v>
      </c>
      <c r="E10">
        <v>0.45</v>
      </c>
      <c r="F10">
        <v>6</v>
      </c>
      <c r="G10" t="str">
        <v>Standard</v>
      </c>
    </row>
    <row r="11" spans="1:7">
      <c r="A11" s="1">
        <v>45667</v>
      </c>
      <c r="B11">
        <v>87</v>
      </c>
      <c r="C11" t="s">
        <v>9</v>
      </c>
      <c r="D11">
        <v>1104</v>
      </c>
      <c r="E11">
        <v>0.51</v>
      </c>
      <c r="F11">
        <v>7.8</v>
      </c>
      <c r="G11" t="str">
        <v>Emerging</v>
      </c>
    </row>
    <row r="12" spans="1:7">
      <c r="A12" s="1">
        <v>45668</v>
      </c>
      <c r="B12">
        <v>67</v>
      </c>
      <c r="C12" t="s">
        <v>12</v>
      </c>
      <c r="D12">
        <v>1159</v>
      </c>
      <c r="E12">
        <v>0.48</v>
      </c>
      <c r="F12">
        <v>10.7</v>
      </c>
      <c r="G12" t="str">
        <v>High Value</v>
      </c>
    </row>
    <row r="13" spans="1:7">
      <c r="A13" s="1">
        <v>45669</v>
      </c>
      <c r="B13">
        <v>91</v>
      </c>
      <c r="C13" t="s">
        <v>12</v>
      </c>
      <c r="D13">
        <v>1369</v>
      </c>
      <c r="E13">
        <v>0.38</v>
      </c>
      <c r="F13">
        <v>10.5</v>
      </c>
      <c r="G13" t="str">
        <v>Other</v>
      </c>
    </row>
    <row r="14" spans="1:7">
      <c r="A14" s="1">
        <v>45670</v>
      </c>
      <c r="B14">
        <v>90</v>
      </c>
      <c r="C14" t="s">
        <v>13</v>
      </c>
      <c r="D14">
        <v>1165</v>
      </c>
      <c r="E14">
        <v>0.48</v>
      </c>
      <c r="F14">
        <v>8</v>
      </c>
      <c r="G14" t="str">
        <v>N/A</v>
      </c>
    </row>
    <row r="15" spans="1:7">
      <c r="A15" s="1">
        <v>45671</v>
      </c>
      <c r="B15">
        <v>68</v>
      </c>
      <c r="C15" t="s">
        <v>11</v>
      </c>
      <c r="D15">
        <v>1392</v>
      </c>
      <c r="E15">
        <v>0.45</v>
      </c>
      <c r="F15">
        <v>10.9</v>
      </c>
      <c r="G15" t="str">
        <v>At-Risk</v>
      </c>
    </row>
    <row r="16" spans="1:7">
      <c r="A16" s="1">
        <v>45672</v>
      </c>
      <c r="B16">
        <v>66</v>
      </c>
      <c r="C16" t="s">
        <v>12</v>
      </c>
      <c r="D16">
        <v>1140</v>
      </c>
      <c r="E16">
        <v>0.25</v>
      </c>
      <c r="F16">
        <v>10.9</v>
      </c>
    </row>
    <row r="17" spans="1:6">
      <c r="A17" s="1">
        <v>45673</v>
      </c>
      <c r="B17">
        <v>67</v>
      </c>
      <c r="C17" t="s">
        <v>8</v>
      </c>
      <c r="D17">
        <v>1245</v>
      </c>
      <c r="E17">
        <v>0.36</v>
      </c>
      <c r="F17">
        <v>11.3</v>
      </c>
    </row>
    <row r="18" spans="1:6">
      <c r="A18" s="1">
        <v>45674</v>
      </c>
      <c r="B18">
        <v>94</v>
      </c>
      <c r="C18" t="s">
        <v>14</v>
      </c>
      <c r="D18">
        <v>1186</v>
      </c>
      <c r="E18">
        <v>0.34</v>
      </c>
      <c r="F18">
        <v>12</v>
      </c>
    </row>
    <row r="19" spans="1:6">
      <c r="A19" s="1">
        <v>45675</v>
      </c>
      <c r="B19">
        <v>95</v>
      </c>
      <c r="C19" t="s">
        <v>13</v>
      </c>
      <c r="D19">
        <v>1257</v>
      </c>
      <c r="E19">
        <v>0.37</v>
      </c>
      <c r="F19">
        <v>10.9</v>
      </c>
    </row>
    <row r="20" spans="1:6">
      <c r="A20" s="1">
        <v>45676</v>
      </c>
      <c r="B20">
        <v>87</v>
      </c>
      <c r="C20" t="s">
        <v>7</v>
      </c>
      <c r="D20">
        <v>1050</v>
      </c>
      <c r="E20">
        <v>0.49</v>
      </c>
      <c r="F20">
        <v>2.6</v>
      </c>
    </row>
    <row r="21" spans="1:6">
      <c r="A21" s="1">
        <v>45677</v>
      </c>
      <c r="B21">
        <v>69</v>
      </c>
      <c r="C21" t="s">
        <v>8</v>
      </c>
      <c r="D21">
        <v>1311</v>
      </c>
      <c r="E21">
        <v>0.38</v>
      </c>
      <c r="F21">
        <v>7.2</v>
      </c>
    </row>
    <row r="22" spans="1:6">
      <c r="A22" s="1">
        <v>45678</v>
      </c>
      <c r="B22">
        <v>72</v>
      </c>
      <c r="C22" t="s">
        <v>14</v>
      </c>
      <c r="D22">
        <v>1254</v>
      </c>
      <c r="E22">
        <v>0.37</v>
      </c>
      <c r="F22">
        <v>7.4</v>
      </c>
    </row>
    <row r="23" spans="1:6">
      <c r="A23" s="1">
        <v>45679</v>
      </c>
      <c r="B23">
        <v>91</v>
      </c>
      <c r="C23" t="s">
        <v>12</v>
      </c>
      <c r="D23">
        <v>1185</v>
      </c>
      <c r="E23">
        <v>0.43</v>
      </c>
      <c r="F23">
        <v>2.8</v>
      </c>
    </row>
    <row r="24" spans="1:6">
      <c r="A24" s="1">
        <v>45680</v>
      </c>
      <c r="B24">
        <v>78</v>
      </c>
      <c r="C24" t="s">
        <v>6</v>
      </c>
      <c r="D24">
        <v>1134</v>
      </c>
      <c r="E24">
        <v>0.52</v>
      </c>
      <c r="F24">
        <v>3.4</v>
      </c>
    </row>
    <row r="25" spans="1:6">
      <c r="A25" s="1">
        <v>45681</v>
      </c>
      <c r="B25">
        <v>92</v>
      </c>
      <c r="C25" t="s">
        <v>14</v>
      </c>
      <c r="D25">
        <v>1131</v>
      </c>
      <c r="E25">
        <v>0.52</v>
      </c>
      <c r="F25">
        <v>4.2</v>
      </c>
    </row>
    <row r="26" spans="1:6">
      <c r="A26" s="1">
        <v>45682</v>
      </c>
      <c r="B26">
        <v>87</v>
      </c>
      <c r="C26" t="s">
        <v>8</v>
      </c>
      <c r="D26">
        <v>1381</v>
      </c>
      <c r="E26">
        <v>0.22</v>
      </c>
      <c r="F26">
        <v>5</v>
      </c>
    </row>
    <row r="27" spans="1:6">
      <c r="A27" s="1">
        <v>45683</v>
      </c>
      <c r="B27">
        <v>91</v>
      </c>
      <c r="C27" t="s">
        <v>6</v>
      </c>
      <c r="D27">
        <v>949</v>
      </c>
      <c r="E27">
        <v>0.27</v>
      </c>
      <c r="F27">
        <v>10.6</v>
      </c>
    </row>
    <row r="28" spans="1:6">
      <c r="A28" s="1">
        <v>45684</v>
      </c>
      <c r="B28">
        <v>69</v>
      </c>
      <c r="C28" t="s">
        <v>8</v>
      </c>
      <c r="D28">
        <v>1369</v>
      </c>
      <c r="E28">
        <v>0.2</v>
      </c>
      <c r="F28">
        <v>2.5</v>
      </c>
    </row>
    <row r="29" spans="1:6">
      <c r="A29" s="1">
        <v>45685</v>
      </c>
      <c r="B29">
        <v>94</v>
      </c>
      <c r="C29" t="s">
        <v>9</v>
      </c>
      <c r="D29">
        <v>1212</v>
      </c>
      <c r="E29">
        <v>0.48</v>
      </c>
      <c r="F29">
        <v>4.9000000000000004</v>
      </c>
    </row>
    <row r="30" spans="1:6">
      <c r="A30" s="1">
        <v>45686</v>
      </c>
      <c r="B30">
        <v>62</v>
      </c>
      <c r="C30" t="s">
        <v>13</v>
      </c>
      <c r="D30">
        <v>1389</v>
      </c>
      <c r="E30">
        <v>0.28999999999999998</v>
      </c>
      <c r="F30">
        <v>9.6999999999999993</v>
      </c>
    </row>
    <row r="31" spans="1:6">
      <c r="A31" s="1">
        <v>45687</v>
      </c>
      <c r="B31">
        <v>82</v>
      </c>
      <c r="C31" t="s">
        <v>10</v>
      </c>
      <c r="D31">
        <v>902</v>
      </c>
      <c r="E31">
        <v>0.31</v>
      </c>
      <c r="F31">
        <v>8</v>
      </c>
    </row>
    <row r="32" spans="1:6">
      <c r="A32" s="1">
        <v>45688</v>
      </c>
      <c r="B32">
        <v>91</v>
      </c>
      <c r="C32" t="s">
        <v>10</v>
      </c>
      <c r="D32">
        <v>1179</v>
      </c>
      <c r="E32">
        <v>0.28000000000000003</v>
      </c>
      <c r="F32">
        <v>8.1</v>
      </c>
    </row>
    <row r="33" spans="1:6">
      <c r="A33" s="1">
        <v>45689</v>
      </c>
      <c r="B33">
        <v>92</v>
      </c>
      <c r="C33" t="s">
        <v>14</v>
      </c>
      <c r="D33">
        <v>943</v>
      </c>
      <c r="E33">
        <v>0.35</v>
      </c>
      <c r="F33">
        <v>4</v>
      </c>
    </row>
    <row r="34" spans="1:6">
      <c r="A34" s="1">
        <v>45690</v>
      </c>
      <c r="B34">
        <v>68</v>
      </c>
      <c r="C34" t="s">
        <v>14</v>
      </c>
      <c r="D34">
        <v>1159</v>
      </c>
      <c r="E34">
        <v>0.34</v>
      </c>
      <c r="F34">
        <v>10.199999999999999</v>
      </c>
    </row>
    <row r="35" spans="1:6">
      <c r="A35" s="1">
        <v>45691</v>
      </c>
      <c r="B35">
        <v>93</v>
      </c>
      <c r="C35" t="s">
        <v>7</v>
      </c>
      <c r="D35">
        <v>1092</v>
      </c>
      <c r="E35">
        <v>0.2</v>
      </c>
      <c r="F35">
        <v>3.5</v>
      </c>
    </row>
    <row r="36" spans="1:6">
      <c r="A36" s="1">
        <v>45692</v>
      </c>
      <c r="B36">
        <v>64</v>
      </c>
      <c r="C36" t="s">
        <v>11</v>
      </c>
      <c r="D36">
        <v>1326</v>
      </c>
      <c r="E36">
        <v>0.32</v>
      </c>
      <c r="F36">
        <v>5.9</v>
      </c>
    </row>
    <row r="37" spans="1:6">
      <c r="A37" s="1">
        <v>45693</v>
      </c>
      <c r="B37">
        <v>61</v>
      </c>
      <c r="C37" t="s">
        <v>11</v>
      </c>
      <c r="D37">
        <v>1161</v>
      </c>
      <c r="E37">
        <v>0.37</v>
      </c>
      <c r="F37">
        <v>9</v>
      </c>
    </row>
    <row r="38" spans="1:6">
      <c r="A38" s="1">
        <v>45694</v>
      </c>
      <c r="B38">
        <v>88</v>
      </c>
      <c r="C38" t="s">
        <v>6</v>
      </c>
      <c r="D38">
        <v>1367</v>
      </c>
      <c r="E38">
        <v>0.24</v>
      </c>
      <c r="F38">
        <v>11.5</v>
      </c>
    </row>
    <row r="39" spans="1:6">
      <c r="A39" s="1">
        <v>45695</v>
      </c>
      <c r="B39">
        <v>70</v>
      </c>
      <c r="C39" t="s">
        <v>10</v>
      </c>
      <c r="D39">
        <v>1202</v>
      </c>
      <c r="E39">
        <v>0.38</v>
      </c>
      <c r="F39">
        <v>6.6</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
  <sheetViews>
    <sheetView workbookViewId="0"/>
  </sheetViews>
  <sheetFormatPr defaultRowHeight="14.5"/>
  <cols>
    <col min="1" max="14" width="16" customWidth="1"/>
  </cols>
  <sheetData>
    <row r="1" spans="1:4">
      <c r="A1" t="s">
        <v>15</v>
      </c>
      <c r="B1" t="s">
        <v>16</v>
      </c>
      <c r="C1" t="s">
        <v>17</v>
      </c>
      <c r="D1" t="s">
        <v>18</v>
      </c>
    </row>
    <row r="2" spans="1:4">
      <c r="A2" t="s">
        <v>19</v>
      </c>
      <c r="B2">
        <v>91</v>
      </c>
      <c r="C2">
        <v>120000</v>
      </c>
      <c r="D2">
        <v>4.2</v>
      </c>
    </row>
    <row r="3" spans="1:4">
      <c r="A3" t="s">
        <v>20</v>
      </c>
      <c r="B3">
        <v>77</v>
      </c>
      <c r="C3">
        <v>98500</v>
      </c>
      <c r="D3">
        <v>6</v>
      </c>
    </row>
    <row r="4" spans="1:4">
      <c r="A4" t="s">
        <v>21</v>
      </c>
      <c r="B4">
        <v>68</v>
      </c>
      <c r="C4">
        <v>42000</v>
      </c>
      <c r="D4">
        <v>12</v>
      </c>
    </row>
    <row r="5" spans="1:4">
      <c r="A5" t="s">
        <v>22</v>
      </c>
      <c r="B5">
        <v>83</v>
      </c>
      <c r="C5">
        <v>101000</v>
      </c>
      <c r="D5" t="s">
        <v>23</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1"/>
  <sheetViews>
    <sheetView workbookViewId="0">
      <selection activeCell="I12" sqref="I12"/>
    </sheetView>
  </sheetViews>
  <sheetFormatPr defaultRowHeight="14.5"/>
  <cols>
    <col min="1" max="14" width="16" customWidth="1"/>
  </cols>
  <sheetData>
    <row r="1" spans="1:2">
      <c r="A1" t="s">
        <v>24</v>
      </c>
      <c r="B1" t="s">
        <v>25</v>
      </c>
    </row>
    <row r="2" spans="1:2">
      <c r="A2" t="s">
        <v>26</v>
      </c>
      <c r="B2">
        <v>72</v>
      </c>
    </row>
    <row r="3" spans="1:2">
      <c r="A3" t="s">
        <v>27</v>
      </c>
      <c r="B3">
        <v>81</v>
      </c>
    </row>
    <row r="4" spans="1:2">
      <c r="A4" t="s">
        <v>28</v>
      </c>
      <c r="B4">
        <v>68</v>
      </c>
    </row>
    <row r="5" spans="1:2">
      <c r="A5" t="s">
        <v>29</v>
      </c>
      <c r="B5">
        <v>90</v>
      </c>
    </row>
    <row r="6" spans="1:2">
      <c r="A6" t="s">
        <v>30</v>
      </c>
      <c r="B6">
        <v>75</v>
      </c>
    </row>
    <row r="7" spans="1:2">
      <c r="A7" t="s">
        <v>31</v>
      </c>
      <c r="B7">
        <v>88</v>
      </c>
    </row>
    <row r="8" spans="1:2">
      <c r="A8" t="s">
        <v>32</v>
      </c>
      <c r="B8">
        <v>70</v>
      </c>
    </row>
    <row r="9" spans="1:2">
      <c r="A9" t="s">
        <v>33</v>
      </c>
      <c r="B9">
        <v>92</v>
      </c>
    </row>
    <row r="10" spans="1:2">
      <c r="A10" t="s">
        <v>34</v>
      </c>
      <c r="B10">
        <v>77</v>
      </c>
    </row>
    <row r="11" spans="1:2">
      <c r="A11" t="s">
        <v>35</v>
      </c>
      <c r="B11">
        <v>83</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
  <sheetViews>
    <sheetView workbookViewId="0"/>
  </sheetViews>
  <sheetFormatPr defaultRowHeight="14.5"/>
  <cols>
    <col min="1" max="14" width="16" customWidth="1"/>
  </cols>
  <sheetData>
    <row r="1" spans="1:2">
      <c r="A1" t="s">
        <v>2</v>
      </c>
      <c r="B1" t="s">
        <v>36</v>
      </c>
    </row>
    <row r="2" spans="1:2">
      <c r="A2" t="s">
        <v>11</v>
      </c>
      <c r="B2">
        <v>15</v>
      </c>
    </row>
    <row r="3" spans="1:2">
      <c r="A3" t="s">
        <v>9</v>
      </c>
      <c r="B3">
        <v>19</v>
      </c>
    </row>
    <row r="4" spans="1:2">
      <c r="A4" t="s">
        <v>10</v>
      </c>
      <c r="B4">
        <v>24</v>
      </c>
    </row>
    <row r="5" spans="1:2">
      <c r="A5" t="s">
        <v>7</v>
      </c>
      <c r="B5">
        <v>12</v>
      </c>
    </row>
    <row r="6" spans="1:2">
      <c r="A6" t="s">
        <v>14</v>
      </c>
      <c r="B6">
        <v>7</v>
      </c>
    </row>
    <row r="7" spans="1:2">
      <c r="A7" t="s">
        <v>6</v>
      </c>
      <c r="B7">
        <v>22</v>
      </c>
    </row>
    <row r="8" spans="1:2">
      <c r="A8" t="s">
        <v>12</v>
      </c>
      <c r="B8">
        <v>17</v>
      </c>
    </row>
    <row r="9" spans="1:2">
      <c r="A9" t="s">
        <v>8</v>
      </c>
      <c r="B9">
        <v>6</v>
      </c>
    </row>
    <row r="10" spans="1:2">
      <c r="A10" t="s">
        <v>13</v>
      </c>
      <c r="B10">
        <v>11</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Pivot</vt:lpstr>
      <vt:lpstr>Improve_Dashboard</vt:lpstr>
      <vt:lpstr>Data</vt:lpstr>
      <vt:lpstr>Accounts</vt:lpstr>
      <vt:lpstr>Top_Accounts</vt:lpstr>
      <vt:lpstr>Segment_Summary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Robert Bukit</cp:lastModifiedBy>
  <dcterms:created xsi:type="dcterms:W3CDTF">2026-02-25T05:15:36Z</dcterms:created>
  <dcterms:modified xsi:type="dcterms:W3CDTF">2026-03-20T10:27:18Z</dcterms:modified>
</cp:coreProperties>
</file>