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ber\Downloads\"/>
    </mc:Choice>
  </mc:AlternateContent>
  <xr:revisionPtr revIDLastSave="0" documentId="13_ncr:1_{15719CE6-0646-4DA3-82C6-6ED24574DFB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Final_Project_Data" sheetId="1" r:id="rId1"/>
    <sheet name="Dashboard" sheetId="2" r:id="rId2"/>
  </sheets>
  <definedNames>
    <definedName name="_xlchart.v1.0" hidden="1">Final_Project_Data!$A$10:$A$16</definedName>
    <definedName name="_xlchart.v1.1" hidden="1">Final_Project_Data!$B$10:$B$16</definedName>
    <definedName name="_xlchart.v1.10" hidden="1">Final_Project_Data!$B$10:$B$16</definedName>
    <definedName name="_xlchart.v1.11" hidden="1">Final_Project_Data!$B$9</definedName>
    <definedName name="_xlchart.v1.2" hidden="1">Final_Project_Data!$B$9</definedName>
    <definedName name="_xlchart.v1.3" hidden="1">Final_Project_Data!$A$10:$A$16</definedName>
    <definedName name="_xlchart.v1.4" hidden="1">Final_Project_Data!$B$10:$B$16</definedName>
    <definedName name="_xlchart.v1.5" hidden="1">Final_Project_Data!$B$9</definedName>
    <definedName name="_xlchart.v1.6" hidden="1">Final_Project_Data!$A$10:$A$16</definedName>
    <definedName name="_xlchart.v1.7" hidden="1">Final_Project_Data!$B$10:$B$16</definedName>
    <definedName name="_xlchart.v1.8" hidden="1">Final_Project_Data!$B$9</definedName>
    <definedName name="_xlchart.v1.9" hidden="1">Final_Project_Data!$A$10:$A$16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fh/IhZfzrukTLWjTZ/bD7bx2RDQZ2YjLsXlny4lp78c="/>
    </ext>
  </extLst>
</workbook>
</file>

<file path=xl/calcChain.xml><?xml version="1.0" encoding="utf-8"?>
<calcChain xmlns="http://schemas.openxmlformats.org/spreadsheetml/2006/main">
  <c r="F11" i="1" l="1"/>
  <c r="F12" i="1"/>
  <c r="F13" i="1"/>
  <c r="F10" i="1"/>
</calcChain>
</file>

<file path=xl/sharedStrings.xml><?xml version="1.0" encoding="utf-8"?>
<sst xmlns="http://schemas.openxmlformats.org/spreadsheetml/2006/main" count="28" uniqueCount="15">
  <si>
    <t>Final Project Dataset: Company Performance Data</t>
  </si>
  <si>
    <t>Quarter</t>
  </si>
  <si>
    <t>Revenue</t>
  </si>
  <si>
    <t>COGS</t>
  </si>
  <si>
    <t>Marketing Expense</t>
  </si>
  <si>
    <t>Operating Expense</t>
  </si>
  <si>
    <t>Interest Expense</t>
  </si>
  <si>
    <t>Taxes</t>
  </si>
  <si>
    <t>Q1</t>
  </si>
  <si>
    <t>Q2</t>
  </si>
  <si>
    <t>Q3</t>
  </si>
  <si>
    <t>Q4</t>
  </si>
  <si>
    <t>Kategori</t>
  </si>
  <si>
    <t>Nilai Total (Sum Q1-Q4)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</si>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</sst>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5"/>
      <color theme="1"/>
      <name val="Arial"/>
    </font>
    <font>
      <sz val="15"/>
      <color theme="1"/>
      <name val="Arial"/>
    </font>
    <font>
      <b/>
      <sz val="15"/>
      <color theme="1"/>
      <name val="Calibri"/>
    </font>
    <font>
      <sz val="11"/>
      <color theme="1"/>
      <name val="Calibri"/>
      <scheme val="minor"/>
    </font>
    <font>
      <sz val="15"/>
      <color theme="1"/>
      <name val="Calibri"/>
    </font>
    <font>
      <sz val="10"/>
      <color theme="1"/>
      <name val="Arial"/>
      <family val="2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color theme="1"/>
      <name val="Calibri"/>
      <family val="2"/>
    </font>
    <font>
      <sz val="15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/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 wrapText="1"/>
    </xf>
    <xf numFmtId="0" fontId="10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Analyze</a:t>
            </a:r>
            <a:r>
              <a:rPr lang="en-ID" b="1" baseline="0"/>
              <a:t> Revenue to Income Over Year per Quartal</a:t>
            </a:r>
            <a:endParaRPr lang="en-ID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Final_Project_Data!$E$9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Final_Project_Data!$D$10:$D$13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Final_Project_Data!$E$10:$E$13</c:f>
              <c:numCache>
                <c:formatCode>General</c:formatCode>
                <c:ptCount val="4"/>
                <c:pt idx="0">
                  <c:v>1250000</c:v>
                </c:pt>
                <c:pt idx="1">
                  <c:v>1180000</c:v>
                </c:pt>
                <c:pt idx="2">
                  <c:v>1400000</c:v>
                </c:pt>
                <c:pt idx="3">
                  <c:v>1320000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A-41E0-972E-D8A573B58678}"/>
            </c:ext>
          </c:extLst>
        </c:ser>
        <c:ser>
          <c:idx val="1"/>
          <c:order val="1"/>
          <c:tx>
            <c:strRef>
              <c:f>Final_Project_Data!$F$9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Final_Project_Data!$D$10:$D$13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Final_Project_Data!$F$10:$F$13</c:f>
              <c:numCache>
                <c:formatCode>General</c:formatCode>
                <c:ptCount val="4"/>
                <c:pt idx="0">
                  <c:v>315000</c:v>
                </c:pt>
                <c:pt idx="1">
                  <c:v>246000</c:v>
                </c:pt>
                <c:pt idx="2">
                  <c:v>349000</c:v>
                </c:pt>
                <c:pt idx="3">
                  <c:v>332000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7A-41E0-972E-D8A573B58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0982463"/>
        <c:axId val="1280966143"/>
      </c:barChart>
      <c:catAx>
        <c:axId val="128098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966143"/>
        <c:crosses val="autoZero"/>
        <c:auto val="1"/>
        <c:lblAlgn val="ctr"/>
        <c:lblOffset val="100"/>
        <c:noMultiLvlLbl val="0"/>
      </c:catAx>
      <c:valAx>
        <c:axId val="1280966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98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Top</a:t>
            </a:r>
            <a:r>
              <a:rPr lang="en-ID" baseline="0"/>
              <a:t>  cost expenses for revenue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628549891471175"/>
          <c:y val="0.26122200634011661"/>
          <c:w val="0.34205432798408847"/>
          <c:h val="0.6419071479701401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803-49AE-BA7F-C61C22DA11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803-49AE-BA7F-C61C22DA1134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803-49AE-BA7F-C61C22DA1134}"/>
              </c:ext>
            </c:extLst>
          </c:dPt>
          <c:dPt>
            <c:idx val="3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803-49AE-BA7F-C61C22DA1134}"/>
              </c:ext>
            </c:extLst>
          </c:dPt>
          <c:dPt>
            <c:idx val="4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803-49AE-BA7F-C61C22DA11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Final_Project_Data!$A$11:$A$15</c:f>
              <c:strCache>
                <c:ptCount val="5"/>
                <c:pt idx="0">
                  <c:v>COGS</c:v>
                </c:pt>
                <c:pt idx="1">
                  <c:v>Marketing Expense</c:v>
                </c:pt>
                <c:pt idx="2">
                  <c:v>Operating Expense</c:v>
                </c:pt>
                <c:pt idx="3">
                  <c:v>Interest Expense</c:v>
                </c:pt>
                <c:pt idx="4">
                  <c:v>Taxes</c:v>
                </c:pt>
              </c:strCache>
            </c:strRef>
          </c:cat>
          <c:val>
            <c:numRef>
              <c:f>Final_Project_Data!$B$11:$B$15</c:f>
              <c:numCache>
                <c:formatCode>General</c:formatCode>
                <c:ptCount val="5"/>
                <c:pt idx="0">
                  <c:v>-2155000</c:v>
                </c:pt>
                <c:pt idx="1">
                  <c:v>-418000</c:v>
                </c:pt>
                <c:pt idx="2">
                  <c:v>-885000</c:v>
                </c:pt>
                <c:pt idx="3">
                  <c:v>-100000</c:v>
                </c:pt>
                <c:pt idx="4">
                  <c:v>-350000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03-49AE-BA7F-C61C22DA11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ID" b="1"/>
              <a:t>FY 2026 Annual Financial Performance Dashboard</a:t>
            </a:r>
            <a:endParaRPr lang="en-US" sz="1400" b="1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endParaRPr>
          </a:p>
        </cx:rich>
      </cx:tx>
    </cx:title>
    <cx:plotArea>
      <cx:plotAreaRegion>
        <cx:series layoutId="waterfall" uniqueId="{0421A941-18FB-4344-9B58-1FA72E13EEA8}">
          <cx:tx>
            <cx:txData>
              <cx:f>_xlchart.v1.11</cx:f>
              <cx:v>Nilai Total (Sum Q1-Q4)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6"/>
            </cx:subtotals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6350</xdr:colOff>
      <xdr:row>16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0683B4C-E568-4B66-A4F5-3D5FA1276D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6102350" cy="294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215900</xdr:colOff>
      <xdr:row>0</xdr:row>
      <xdr:rowOff>38100</xdr:rowOff>
    </xdr:from>
    <xdr:to>
      <xdr:col>18</xdr:col>
      <xdr:colOff>546100</xdr:colOff>
      <xdr:row>16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37E081-5030-4142-9B37-8B6E2C000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412750</xdr:colOff>
      <xdr:row>16</xdr:row>
      <xdr:rowOff>152400</xdr:rowOff>
    </xdr:from>
    <xdr:to>
      <xdr:col>14</xdr:col>
      <xdr:colOff>266700</xdr:colOff>
      <xdr:row>33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82570C-CE5C-46D4-856F-10442265E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7FAD2E-255A-4811-92FF-A6F563DDE8CC}" name="Table1" displayName="Table1" ref="A9:B16" totalsRowShown="0" headerRowBorderDxfId="3" tableBorderDxfId="4" totalsRowBorderDxfId="2">
  <autoFilter ref="A9:B16" xr:uid="{E07FAD2E-255A-4811-92FF-A6F563DDE8CC}"/>
  <tableColumns count="2">
    <tableColumn id="1" xr3:uid="{2BA6981B-F0ED-4B3E-BF5C-F29E5D31067E}" name="Kategori" dataDxfId="1"/>
    <tableColumn id="2" xr3:uid="{83B39484-E93A-45EE-AEB7-A48640A20AEA}" name="Nilai Total (Sum Q1-Q4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3" topLeftCell="A4" activePane="bottomLeft" state="frozen"/>
      <selection pane="bottomLeft" activeCell="G17" sqref="G17"/>
    </sheetView>
  </sheetViews>
  <sheetFormatPr defaultColWidth="14.453125" defaultRowHeight="15" customHeight="1" x14ac:dyDescent="0.35"/>
  <cols>
    <col min="1" max="1" width="19.54296875" customWidth="1"/>
    <col min="2" max="2" width="23.08984375" customWidth="1"/>
    <col min="3" max="3" width="13.54296875" customWidth="1"/>
    <col min="4" max="4" width="18" customWidth="1"/>
    <col min="5" max="5" width="19.08984375" customWidth="1"/>
    <col min="6" max="6" width="18.81640625" customWidth="1"/>
    <col min="7" max="7" width="15.26953125" customWidth="1"/>
    <col min="8" max="26" width="8.7265625" customWidth="1"/>
  </cols>
  <sheetData>
    <row r="1" spans="1:26" ht="14.2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26" ht="14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</row>
    <row r="3" spans="1:26" ht="14.25" customHeight="1" x14ac:dyDescent="0.4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45">
      <c r="A4" s="6" t="s">
        <v>8</v>
      </c>
      <c r="B4" s="6">
        <v>1250000</v>
      </c>
      <c r="C4" s="6">
        <v>520000</v>
      </c>
      <c r="D4" s="6">
        <v>95000</v>
      </c>
      <c r="E4" s="6">
        <v>210000</v>
      </c>
      <c r="F4" s="6">
        <v>25000</v>
      </c>
      <c r="G4" s="6">
        <v>85000</v>
      </c>
      <c r="H4" s="2"/>
      <c r="I4" s="2"/>
      <c r="J4" s="2"/>
    </row>
    <row r="5" spans="1:26" ht="14.25" customHeight="1" x14ac:dyDescent="0.45">
      <c r="A5" s="6" t="s">
        <v>9</v>
      </c>
      <c r="B5" s="6">
        <v>1180000</v>
      </c>
      <c r="C5" s="6">
        <v>505000</v>
      </c>
      <c r="D5" s="6">
        <v>105000</v>
      </c>
      <c r="E5" s="6">
        <v>220000</v>
      </c>
      <c r="F5" s="6">
        <v>24000</v>
      </c>
      <c r="G5" s="6">
        <v>80000</v>
      </c>
      <c r="H5" s="2"/>
      <c r="I5" s="2"/>
      <c r="J5" s="2"/>
    </row>
    <row r="6" spans="1:26" ht="14.25" customHeight="1" x14ac:dyDescent="0.45">
      <c r="A6" s="6" t="s">
        <v>10</v>
      </c>
      <c r="B6" s="6">
        <v>1400000</v>
      </c>
      <c r="C6" s="6">
        <v>580000</v>
      </c>
      <c r="D6" s="6">
        <v>120000</v>
      </c>
      <c r="E6" s="6">
        <v>230000</v>
      </c>
      <c r="F6" s="6">
        <v>26000</v>
      </c>
      <c r="G6" s="6">
        <v>95000</v>
      </c>
      <c r="H6" s="2"/>
      <c r="I6" s="2"/>
      <c r="J6" s="2"/>
    </row>
    <row r="7" spans="1:26" ht="14.25" customHeight="1" x14ac:dyDescent="0.45">
      <c r="A7" s="6" t="s">
        <v>11</v>
      </c>
      <c r="B7" s="6">
        <v>1320000</v>
      </c>
      <c r="C7" s="6">
        <v>550000</v>
      </c>
      <c r="D7" s="6">
        <v>98000</v>
      </c>
      <c r="E7" s="6">
        <v>225000</v>
      </c>
      <c r="F7" s="6">
        <v>25000</v>
      </c>
      <c r="G7" s="6">
        <v>90000</v>
      </c>
      <c r="H7" s="2"/>
      <c r="I7" s="2"/>
      <c r="J7" s="2"/>
    </row>
    <row r="8" spans="1:26" ht="14.25" customHeight="1" x14ac:dyDescent="0.4">
      <c r="A8" s="2"/>
      <c r="B8" s="2"/>
      <c r="C8" s="2"/>
      <c r="D8" s="2"/>
      <c r="E8" s="2"/>
      <c r="F8" s="2"/>
      <c r="G8" s="2"/>
      <c r="H8" s="2"/>
      <c r="I8" s="2"/>
      <c r="J8" s="2"/>
    </row>
    <row r="9" spans="1:26" ht="14.25" customHeight="1" thickBot="1" x14ac:dyDescent="0.5">
      <c r="A9" s="9" t="s">
        <v>12</v>
      </c>
      <c r="B9" s="10" t="s">
        <v>13</v>
      </c>
      <c r="D9" s="15" t="s">
        <v>1</v>
      </c>
      <c r="E9" s="15" t="s">
        <v>2</v>
      </c>
      <c r="F9" s="14" t="s">
        <v>14</v>
      </c>
    </row>
    <row r="10" spans="1:26" ht="14.25" customHeight="1" thickBot="1" x14ac:dyDescent="0.5">
      <c r="A10" s="7" t="s">
        <v>2</v>
      </c>
      <c r="B10" s="8">
        <v>5150000</v>
      </c>
      <c r="D10" s="16" t="s">
        <v>8</v>
      </c>
      <c r="E10" s="16">
        <v>1250000</v>
      </c>
      <c r="F10" s="13">
        <f>(B4-C4-D4-E4-F4-G4)</f>
        <v>315000</v>
      </c>
    </row>
    <row r="11" spans="1:26" ht="14.25" customHeight="1" thickBot="1" x14ac:dyDescent="0.5">
      <c r="A11" s="7" t="s">
        <v>3</v>
      </c>
      <c r="B11" s="8">
        <v>-2155000</v>
      </c>
      <c r="D11" s="16" t="s">
        <v>9</v>
      </c>
      <c r="E11" s="16">
        <v>1180000</v>
      </c>
      <c r="F11" s="13">
        <f t="shared" ref="F11:F13" si="0">(B5-C5-D5-E5-F5-G5)</f>
        <v>246000</v>
      </c>
    </row>
    <row r="12" spans="1:26" ht="14.25" customHeight="1" thickBot="1" x14ac:dyDescent="0.5">
      <c r="A12" s="7" t="s">
        <v>4</v>
      </c>
      <c r="B12" s="8">
        <v>-418000</v>
      </c>
      <c r="D12" s="16" t="s">
        <v>10</v>
      </c>
      <c r="E12" s="16">
        <v>1400000</v>
      </c>
      <c r="F12" s="13">
        <f t="shared" si="0"/>
        <v>349000</v>
      </c>
    </row>
    <row r="13" spans="1:26" ht="14.25" customHeight="1" thickBot="1" x14ac:dyDescent="0.5">
      <c r="A13" s="7" t="s">
        <v>5</v>
      </c>
      <c r="B13" s="8">
        <v>-885000</v>
      </c>
      <c r="D13" s="16" t="s">
        <v>11</v>
      </c>
      <c r="E13" s="16">
        <v>1320000</v>
      </c>
      <c r="F13" s="13">
        <f t="shared" si="0"/>
        <v>332000</v>
      </c>
    </row>
    <row r="14" spans="1:26" ht="14.25" customHeight="1" thickBot="1" x14ac:dyDescent="0.4">
      <c r="A14" s="7" t="s">
        <v>6</v>
      </c>
      <c r="B14" s="8">
        <v>-100000</v>
      </c>
    </row>
    <row r="15" spans="1:26" ht="14.25" customHeight="1" thickBot="1" x14ac:dyDescent="0.4">
      <c r="A15" s="7" t="s">
        <v>7</v>
      </c>
      <c r="B15" s="8">
        <v>-350000</v>
      </c>
    </row>
    <row r="16" spans="1:26" ht="14.25" customHeight="1" x14ac:dyDescent="0.35">
      <c r="A16" s="11" t="s">
        <v>14</v>
      </c>
      <c r="B16" s="12">
        <v>1242000</v>
      </c>
    </row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B4C9-9924-4E2A-A9A6-EC84E9CBD433}">
  <dimension ref="A1"/>
  <sheetViews>
    <sheetView tabSelected="1" workbookViewId="0">
      <selection activeCell="P19" sqref="P19"/>
    </sheetView>
  </sheetViews>
  <sheetFormatPr defaultRowHeight="14.5" x14ac:dyDescent="0.35"/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Final_Project_Data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Bukit</cp:lastModifiedBy>
  <cp:lastPrinted>2026-03-12T17:39:02Z</cp:lastPrinted>
  <dcterms:created xsi:type="dcterms:W3CDTF">2026-02-17T19:12:49Z</dcterms:created>
  <dcterms:modified xsi:type="dcterms:W3CDTF">2026-03-12T17:45:57Z</dcterms:modified>
</cp:coreProperties>
</file>