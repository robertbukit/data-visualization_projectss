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ober\Downloads\"/>
    </mc:Choice>
  </mc:AlternateContent>
  <xr:revisionPtr revIDLastSave="0" documentId="8_{AC14116F-E7C8-4F16-B537-891593E6AB2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nancial_Data" sheetId="1" r:id="rId1"/>
  </sheets>
  <definedNames>
    <definedName name="_xlchart.v1.0" hidden="1">Financial_Data!$D$12:$D$19</definedName>
    <definedName name="_xlchart.v1.1" hidden="1">Financial_Data!$E$11</definedName>
    <definedName name="_xlchart.v1.10" hidden="1">Financial_Data!$E$11</definedName>
    <definedName name="_xlchart.v1.11" hidden="1">Financial_Data!$E$12:$E$19</definedName>
    <definedName name="_xlchart.v1.12" hidden="1">Financial_Data!$F$11</definedName>
    <definedName name="_xlchart.v1.13" hidden="1">Financial_Data!$F$12:$F$19</definedName>
    <definedName name="_xlchart.v1.14" hidden="1">Financial_Data!$G$11</definedName>
    <definedName name="_xlchart.v1.15" hidden="1">Financial_Data!$G$12:$G$19</definedName>
    <definedName name="_xlchart.v1.16" hidden="1">Financial_Data!$H$11</definedName>
    <definedName name="_xlchart.v1.17" hidden="1">Financial_Data!$H$12:$H$19</definedName>
    <definedName name="_xlchart.v1.18" hidden="1">Financial_Data!$G$4:$G$6</definedName>
    <definedName name="_xlchart.v1.19" hidden="1">Financial_Data!$H$3</definedName>
    <definedName name="_xlchart.v1.2" hidden="1">Financial_Data!$E$12:$E$19</definedName>
    <definedName name="_xlchart.v1.20" hidden="1">Financial_Data!$H$4:$H$6</definedName>
    <definedName name="_xlchart.v1.3" hidden="1">Financial_Data!$F$11</definedName>
    <definedName name="_xlchart.v1.4" hidden="1">Financial_Data!$F$12:$F$19</definedName>
    <definedName name="_xlchart.v1.5" hidden="1">Financial_Data!$G$11</definedName>
    <definedName name="_xlchart.v1.6" hidden="1">Financial_Data!$G$12:$G$19</definedName>
    <definedName name="_xlchart.v1.7" hidden="1">Financial_Data!$H$11</definedName>
    <definedName name="_xlchart.v1.8" hidden="1">Financial_Data!$H$12:$H$19</definedName>
    <definedName name="_xlchart.v1.9" hidden="1">Financial_Data!$D$12:$D$19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UDG+2VyuQr/VlUz5wO3SWwaQHYIKMSbR0kfG6rqkfo="/>
    </ext>
  </extLst>
</workbook>
</file>

<file path=xl/calcChain.xml><?xml version="1.0" encoding="utf-8"?>
<calcChain xmlns="http://schemas.openxmlformats.org/spreadsheetml/2006/main">
  <c r="F14" i="1" l="1"/>
  <c r="F15" i="1"/>
  <c r="F16" i="1"/>
  <c r="F17" i="1"/>
  <c r="F18" i="1"/>
  <c r="F19" i="1"/>
  <c r="F13" i="1"/>
  <c r="G13" i="1"/>
  <c r="G14" i="1"/>
  <c r="G15" i="1"/>
  <c r="G16" i="1"/>
  <c r="G17" i="1"/>
  <c r="G18" i="1"/>
  <c r="G19" i="1"/>
  <c r="G12" i="1"/>
  <c r="H13" i="1"/>
  <c r="H14" i="1"/>
  <c r="H15" i="1"/>
  <c r="H16" i="1"/>
  <c r="H17" i="1"/>
  <c r="H18" i="1"/>
  <c r="H19" i="1"/>
  <c r="H12" i="1"/>
  <c r="E19" i="1"/>
</calcChain>
</file>

<file path=xl/sharedStrings.xml><?xml version="1.0" encoding="utf-8"?>
<sst xmlns="http://schemas.openxmlformats.org/spreadsheetml/2006/main" count="26" uniqueCount="25">
  <si>
    <t>Quarterly Financial Summary</t>
  </si>
  <si>
    <t>Revenue By Product</t>
  </si>
  <si>
    <t>Quarterly Expenses</t>
  </si>
  <si>
    <t>Category</t>
  </si>
  <si>
    <t>Amount</t>
  </si>
  <si>
    <t>Revenue</t>
  </si>
  <si>
    <t>Month</t>
  </si>
  <si>
    <t>Expenses</t>
  </si>
  <si>
    <t>Total Revenue</t>
  </si>
  <si>
    <t>Product A</t>
  </si>
  <si>
    <t>January</t>
  </si>
  <si>
    <t>Cost of Goods Sold</t>
  </si>
  <si>
    <t>Product B</t>
  </si>
  <si>
    <t>February</t>
  </si>
  <si>
    <t>Operating Expenses</t>
  </si>
  <si>
    <t>Product C</t>
  </si>
  <si>
    <t>March</t>
  </si>
  <si>
    <t>Marketing Expenses</t>
  </si>
  <si>
    <t>Administrative Expenses</t>
  </si>
  <si>
    <t>Interest Expense</t>
  </si>
  <si>
    <t>Taxes</t>
  </si>
  <si>
    <t>Net Income</t>
  </si>
  <si>
    <t>Base</t>
  </si>
  <si>
    <t>Decrease</t>
  </si>
  <si>
    <t>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</si>
</sst>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_-[$$-409]* #,##0_ ;_-[$$-409]* \-#,##0\ ;_-[$$-409]* &quot;-&quot;??_ ;_-@_ "/>
  </numFmts>
  <fonts count="6" x14ac:knownFonts="1">
    <font>
      <sz val="11"/>
      <color theme="1"/>
      <name val="Calibri"/>
      <scheme val="minor"/>
    </font>
    <font>
      <b/>
      <sz val="17"/>
      <color theme="1"/>
      <name val="Calibri"/>
    </font>
    <font>
      <sz val="17"/>
      <color theme="1"/>
      <name val="Calibri"/>
    </font>
    <font>
      <sz val="12"/>
      <color theme="1"/>
      <name val="Calibri"/>
    </font>
    <font>
      <b/>
      <sz val="12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0" fontId="5" fillId="0" borderId="0" xfId="0" applyFont="1"/>
    <xf numFmtId="0" fontId="4" fillId="0" borderId="0" xfId="0" applyFont="1" applyBorder="1"/>
    <xf numFmtId="0" fontId="3" fillId="0" borderId="0" xfId="0" applyFont="1" applyBorder="1"/>
    <xf numFmtId="169" fontId="3" fillId="0" borderId="0" xfId="0" applyNumberFormat="1" applyFont="1" applyBorder="1"/>
    <xf numFmtId="0" fontId="4" fillId="0" borderId="3" xfId="0" applyFont="1" applyBorder="1"/>
    <xf numFmtId="0" fontId="3" fillId="0" borderId="2" xfId="0" applyFont="1" applyBorder="1"/>
    <xf numFmtId="0" fontId="3" fillId="0" borderId="2" xfId="0" applyNumberFormat="1" applyFont="1" applyBorder="1"/>
    <xf numFmtId="0" fontId="3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Financial_Data!$E$3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D38-49B2-B192-F1B30250888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D38-49B2-B192-F1B30250888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D38-49B2-B192-F1B302508889}"/>
              </c:ext>
            </c:extLst>
          </c:dPt>
          <c:cat>
            <c:strRef>
              <c:f>Financial_Data!$D$4:$D$6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Financial_Data!$E$4:$E$6</c:f>
              <c:numCache>
                <c:formatCode>General</c:formatCode>
                <c:ptCount val="3"/>
                <c:pt idx="0">
                  <c:v>450000</c:v>
                </c:pt>
                <c:pt idx="1">
                  <c:v>375000</c:v>
                </c:pt>
                <c:pt idx="2">
                  <c:v>275000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38-49B2-B192-F1B302508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22282592"/>
        <c:axId val="1122300352"/>
      </c:barChart>
      <c:catAx>
        <c:axId val="112228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300352"/>
        <c:crosses val="autoZero"/>
        <c:auto val="1"/>
        <c:lblAlgn val="ctr"/>
        <c:lblOffset val="100"/>
        <c:noMultiLvlLbl val="0"/>
      </c:catAx>
      <c:valAx>
        <c:axId val="1122300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28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Quarterly</a:t>
            </a:r>
            <a:r>
              <a:rPr lang="en-US" b="1" baseline="0"/>
              <a:t> Expenses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Financial_Data!$H$3</c:f>
              <c:strCache>
                <c:ptCount val="1"/>
                <c:pt idx="0">
                  <c:v>Expenses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Financial_Data!$G$4:$G$6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Financial_Data!$H$4:$H$6</c:f>
              <c:numCache>
                <c:formatCode>General</c:formatCode>
                <c:ptCount val="3"/>
                <c:pt idx="0">
                  <c:v>185000</c:v>
                </c:pt>
                <c:pt idx="1">
                  <c:v>172000</c:v>
                </c:pt>
                <c:pt idx="2">
                  <c:v>168000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10-49D6-A4CC-19EAFEE84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2295072"/>
        <c:axId val="1122278752"/>
      </c:lineChart>
      <c:catAx>
        <c:axId val="112229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278752"/>
        <c:crosses val="autoZero"/>
        <c:auto val="1"/>
        <c:lblAlgn val="ctr"/>
        <c:lblOffset val="100"/>
        <c:noMultiLvlLbl val="0"/>
      </c:catAx>
      <c:valAx>
        <c:axId val="1122278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29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  <cx:data id="1">
      <cx:strDim type="cat">
        <cx:f>_xlchart.v1.9</cx:f>
      </cx:strDim>
      <cx:numDim type="val">
        <cx:f>_xlchart.v1.13</cx:f>
      </cx:numDim>
    </cx:data>
    <cx:data id="2">
      <cx:strDim type="cat">
        <cx:f>_xlchart.v1.9</cx:f>
      </cx:strDim>
      <cx:numDim type="val">
        <cx:f>_xlchart.v1.15</cx:f>
      </cx:numDim>
    </cx:data>
    <cx:data id="3">
      <cx:strDim type="cat">
        <cx:f>_xlchart.v1.9</cx:f>
      </cx:strDim>
      <cx:numDim type="val">
        <cx:f>_xlchart.v1.17</cx:f>
      </cx:numDim>
    </cx:data>
  </cx:chartData>
  <cx:chart>
    <cx:title pos="t" align="ctr" overlay="0">
      <cx:tx>
        <cx:txData>
          <cx:v>Quarterly Financial Summary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Quarterly Financial Summary</a:t>
          </a:r>
        </a:p>
      </cx:txPr>
    </cx:title>
    <cx:plotArea>
      <cx:plotAreaRegion>
        <cx:series layoutId="waterfall" uniqueId="{7BC8159B-B8C6-4F55-8085-C1B3067AF44E}" formatIdx="0">
          <cx:tx>
            <cx:txData>
              <cx:f>_xlchart.v1.10</cx:f>
              <cx:v>Amount</cx:v>
            </cx:txData>
          </cx:tx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7"/>
            </cx:subtotals>
          </cx:layoutPr>
        </cx:series>
        <cx:series layoutId="waterfall" hidden="1" uniqueId="{BBE8812B-1CA0-4511-B613-FE0F8351B228}" formatIdx="1">
          <cx:tx>
            <cx:txData>
              <cx:f>_xlchart.v1.12</cx:f>
              <cx:v>Base</cx:v>
            </cx:txData>
          </cx:tx>
          <cx:dataLabels pos="outEnd">
            <cx:visibility seriesName="0" categoryName="0" value="1"/>
          </cx:dataLabels>
          <cx:dataId val="1"/>
          <cx:layoutPr>
            <cx:subtotals/>
          </cx:layoutPr>
        </cx:series>
        <cx:series layoutId="waterfall" hidden="1" uniqueId="{C68B301C-50B4-49D7-8CE8-EECBA43252BD}" formatIdx="2">
          <cx:tx>
            <cx:txData>
              <cx:f>_xlchart.v1.14</cx:f>
              <cx:v>Decrease</cx:v>
            </cx:txData>
          </cx:tx>
          <cx:dataLabels pos="outEnd">
            <cx:visibility seriesName="0" categoryName="0" value="1"/>
          </cx:dataLabels>
          <cx:dataId val="2"/>
          <cx:layoutPr>
            <cx:subtotals/>
          </cx:layoutPr>
        </cx:series>
        <cx:series layoutId="waterfall" hidden="1" uniqueId="{8CCDEB8F-B392-429E-BF0D-B34173CF0835}" formatIdx="3">
          <cx:tx>
            <cx:txData>
              <cx:f>_xlchart.v1.16</cx:f>
              <cx:v>Increase</cx:v>
            </cx:txData>
          </cx:tx>
          <cx:dataLabels pos="outEnd">
            <cx:visibility seriesName="0" categoryName="0" value="1"/>
          </cx:dataLabels>
          <cx:dataId val="3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>
          <cx:spPr>
            <a:ln>
              <a:noFill/>
            </a:ln>
          </cx:spPr>
        </cx:majorGridlines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0</xdr:row>
      <xdr:rowOff>69850</xdr:rowOff>
    </xdr:from>
    <xdr:to>
      <xdr:col>2</xdr:col>
      <xdr:colOff>984250</xdr:colOff>
      <xdr:row>14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CFCD914-5F0F-3685-5DC3-A0B9C50622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750" y="69850"/>
              <a:ext cx="3917950" cy="2419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</xdr:colOff>
      <xdr:row>14</xdr:row>
      <xdr:rowOff>76200</xdr:rowOff>
    </xdr:from>
    <xdr:to>
      <xdr:col>2</xdr:col>
      <xdr:colOff>850901</xdr:colOff>
      <xdr:row>27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649904-3902-5718-013B-C6A17449C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974725</xdr:colOff>
      <xdr:row>19</xdr:row>
      <xdr:rowOff>133350</xdr:rowOff>
    </xdr:from>
    <xdr:to>
      <xdr:col>6</xdr:col>
      <xdr:colOff>215900</xdr:colOff>
      <xdr:row>30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CA7D0F-56A3-A6BE-F069-EE7F7E0DF3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I20" sqref="I20"/>
    </sheetView>
  </sheetViews>
  <sheetFormatPr defaultColWidth="14.453125" defaultRowHeight="15" customHeight="1" x14ac:dyDescent="0.35"/>
  <cols>
    <col min="1" max="1" width="24" customWidth="1"/>
    <col min="2" max="2" width="18.453125" customWidth="1"/>
    <col min="3" max="3" width="15.08984375" customWidth="1"/>
    <col min="4" max="4" width="21.453125" customWidth="1"/>
    <col min="5" max="5" width="13.453125" customWidth="1"/>
    <col min="6" max="6" width="12.1796875" customWidth="1"/>
    <col min="7" max="7" width="15.36328125" customWidth="1"/>
    <col min="8" max="8" width="16.54296875" customWidth="1"/>
    <col min="9" max="26" width="8.7265625" customWidth="1"/>
  </cols>
  <sheetData>
    <row r="1" spans="1:26" ht="14.25" customHeight="1" x14ac:dyDescent="0.5">
      <c r="A1" s="1"/>
      <c r="B1" s="2"/>
      <c r="C1" s="2"/>
      <c r="D1" s="1" t="s">
        <v>1</v>
      </c>
      <c r="E1" s="2"/>
      <c r="F1" s="2"/>
      <c r="G1" s="1" t="s">
        <v>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5">
      <c r="A3" s="7"/>
      <c r="B3" s="7"/>
      <c r="C3" s="3"/>
      <c r="D3" s="4" t="s">
        <v>3</v>
      </c>
      <c r="E3" s="4" t="s">
        <v>5</v>
      </c>
      <c r="F3" s="3"/>
      <c r="G3" s="4" t="s">
        <v>6</v>
      </c>
      <c r="H3" s="4" t="s">
        <v>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5">
      <c r="A4" s="8"/>
      <c r="B4" s="9"/>
      <c r="C4" s="3"/>
      <c r="D4" s="5" t="s">
        <v>9</v>
      </c>
      <c r="E4" s="5">
        <v>450000</v>
      </c>
      <c r="F4" s="3"/>
      <c r="G4" s="5" t="s">
        <v>10</v>
      </c>
      <c r="H4" s="5">
        <v>185000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35">
      <c r="A5" s="8"/>
      <c r="B5" s="9"/>
      <c r="C5" s="3"/>
      <c r="D5" s="5" t="s">
        <v>12</v>
      </c>
      <c r="E5" s="5">
        <v>375000</v>
      </c>
      <c r="F5" s="3"/>
      <c r="G5" s="5" t="s">
        <v>13</v>
      </c>
      <c r="H5" s="5">
        <v>172000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5">
      <c r="A6" s="8"/>
      <c r="B6" s="9"/>
      <c r="C6" s="3"/>
      <c r="D6" s="5" t="s">
        <v>15</v>
      </c>
      <c r="E6" s="5">
        <v>275000</v>
      </c>
      <c r="F6" s="3"/>
      <c r="G6" s="5" t="s">
        <v>16</v>
      </c>
      <c r="H6" s="5">
        <v>168000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5">
      <c r="A7" s="8"/>
      <c r="B7" s="9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5">
      <c r="A8" s="8"/>
      <c r="B8" s="9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5">
      <c r="A9" s="8"/>
      <c r="B9" s="9"/>
      <c r="C9" s="3"/>
      <c r="D9" s="1" t="s">
        <v>0</v>
      </c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5">
      <c r="A10" s="8"/>
      <c r="B10" s="9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5">
      <c r="A11" s="8"/>
      <c r="B11" s="9"/>
      <c r="C11" s="3"/>
      <c r="D11" s="4" t="s">
        <v>3</v>
      </c>
      <c r="E11" s="10" t="s">
        <v>4</v>
      </c>
      <c r="F11" s="11" t="s">
        <v>22</v>
      </c>
      <c r="G11" s="11" t="s">
        <v>23</v>
      </c>
      <c r="H11" s="11" t="s">
        <v>24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5">
      <c r="A12" s="3"/>
      <c r="B12" s="3"/>
      <c r="C12" s="3"/>
      <c r="D12" s="5" t="s">
        <v>8</v>
      </c>
      <c r="E12" s="13">
        <v>1530000</v>
      </c>
      <c r="F12" s="11">
        <v>0</v>
      </c>
      <c r="G12" s="11">
        <f>IF(E12&lt;0,-E12,0)</f>
        <v>0</v>
      </c>
      <c r="H12" s="12">
        <f>IF(E12&gt;0,E12,0)</f>
        <v>1530000</v>
      </c>
      <c r="I12" s="3"/>
      <c r="J12" s="3"/>
      <c r="K12" s="3"/>
      <c r="L12" s="3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35">
      <c r="A13" s="3"/>
      <c r="B13" s="3"/>
      <c r="C13" s="3"/>
      <c r="D13" s="5" t="s">
        <v>11</v>
      </c>
      <c r="E13" s="13">
        <v>-410000</v>
      </c>
      <c r="F13" s="11">
        <f>(F12+H12-G13)</f>
        <v>1120000</v>
      </c>
      <c r="G13" s="11">
        <f t="shared" ref="G13:G19" si="0">IF(E13&lt;0,-E13,0)</f>
        <v>410000</v>
      </c>
      <c r="H13" s="12">
        <f t="shared" ref="H13:H19" si="1">IF(E13&gt;0,E13,0)</f>
        <v>0</v>
      </c>
      <c r="I13" s="3"/>
      <c r="J13" s="3"/>
      <c r="K13" s="3"/>
      <c r="L13" s="3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35">
      <c r="A14" s="3"/>
      <c r="B14" s="3"/>
      <c r="C14" s="3"/>
      <c r="D14" s="5" t="s">
        <v>14</v>
      </c>
      <c r="E14" s="13">
        <v>-570000</v>
      </c>
      <c r="F14" s="11">
        <f t="shared" ref="F14:F19" si="2">(F13+H13-G14)</f>
        <v>550000</v>
      </c>
      <c r="G14" s="11">
        <f t="shared" si="0"/>
        <v>570000</v>
      </c>
      <c r="H14" s="12">
        <f t="shared" si="1"/>
        <v>0</v>
      </c>
      <c r="I14" s="3"/>
      <c r="J14" s="3"/>
      <c r="K14" s="3"/>
      <c r="L14" s="3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35">
      <c r="A15" s="3"/>
      <c r="B15" s="3"/>
      <c r="C15" s="3"/>
      <c r="D15" s="5" t="s">
        <v>17</v>
      </c>
      <c r="E15" s="13">
        <v>-75000</v>
      </c>
      <c r="F15" s="11">
        <f t="shared" si="2"/>
        <v>475000</v>
      </c>
      <c r="G15" s="11">
        <f t="shared" si="0"/>
        <v>75000</v>
      </c>
      <c r="H15" s="12">
        <f t="shared" si="1"/>
        <v>0</v>
      </c>
      <c r="I15" s="3"/>
      <c r="J15" s="3"/>
      <c r="K15" s="3"/>
      <c r="L15" s="3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35">
      <c r="A16" s="3"/>
      <c r="B16" s="3"/>
      <c r="C16" s="3"/>
      <c r="D16" s="5" t="s">
        <v>18</v>
      </c>
      <c r="E16" s="13">
        <v>-45000</v>
      </c>
      <c r="F16" s="11">
        <f t="shared" si="2"/>
        <v>430000</v>
      </c>
      <c r="G16" s="11">
        <f t="shared" si="0"/>
        <v>45000</v>
      </c>
      <c r="H16" s="12">
        <f t="shared" si="1"/>
        <v>0</v>
      </c>
      <c r="I16" s="3"/>
      <c r="J16" s="3"/>
      <c r="K16" s="3"/>
      <c r="L16" s="3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35">
      <c r="A17" s="3"/>
      <c r="B17" s="3"/>
      <c r="C17" s="3"/>
      <c r="D17" s="5" t="s">
        <v>19</v>
      </c>
      <c r="E17" s="13">
        <v>-28000</v>
      </c>
      <c r="F17" s="11">
        <f t="shared" si="2"/>
        <v>402000</v>
      </c>
      <c r="G17" s="11">
        <f t="shared" si="0"/>
        <v>28000</v>
      </c>
      <c r="H17" s="12">
        <f t="shared" si="1"/>
        <v>0</v>
      </c>
      <c r="I17" s="3"/>
      <c r="J17" s="3"/>
      <c r="K17" s="3"/>
      <c r="L17" s="3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35">
      <c r="A18" s="3"/>
      <c r="B18" s="3"/>
      <c r="C18" s="3"/>
      <c r="D18" s="5" t="s">
        <v>20</v>
      </c>
      <c r="E18" s="13">
        <v>-90000</v>
      </c>
      <c r="F18" s="11">
        <f t="shared" si="2"/>
        <v>312000</v>
      </c>
      <c r="G18" s="11">
        <f t="shared" si="0"/>
        <v>90000</v>
      </c>
      <c r="H18" s="12">
        <f t="shared" si="1"/>
        <v>0</v>
      </c>
      <c r="I18" s="3"/>
      <c r="J18" s="3"/>
      <c r="K18" s="3"/>
      <c r="L18" s="3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35">
      <c r="A19" s="3"/>
      <c r="B19" s="3"/>
      <c r="C19" s="3"/>
      <c r="D19" s="5" t="s">
        <v>21</v>
      </c>
      <c r="E19" s="13">
        <f>SUM(E12:E18)</f>
        <v>312000</v>
      </c>
      <c r="F19" s="11">
        <f t="shared" si="2"/>
        <v>312000</v>
      </c>
      <c r="G19" s="11">
        <f t="shared" si="0"/>
        <v>0</v>
      </c>
      <c r="H19" s="12">
        <f t="shared" si="1"/>
        <v>312000</v>
      </c>
      <c r="I19" s="3"/>
      <c r="J19" s="3"/>
      <c r="K19" s="3"/>
      <c r="L19" s="3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3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3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3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3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3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3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3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3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3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3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3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3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3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3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3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3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3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3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3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3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3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3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3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3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3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3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3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3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3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3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3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3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3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3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3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3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3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3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3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3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3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3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3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3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3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3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3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3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3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3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3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3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3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3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3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3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3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3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3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3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3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3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3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3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3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3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3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3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3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3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3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3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3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3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3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3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3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3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3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3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3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3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3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3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3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3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3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3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3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3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3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3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3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3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3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3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3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3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3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3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3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3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3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3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3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3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3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3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3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3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3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3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3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3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3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3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3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3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3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3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3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3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3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3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3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3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3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3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3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3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3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3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3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3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3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3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3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3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3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3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3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3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3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3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3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3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3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3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3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3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3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3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3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3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3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3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3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3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3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3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3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3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3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3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3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3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3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3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3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3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3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3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3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3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3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3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3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3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3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3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3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3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3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3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3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3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3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3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3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3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3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3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3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3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3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3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3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3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3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3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3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3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3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3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3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3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3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3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3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3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3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3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3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3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3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3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3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3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3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3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3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3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3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3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3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3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3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3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3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3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3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3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3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3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3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3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3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3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3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3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3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3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3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3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3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3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3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3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3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3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3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3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3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3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3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3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3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3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3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3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3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3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3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3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3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3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3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3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3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3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3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3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3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3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3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3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3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3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3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3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3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3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3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3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3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3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3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3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3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3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3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3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3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3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3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3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3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3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3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3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3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3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3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3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3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3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3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3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3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3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3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3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3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3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3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3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3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3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3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3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3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3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3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3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3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3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3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3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3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3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3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3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3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3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3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3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3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3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3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3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3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3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3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3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3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3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3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3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3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3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3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3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3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3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3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3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3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3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3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3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3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3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3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3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3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3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3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3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3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3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3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3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3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3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3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3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3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3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3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3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3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3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3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3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3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3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3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3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3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3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3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3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3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3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3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3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3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3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3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3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3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3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3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3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3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3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3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3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3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3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3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3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3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3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3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3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3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3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3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3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3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3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3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3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3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3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3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3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3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3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3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3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3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3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3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3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3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3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3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3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3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3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3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3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3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3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3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3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3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3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3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3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3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3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3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3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3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3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3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3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3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3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3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3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3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3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3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3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3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3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3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3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3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3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3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3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3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3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3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3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3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3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3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3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3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3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3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3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3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3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3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3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3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3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3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3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3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3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3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3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3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3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3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3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3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3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3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3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3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3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3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3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3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3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3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3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3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3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3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3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3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3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3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3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3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3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3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3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3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3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3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3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3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3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3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3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3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3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3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3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3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3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3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3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3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3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3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3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3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3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3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3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3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3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3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3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3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3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3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3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3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3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3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3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3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3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3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3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3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3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3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3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3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3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3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3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3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3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3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3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3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3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3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3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3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3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3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3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3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3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3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3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3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3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3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3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3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3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3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3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3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3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3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3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3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3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3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3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3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3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3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3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3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3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3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3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3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3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3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3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3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3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3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3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3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3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3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3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3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3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3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3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3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3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3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3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3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3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3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3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3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3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3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3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3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3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3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3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3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3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3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3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3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3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3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3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3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3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3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3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3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3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3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3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3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3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3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3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3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3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3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3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3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3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3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3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3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3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3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3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3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3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3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3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3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3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3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3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3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3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3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3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3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3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3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3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3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3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3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3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3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3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3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3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3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3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3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3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3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3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3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3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3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3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3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3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3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3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3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3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3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3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3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3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3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3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3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3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3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3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3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3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3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3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3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3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3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3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3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3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3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3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3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3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3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3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3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3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3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3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3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3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3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3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3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3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3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3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3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3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3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3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3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3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3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3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3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3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3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3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3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3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3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3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3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3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3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3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3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3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3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3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3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3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3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3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3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3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3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3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3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3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3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3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3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3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3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3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3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3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3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3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3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3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3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3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3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3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3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3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3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3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3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3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3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3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3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3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3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3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3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3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3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3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3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3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3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3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3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3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3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3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3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3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3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3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3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3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3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3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3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3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3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3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3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3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3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3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3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3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3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3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3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3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3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3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3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3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3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3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3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3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3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3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3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3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3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3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3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3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3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3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3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3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3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3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3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3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3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3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3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3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3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3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3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3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3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3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3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3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3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3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3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3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3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3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3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3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3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3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3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3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3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3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3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3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3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3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3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3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3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3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3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3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3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3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3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3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3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3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3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3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3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3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3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3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3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3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3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3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3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3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3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3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3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3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3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3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Bukit</cp:lastModifiedBy>
  <dcterms:created xsi:type="dcterms:W3CDTF">2026-02-17T14:42:39Z</dcterms:created>
  <dcterms:modified xsi:type="dcterms:W3CDTF">2026-03-11T12:07:24Z</dcterms:modified>
</cp:coreProperties>
</file>